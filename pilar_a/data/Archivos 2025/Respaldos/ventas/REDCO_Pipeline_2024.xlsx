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5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3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7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8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9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0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updateLinks="always"/>
  <mc:AlternateContent xmlns:mc="http://schemas.openxmlformats.org/markup-compatibility/2006">
    <mc:Choice Requires="x15">
      <x15ac:absPath xmlns:x15ac="http://schemas.microsoft.com/office/spreadsheetml/2010/11/ac" url="/Users/dacm/udd/redco_proyect/pilar_a/data/Archivos 2025/Respaldos/ventas/"/>
    </mc:Choice>
  </mc:AlternateContent>
  <xr:revisionPtr revIDLastSave="0" documentId="13_ncr:1_{8919B27F-49A2-984D-B0A0-34B9A4B6F653}" xr6:coauthVersionLast="47" xr6:coauthVersionMax="47" xr10:uidLastSave="{00000000-0000-0000-0000-000000000000}"/>
  <bookViews>
    <workbookView xWindow="1000" yWindow="-18160" windowWidth="24480" windowHeight="17400" tabRatio="605" activeTab="7" xr2:uid="{960BE718-2E1C-4927-82AB-A5C45AF93AE9}"/>
  </bookViews>
  <sheets>
    <sheet name="Reportabilidad" sheetId="12" state="hidden" r:id="rId1"/>
    <sheet name="Resumen Gen N°" sheetId="31" r:id="rId2"/>
    <sheet name="Resumen Gen Monto" sheetId="30" r:id="rId3"/>
    <sheet name="KPIs" sheetId="33" r:id="rId4"/>
    <sheet name="Hoja7" sheetId="34" r:id="rId5"/>
    <sheet name="Hoja8" sheetId="35" r:id="rId6"/>
    <sheet name="Hoja4" sheetId="36" r:id="rId7"/>
    <sheet name="Base de Datos 2024" sheetId="3" r:id="rId8"/>
    <sheet name="Hoja5" sheetId="37" r:id="rId9"/>
    <sheet name="POM_Agosto" sheetId="24" state="hidden" r:id="rId10"/>
    <sheet name="Lista de proyectos" sheetId="22" state="hidden" r:id="rId11"/>
    <sheet name="POM_Septiembre" sheetId="26" state="hidden" r:id="rId12"/>
    <sheet name="Hoja3" sheetId="25" state="hidden" r:id="rId13"/>
    <sheet name="2023" sheetId="14" state="hidden" r:id="rId14"/>
    <sheet name="Hoja1" sheetId="15" state="hidden" r:id="rId15"/>
    <sheet name="Hoja2" sheetId="23" state="hidden" r:id="rId16"/>
    <sheet name="Codigos" sheetId="2" state="hidden" r:id="rId17"/>
    <sheet name="Nombres" sheetId="18" state="hidden" r:id="rId18"/>
    <sheet name="Apuntes" sheetId="8" state="hidden" r:id="rId19"/>
    <sheet name="Charts New" sheetId="7" state="hidden" r:id="rId20"/>
    <sheet name="PBI_Flujo Caja (+Pipeline) 2023" sheetId="1" state="hidden" r:id="rId21"/>
    <sheet name="Flujos 23-24 (p. actuales)" sheetId="5" state="hidden" r:id="rId22"/>
  </sheets>
  <definedNames>
    <definedName name="_xlnm._FilterDatabase" localSheetId="7" hidden="1">'Base de Datos 2024'!$A$1:$AR$149</definedName>
    <definedName name="_xlnm._FilterDatabase" localSheetId="21" hidden="1">'Flujos 23-24 (p. actuales)'!$B$27:$AI$27</definedName>
    <definedName name="_xlnm._FilterDatabase" localSheetId="15" hidden="1">Hoja2!$AB$1:$AG$12</definedName>
    <definedName name="_xlnm._FilterDatabase" localSheetId="10" hidden="1">'Lista de proyectos'!$A$1:$K$46</definedName>
    <definedName name="_xlnm._FilterDatabase" localSheetId="20" hidden="1">'PBI_Flujo Caja (+Pipeline) 2023'!$B$27:$AM$377</definedName>
    <definedName name="_Hlk138162579" localSheetId="7">'Base de Datos 2024'!#REF!</definedName>
  </definedNames>
  <calcPr calcId="191028" iterateDelta="1E-4"/>
  <pivotCaches>
    <pivotCache cacheId="98" r:id="rId23"/>
    <pivotCache cacheId="99" r:id="rId24"/>
    <pivotCache cacheId="100" r:id="rId25"/>
    <pivotCache cacheId="104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N13" i="37"/>
  <c r="J7" i="30" l="1"/>
  <c r="Q76" i="3"/>
  <c r="Q100" i="3"/>
  <c r="Q113" i="3"/>
  <c r="Q90" i="3"/>
  <c r="Q118" i="3"/>
  <c r="Q73" i="3"/>
  <c r="Q47" i="3"/>
  <c r="Q46" i="3"/>
  <c r="Q45" i="3"/>
  <c r="Q62" i="3"/>
  <c r="Q101" i="3"/>
  <c r="Q88" i="3"/>
  <c r="Q50" i="3"/>
  <c r="Q56" i="3"/>
  <c r="Q51" i="3"/>
  <c r="Q87" i="3"/>
  <c r="Q99" i="3"/>
  <c r="Q94" i="3"/>
  <c r="Q75" i="3"/>
  <c r="Q77" i="3"/>
  <c r="Q106" i="3"/>
  <c r="Q67" i="3"/>
  <c r="Q97" i="3"/>
  <c r="Q80" i="3"/>
  <c r="Q57" i="3"/>
  <c r="Q52" i="3"/>
  <c r="Q55" i="3"/>
  <c r="Q31" i="3"/>
  <c r="Q98" i="3"/>
  <c r="Q102" i="3"/>
  <c r="Q89" i="3"/>
  <c r="Q53" i="3"/>
  <c r="Q54" i="3"/>
  <c r="Q78" i="3"/>
  <c r="Q24" i="3"/>
  <c r="Q105" i="3"/>
  <c r="Q114" i="3"/>
  <c r="Q110" i="3"/>
  <c r="Q112" i="3"/>
  <c r="Q117" i="3"/>
  <c r="Q116" i="3"/>
  <c r="Q107" i="3"/>
  <c r="Q103" i="3"/>
  <c r="Q119" i="3"/>
  <c r="Q115" i="3"/>
  <c r="Q111" i="3"/>
  <c r="Q59" i="3"/>
  <c r="Q104" i="3"/>
  <c r="Q93" i="3"/>
  <c r="Q91" i="3"/>
  <c r="Q71" i="3"/>
  <c r="Q109" i="3"/>
  <c r="Q72" i="3"/>
  <c r="Q58" i="3"/>
  <c r="Q92" i="3"/>
  <c r="Q21" i="3"/>
  <c r="Q85" i="3"/>
  <c r="Q83" i="3"/>
  <c r="Q81" i="3"/>
  <c r="Q96" i="3"/>
  <c r="Q86" i="3"/>
  <c r="Q64" i="3"/>
  <c r="Q108" i="3"/>
  <c r="Q74" i="3"/>
  <c r="Q60" i="3"/>
  <c r="Q70" i="3"/>
  <c r="Q95" i="3"/>
  <c r="Q82" i="3"/>
  <c r="Q84" i="3"/>
  <c r="Q44" i="3"/>
  <c r="Q61" i="3"/>
  <c r="Q66" i="3"/>
  <c r="Q79" i="3"/>
  <c r="Q63" i="3"/>
  <c r="Q68" i="3"/>
  <c r="Q28" i="3"/>
  <c r="Q65" i="3"/>
  <c r="Q39" i="3"/>
  <c r="Q48" i="3"/>
  <c r="Q26" i="3"/>
  <c r="Q69" i="3"/>
  <c r="Q30" i="3"/>
  <c r="Q35" i="3"/>
  <c r="Q33" i="3"/>
  <c r="Q38" i="3"/>
  <c r="Q32" i="3"/>
  <c r="Q41" i="3"/>
  <c r="Q37" i="3"/>
  <c r="Q22" i="3"/>
  <c r="Q23" i="3"/>
  <c r="Q42" i="3"/>
  <c r="Q40" i="3"/>
  <c r="Q36" i="3"/>
  <c r="Q10" i="3"/>
  <c r="Q29" i="3"/>
  <c r="Q25" i="3"/>
  <c r="Q34" i="3"/>
  <c r="Q16" i="3"/>
  <c r="Q18" i="3"/>
  <c r="Q2" i="3"/>
  <c r="Q43" i="3"/>
  <c r="Q17" i="3"/>
  <c r="Q12" i="3"/>
  <c r="Q13" i="3"/>
  <c r="Q14" i="3"/>
  <c r="Q19" i="3"/>
  <c r="Q11" i="3"/>
  <c r="Q15" i="3"/>
  <c r="Q7" i="3"/>
  <c r="Q4" i="3"/>
  <c r="Q9" i="3"/>
  <c r="Q5" i="3"/>
  <c r="Q6" i="3"/>
  <c r="Q8" i="3"/>
  <c r="Q3" i="3"/>
  <c r="Q20" i="3"/>
  <c r="Q148" i="3"/>
  <c r="Q128" i="3"/>
  <c r="Q144" i="3"/>
  <c r="Q138" i="3"/>
  <c r="Q141" i="3"/>
  <c r="Q137" i="3"/>
  <c r="Q123" i="3"/>
  <c r="Q121" i="3"/>
  <c r="Q134" i="3"/>
  <c r="Q126" i="3"/>
  <c r="Q132" i="3"/>
  <c r="Q142" i="3"/>
  <c r="Q130" i="3"/>
  <c r="Q139" i="3"/>
  <c r="Q146" i="3"/>
  <c r="Q127" i="3"/>
  <c r="Q131" i="3"/>
  <c r="Q133" i="3"/>
  <c r="Q124" i="3"/>
  <c r="Q136" i="3"/>
  <c r="Q129" i="3"/>
  <c r="Q147" i="3"/>
  <c r="Q122" i="3"/>
  <c r="Q125" i="3"/>
  <c r="Q135" i="3"/>
  <c r="Q143" i="3"/>
  <c r="Q140" i="3"/>
  <c r="Q145" i="3"/>
  <c r="Q120" i="3"/>
  <c r="K11" i="34"/>
  <c r="K33" i="34"/>
  <c r="K74" i="34"/>
  <c r="L119" i="34"/>
  <c r="F9" i="33" l="1"/>
  <c r="H6" i="33"/>
  <c r="H5" i="33"/>
  <c r="F6" i="33"/>
  <c r="F5" i="33"/>
  <c r="AS10" i="33"/>
  <c r="AQ11" i="33"/>
  <c r="AQ10" i="33"/>
  <c r="AQ12" i="33"/>
  <c r="AH3" i="33"/>
  <c r="AG3" i="33"/>
  <c r="AF3" i="33"/>
  <c r="AE3" i="33"/>
  <c r="AM3" i="33"/>
  <c r="AL3" i="33"/>
  <c r="AK3" i="33"/>
  <c r="AJ3" i="33"/>
  <c r="P131" i="33"/>
  <c r="O131" i="33"/>
  <c r="N131" i="33"/>
  <c r="M131" i="33"/>
  <c r="S131" i="33" l="1"/>
  <c r="R131" i="33"/>
  <c r="P3" i="33"/>
  <c r="R3" i="33"/>
  <c r="O3" i="33"/>
  <c r="S3" i="33"/>
  <c r="M3" i="33"/>
  <c r="U10" i="31"/>
  <c r="U7" i="31"/>
  <c r="U6" i="31"/>
  <c r="U5" i="31"/>
  <c r="U4" i="31"/>
  <c r="N3" i="33" l="1"/>
  <c r="P6" i="30"/>
  <c r="P21" i="30"/>
  <c r="M24" i="30"/>
  <c r="L24" i="30"/>
  <c r="K24" i="30"/>
  <c r="J24" i="30"/>
  <c r="M23" i="30"/>
  <c r="L23" i="30"/>
  <c r="K23" i="30"/>
  <c r="J23" i="30"/>
  <c r="M21" i="30"/>
  <c r="L21" i="30"/>
  <c r="K21" i="30"/>
  <c r="J21" i="30"/>
  <c r="M20" i="30"/>
  <c r="L20" i="30"/>
  <c r="K20" i="30"/>
  <c r="J20" i="30"/>
  <c r="M19" i="30"/>
  <c r="L19" i="30"/>
  <c r="K19" i="30"/>
  <c r="J19" i="30"/>
  <c r="M18" i="30"/>
  <c r="L18" i="30"/>
  <c r="K18" i="30"/>
  <c r="J18" i="30"/>
  <c r="M17" i="30"/>
  <c r="L17" i="30"/>
  <c r="K17" i="30"/>
  <c r="J17" i="30"/>
  <c r="I23" i="30"/>
  <c r="I21" i="30"/>
  <c r="I20" i="30"/>
  <c r="I19" i="30"/>
  <c r="I18" i="30"/>
  <c r="I17" i="30"/>
  <c r="O10" i="30"/>
  <c r="P10" i="30"/>
  <c r="P9" i="30"/>
  <c r="P8" i="30"/>
  <c r="P7" i="30"/>
  <c r="O9" i="30"/>
  <c r="O8" i="30"/>
  <c r="O7" i="30"/>
  <c r="O6" i="30"/>
  <c r="P19" i="30"/>
  <c r="P17" i="30"/>
  <c r="M12" i="30"/>
  <c r="L12" i="30"/>
  <c r="U8" i="31" l="1"/>
  <c r="U11" i="31" s="1"/>
  <c r="K7" i="30"/>
  <c r="K8" i="30"/>
  <c r="K9" i="30"/>
  <c r="K12" i="30"/>
  <c r="I12" i="30"/>
  <c r="I9" i="30"/>
  <c r="I8" i="30"/>
  <c r="I7" i="30"/>
  <c r="I6" i="30"/>
  <c r="J5" i="30"/>
  <c r="M5" i="30"/>
  <c r="M8" i="31"/>
  <c r="L8" i="31"/>
  <c r="V10" i="31" s="1"/>
  <c r="M7" i="31"/>
  <c r="S7" i="31" s="1"/>
  <c r="L7" i="31"/>
  <c r="V7" i="31" s="1"/>
  <c r="M6" i="31"/>
  <c r="S6" i="31" s="1"/>
  <c r="L6" i="31"/>
  <c r="V6" i="31" s="1"/>
  <c r="M5" i="31"/>
  <c r="S5" i="31" s="1"/>
  <c r="L5" i="31"/>
  <c r="V5" i="31" s="1"/>
  <c r="M4" i="31"/>
  <c r="L4" i="31"/>
  <c r="V4" i="31" s="1"/>
  <c r="M3" i="31"/>
  <c r="L3" i="31"/>
  <c r="J5" i="31"/>
  <c r="J4" i="31"/>
  <c r="J6" i="31"/>
  <c r="J7" i="31"/>
  <c r="J8" i="31"/>
  <c r="T10" i="31" s="1"/>
  <c r="I8" i="31"/>
  <c r="R10" i="31" s="1"/>
  <c r="I7" i="31"/>
  <c r="R7" i="31" s="1"/>
  <c r="I6" i="31"/>
  <c r="R6" i="31" s="1"/>
  <c r="I5" i="31"/>
  <c r="R5" i="31" s="1"/>
  <c r="I4" i="31"/>
  <c r="R4" i="31" s="1"/>
  <c r="O13" i="2"/>
  <c r="M9" i="30"/>
  <c r="M8" i="30"/>
  <c r="M7" i="30"/>
  <c r="M6" i="30"/>
  <c r="L9" i="30"/>
  <c r="L8" i="30"/>
  <c r="L7" i="30"/>
  <c r="L6" i="30"/>
  <c r="K6" i="30"/>
  <c r="N7" i="31" l="1"/>
  <c r="T7" i="31"/>
  <c r="X7" i="31" s="1"/>
  <c r="N6" i="31"/>
  <c r="T6" i="31"/>
  <c r="X6" i="31" s="1"/>
  <c r="N4" i="31"/>
  <c r="K12" i="31"/>
  <c r="T4" i="31"/>
  <c r="X10" i="31"/>
  <c r="S10" i="31"/>
  <c r="J12" i="31"/>
  <c r="J19" i="31" s="1"/>
  <c r="S4" i="31"/>
  <c r="N8" i="31"/>
  <c r="N5" i="31"/>
  <c r="T5" i="31"/>
  <c r="X5" i="31" s="1"/>
  <c r="V8" i="31"/>
  <c r="V11" i="31" s="1"/>
  <c r="J6" i="30"/>
  <c r="K10" i="30"/>
  <c r="L10" i="30"/>
  <c r="L13" i="30" s="1"/>
  <c r="J9" i="30"/>
  <c r="J8" i="30"/>
  <c r="K13" i="30"/>
  <c r="J12" i="30"/>
  <c r="O12" i="30" s="1"/>
  <c r="M10" i="30"/>
  <c r="M13" i="30" s="1"/>
  <c r="L9" i="31"/>
  <c r="M9" i="31"/>
  <c r="O5" i="31" s="1"/>
  <c r="J9" i="31"/>
  <c r="S8" i="31" l="1"/>
  <c r="S11" i="31"/>
  <c r="Y11" i="31" s="1"/>
  <c r="X4" i="31"/>
  <c r="T8" i="31"/>
  <c r="J10" i="30"/>
  <c r="J13" i="30"/>
  <c r="P13" i="30" s="1"/>
  <c r="P12" i="30"/>
  <c r="O13" i="30"/>
  <c r="N9" i="31"/>
  <c r="O6" i="31"/>
  <c r="O9" i="31"/>
  <c r="J13" i="31"/>
  <c r="O8" i="31"/>
  <c r="O4" i="31"/>
  <c r="O7" i="31"/>
  <c r="AG10" i="23"/>
  <c r="AH10" i="23" s="1"/>
  <c r="AF18" i="23" s="1"/>
  <c r="AG11" i="23"/>
  <c r="AH11" i="23" s="1"/>
  <c r="AR5" i="23"/>
  <c r="AR3" i="23"/>
  <c r="AR4" i="23"/>
  <c r="AR2" i="23"/>
  <c r="AO7" i="23"/>
  <c r="AO3" i="23"/>
  <c r="AO4" i="23"/>
  <c r="AO5" i="23"/>
  <c r="AO6" i="23"/>
  <c r="AO2" i="23"/>
  <c r="AF17" i="23"/>
  <c r="AF15" i="23"/>
  <c r="AG8" i="23"/>
  <c r="AF14" i="23"/>
  <c r="AH3" i="23"/>
  <c r="AH4" i="23"/>
  <c r="AH5" i="23"/>
  <c r="AH6" i="23"/>
  <c r="AF16" i="23"/>
  <c r="AH9" i="23"/>
  <c r="AH2" i="23"/>
  <c r="AG6" i="23"/>
  <c r="AG9" i="23"/>
  <c r="AG5" i="23"/>
  <c r="AG3" i="23"/>
  <c r="AG4" i="23"/>
  <c r="AG2" i="23"/>
  <c r="AN7" i="23"/>
  <c r="AN6" i="23"/>
  <c r="AN5" i="23"/>
  <c r="AN4" i="23"/>
  <c r="AN3" i="23"/>
  <c r="AN2" i="23"/>
  <c r="Y10" i="31" l="1"/>
  <c r="T11" i="31"/>
  <c r="X11" i="31" s="1"/>
  <c r="X8" i="31"/>
  <c r="Y8" i="31"/>
  <c r="Y7" i="31"/>
  <c r="Y5" i="31"/>
  <c r="Y6" i="31"/>
  <c r="Y4" i="31"/>
  <c r="Q10" i="23"/>
  <c r="Q11" i="23"/>
  <c r="Q12" i="23"/>
  <c r="Q13" i="23"/>
  <c r="Q9" i="23"/>
  <c r="P13" i="23"/>
  <c r="K5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F69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F58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F27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F20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F53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F45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F14" i="26"/>
  <c r="F40" i="26"/>
  <c r="Y5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J5" i="26"/>
  <c r="I5" i="26"/>
  <c r="H5" i="26"/>
  <c r="G5" i="26"/>
  <c r="F5" i="26"/>
  <c r="AS147" i="24"/>
  <c r="AR147" i="24"/>
  <c r="AQ147" i="24"/>
  <c r="AP147" i="24"/>
  <c r="AO147" i="24"/>
  <c r="AS142" i="24"/>
  <c r="AR142" i="24"/>
  <c r="AQ142" i="24"/>
  <c r="AP142" i="24"/>
  <c r="AO142" i="24"/>
  <c r="AS137" i="24"/>
  <c r="AR137" i="24"/>
  <c r="AQ137" i="24"/>
  <c r="AP137" i="24"/>
  <c r="AO137" i="24"/>
  <c r="AS124" i="24"/>
  <c r="AR124" i="24"/>
  <c r="AQ124" i="24"/>
  <c r="AP124" i="24"/>
  <c r="AO124" i="24"/>
  <c r="AS118" i="24"/>
  <c r="AR118" i="24"/>
  <c r="AQ118" i="24"/>
  <c r="AP118" i="24"/>
  <c r="AO118" i="24"/>
  <c r="AS113" i="24"/>
  <c r="AR113" i="24"/>
  <c r="AQ113" i="24"/>
  <c r="AP113" i="24"/>
  <c r="AO113" i="24"/>
  <c r="AS106" i="24"/>
  <c r="AR106" i="24"/>
  <c r="AQ106" i="24"/>
  <c r="AP106" i="24"/>
  <c r="AO106" i="24"/>
  <c r="AS99" i="24"/>
  <c r="AR99" i="24"/>
  <c r="AQ99" i="24"/>
  <c r="AP99" i="24"/>
  <c r="AO99" i="24"/>
  <c r="AS94" i="24"/>
  <c r="AR94" i="24"/>
  <c r="AQ94" i="24"/>
  <c r="AP94" i="24"/>
  <c r="AO94" i="24"/>
  <c r="AS89" i="24"/>
  <c r="AR89" i="24"/>
  <c r="AQ89" i="24"/>
  <c r="AP89" i="24"/>
  <c r="AO89" i="24"/>
  <c r="AS84" i="24"/>
  <c r="AR84" i="24"/>
  <c r="AQ84" i="24"/>
  <c r="AP84" i="24"/>
  <c r="AO84" i="24"/>
  <c r="AS79" i="24"/>
  <c r="AR79" i="24"/>
  <c r="AQ79" i="24"/>
  <c r="AP79" i="24"/>
  <c r="AO79" i="24"/>
  <c r="AS74" i="24"/>
  <c r="AR74" i="24"/>
  <c r="AQ74" i="24"/>
  <c r="AP74" i="24"/>
  <c r="AO74" i="24"/>
  <c r="AS64" i="24"/>
  <c r="AR64" i="24"/>
  <c r="AQ64" i="24"/>
  <c r="AP64" i="24"/>
  <c r="AO64" i="24"/>
  <c r="AS59" i="24"/>
  <c r="AR59" i="24"/>
  <c r="AQ59" i="24"/>
  <c r="AP59" i="24"/>
  <c r="AO59" i="24"/>
  <c r="AS51" i="24"/>
  <c r="AR51" i="24"/>
  <c r="AQ51" i="24"/>
  <c r="AP51" i="24"/>
  <c r="AO51" i="24"/>
  <c r="AS41" i="24"/>
  <c r="AR41" i="24"/>
  <c r="AQ41" i="24"/>
  <c r="AP41" i="24"/>
  <c r="AO41" i="24"/>
  <c r="AS33" i="24"/>
  <c r="AR33" i="24"/>
  <c r="AQ33" i="24"/>
  <c r="AP33" i="24"/>
  <c r="AO33" i="24"/>
  <c r="AS27" i="24"/>
  <c r="AR27" i="24"/>
  <c r="AQ27" i="24"/>
  <c r="AP27" i="24"/>
  <c r="AO27" i="24"/>
  <c r="AS20" i="24"/>
  <c r="AR20" i="24"/>
  <c r="AQ20" i="24"/>
  <c r="AP20" i="24"/>
  <c r="AO20" i="24"/>
  <c r="AS14" i="24"/>
  <c r="AR14" i="24"/>
  <c r="AQ14" i="24"/>
  <c r="AP14" i="24"/>
  <c r="AO14" i="24"/>
  <c r="AS5" i="24"/>
  <c r="AR5" i="24"/>
  <c r="AQ5" i="24"/>
  <c r="AP5" i="24"/>
  <c r="AO5" i="24"/>
  <c r="AN147" i="24"/>
  <c r="AM147" i="24"/>
  <c r="AL147" i="24"/>
  <c r="AK147" i="24"/>
  <c r="AJ147" i="24"/>
  <c r="AN142" i="24"/>
  <c r="AM142" i="24"/>
  <c r="AL142" i="24"/>
  <c r="AK142" i="24"/>
  <c r="AJ142" i="24"/>
  <c r="AN137" i="24"/>
  <c r="AM137" i="24"/>
  <c r="AL137" i="24"/>
  <c r="AK137" i="24"/>
  <c r="AJ137" i="24"/>
  <c r="AN124" i="24"/>
  <c r="AM124" i="24"/>
  <c r="AL124" i="24"/>
  <c r="AK124" i="24"/>
  <c r="AJ124" i="24"/>
  <c r="AN118" i="24"/>
  <c r="AM118" i="24"/>
  <c r="AL118" i="24"/>
  <c r="AK118" i="24"/>
  <c r="AJ118" i="24"/>
  <c r="AN113" i="24"/>
  <c r="AM113" i="24"/>
  <c r="AL113" i="24"/>
  <c r="AK113" i="24"/>
  <c r="AJ113" i="24"/>
  <c r="AN106" i="24"/>
  <c r="AM106" i="24"/>
  <c r="AL106" i="24"/>
  <c r="AK106" i="24"/>
  <c r="AJ106" i="24"/>
  <c r="AN99" i="24"/>
  <c r="AM99" i="24"/>
  <c r="AL99" i="24"/>
  <c r="AK99" i="24"/>
  <c r="AJ99" i="24"/>
  <c r="AN94" i="24"/>
  <c r="AM94" i="24"/>
  <c r="AL94" i="24"/>
  <c r="AK94" i="24"/>
  <c r="AJ94" i="24"/>
  <c r="AN89" i="24"/>
  <c r="AM89" i="24"/>
  <c r="AL89" i="24"/>
  <c r="AK89" i="24"/>
  <c r="AJ89" i="24"/>
  <c r="AN84" i="24"/>
  <c r="AM84" i="24"/>
  <c r="AL84" i="24"/>
  <c r="AK84" i="24"/>
  <c r="AJ84" i="24"/>
  <c r="AN79" i="24"/>
  <c r="AM79" i="24"/>
  <c r="AL79" i="24"/>
  <c r="AK79" i="24"/>
  <c r="AJ79" i="24"/>
  <c r="AN74" i="24"/>
  <c r="AM74" i="24"/>
  <c r="AL74" i="24"/>
  <c r="AK74" i="24"/>
  <c r="AJ74" i="24"/>
  <c r="AN64" i="24"/>
  <c r="AM64" i="24"/>
  <c r="AL64" i="24"/>
  <c r="AK64" i="24"/>
  <c r="AJ64" i="24"/>
  <c r="AN59" i="24"/>
  <c r="AM59" i="24"/>
  <c r="AL59" i="24"/>
  <c r="AK59" i="24"/>
  <c r="AJ59" i="24"/>
  <c r="AN51" i="24"/>
  <c r="AM51" i="24"/>
  <c r="AL51" i="24"/>
  <c r="AK51" i="24"/>
  <c r="AJ51" i="24"/>
  <c r="AN41" i="24"/>
  <c r="AM41" i="24"/>
  <c r="AL41" i="24"/>
  <c r="AK41" i="24"/>
  <c r="AJ41" i="24"/>
  <c r="AN33" i="24"/>
  <c r="AM33" i="24"/>
  <c r="AL33" i="24"/>
  <c r="AK33" i="24"/>
  <c r="AJ33" i="24"/>
  <c r="AN27" i="24"/>
  <c r="AM27" i="24"/>
  <c r="AL27" i="24"/>
  <c r="AK27" i="24"/>
  <c r="AJ27" i="24"/>
  <c r="AN20" i="24"/>
  <c r="AM20" i="24"/>
  <c r="AL20" i="24"/>
  <c r="AK20" i="24"/>
  <c r="AJ20" i="24"/>
  <c r="AN14" i="24"/>
  <c r="AM14" i="24"/>
  <c r="AL14" i="24"/>
  <c r="AK14" i="24"/>
  <c r="AJ14" i="24"/>
  <c r="AN5" i="24"/>
  <c r="AM5" i="24"/>
  <c r="AL5" i="24"/>
  <c r="AK5" i="24"/>
  <c r="AJ5" i="24"/>
  <c r="AI147" i="24"/>
  <c r="AH147" i="24"/>
  <c r="AG147" i="24"/>
  <c r="AF147" i="24"/>
  <c r="AE147" i="24"/>
  <c r="AI142" i="24"/>
  <c r="AH142" i="24"/>
  <c r="AG142" i="24"/>
  <c r="AF142" i="24"/>
  <c r="AE142" i="24"/>
  <c r="AI137" i="24"/>
  <c r="AH137" i="24"/>
  <c r="AG137" i="24"/>
  <c r="AF137" i="24"/>
  <c r="AE137" i="24"/>
  <c r="AI124" i="24"/>
  <c r="AH124" i="24"/>
  <c r="AG124" i="24"/>
  <c r="AF124" i="24"/>
  <c r="AE124" i="24"/>
  <c r="AI118" i="24"/>
  <c r="AH118" i="24"/>
  <c r="AG118" i="24"/>
  <c r="AF118" i="24"/>
  <c r="AE118" i="24"/>
  <c r="AI113" i="24"/>
  <c r="AH113" i="24"/>
  <c r="AG113" i="24"/>
  <c r="AF113" i="24"/>
  <c r="AE113" i="24"/>
  <c r="AI106" i="24"/>
  <c r="AH106" i="24"/>
  <c r="AG106" i="24"/>
  <c r="AF106" i="24"/>
  <c r="AE106" i="24"/>
  <c r="AI99" i="24"/>
  <c r="AH99" i="24"/>
  <c r="AG99" i="24"/>
  <c r="AF99" i="24"/>
  <c r="AE99" i="24"/>
  <c r="AI94" i="24"/>
  <c r="AH94" i="24"/>
  <c r="AG94" i="24"/>
  <c r="AF94" i="24"/>
  <c r="AE94" i="24"/>
  <c r="AI89" i="24"/>
  <c r="AH89" i="24"/>
  <c r="AG89" i="24"/>
  <c r="AF89" i="24"/>
  <c r="AE89" i="24"/>
  <c r="AI84" i="24"/>
  <c r="AH84" i="24"/>
  <c r="AG84" i="24"/>
  <c r="AF84" i="24"/>
  <c r="AE84" i="24"/>
  <c r="AI79" i="24"/>
  <c r="AH79" i="24"/>
  <c r="AG79" i="24"/>
  <c r="AF79" i="24"/>
  <c r="AE79" i="24"/>
  <c r="AI74" i="24"/>
  <c r="AH74" i="24"/>
  <c r="AG74" i="24"/>
  <c r="AF74" i="24"/>
  <c r="AE74" i="24"/>
  <c r="AI64" i="24"/>
  <c r="AH64" i="24"/>
  <c r="AG64" i="24"/>
  <c r="AF64" i="24"/>
  <c r="AE64" i="24"/>
  <c r="AI59" i="24"/>
  <c r="AH59" i="24"/>
  <c r="AG59" i="24"/>
  <c r="AF59" i="24"/>
  <c r="AE59" i="24"/>
  <c r="AI51" i="24"/>
  <c r="AH51" i="24"/>
  <c r="AG51" i="24"/>
  <c r="AF51" i="24"/>
  <c r="AE51" i="24"/>
  <c r="AI41" i="24"/>
  <c r="AH41" i="24"/>
  <c r="AG41" i="24"/>
  <c r="AF41" i="24"/>
  <c r="AE41" i="24"/>
  <c r="AI33" i="24"/>
  <c r="AH33" i="24"/>
  <c r="AG33" i="24"/>
  <c r="AF33" i="24"/>
  <c r="AE33" i="24"/>
  <c r="AI27" i="24"/>
  <c r="AH27" i="24"/>
  <c r="AG27" i="24"/>
  <c r="AF27" i="24"/>
  <c r="AE27" i="24"/>
  <c r="AI20" i="24"/>
  <c r="AH20" i="24"/>
  <c r="AG20" i="24"/>
  <c r="AF20" i="24"/>
  <c r="AE20" i="24"/>
  <c r="AI14" i="24"/>
  <c r="AH14" i="24"/>
  <c r="AG14" i="24"/>
  <c r="AF14" i="24"/>
  <c r="AE14" i="24"/>
  <c r="AI5" i="24"/>
  <c r="AH5" i="24"/>
  <c r="AG5" i="24"/>
  <c r="AF5" i="24"/>
  <c r="AE5" i="24"/>
  <c r="AD147" i="24"/>
  <c r="AC147" i="24"/>
  <c r="AB147" i="24"/>
  <c r="AA147" i="24"/>
  <c r="Z147" i="24"/>
  <c r="AD142" i="24"/>
  <c r="AC142" i="24"/>
  <c r="AB142" i="24"/>
  <c r="AA142" i="24"/>
  <c r="Z142" i="24"/>
  <c r="AD137" i="24"/>
  <c r="AC137" i="24"/>
  <c r="AB137" i="24"/>
  <c r="AA137" i="24"/>
  <c r="Z137" i="24"/>
  <c r="AD124" i="24"/>
  <c r="AC124" i="24"/>
  <c r="AB124" i="24"/>
  <c r="AA124" i="24"/>
  <c r="Z124" i="24"/>
  <c r="AD118" i="24"/>
  <c r="AC118" i="24"/>
  <c r="AB118" i="24"/>
  <c r="AA118" i="24"/>
  <c r="Z118" i="24"/>
  <c r="AD113" i="24"/>
  <c r="AC113" i="24"/>
  <c r="AB113" i="24"/>
  <c r="AA113" i="24"/>
  <c r="Z113" i="24"/>
  <c r="AD106" i="24"/>
  <c r="AC106" i="24"/>
  <c r="AB106" i="24"/>
  <c r="AA106" i="24"/>
  <c r="Z106" i="24"/>
  <c r="AD99" i="24"/>
  <c r="AC99" i="24"/>
  <c r="AB99" i="24"/>
  <c r="AA99" i="24"/>
  <c r="Z99" i="24"/>
  <c r="AD94" i="24"/>
  <c r="AC94" i="24"/>
  <c r="AB94" i="24"/>
  <c r="AA94" i="24"/>
  <c r="Z94" i="24"/>
  <c r="AD89" i="24"/>
  <c r="AC89" i="24"/>
  <c r="AB89" i="24"/>
  <c r="AA89" i="24"/>
  <c r="Z89" i="24"/>
  <c r="AD84" i="24"/>
  <c r="AC84" i="24"/>
  <c r="AB84" i="24"/>
  <c r="AA84" i="24"/>
  <c r="Z84" i="24"/>
  <c r="AD79" i="24"/>
  <c r="AC79" i="24"/>
  <c r="AB79" i="24"/>
  <c r="AA79" i="24"/>
  <c r="Z79" i="24"/>
  <c r="AD74" i="24"/>
  <c r="AC74" i="24"/>
  <c r="AB74" i="24"/>
  <c r="AA74" i="24"/>
  <c r="Z74" i="24"/>
  <c r="AD64" i="24"/>
  <c r="AC64" i="24"/>
  <c r="AB64" i="24"/>
  <c r="AA64" i="24"/>
  <c r="Z64" i="24"/>
  <c r="AD59" i="24"/>
  <c r="AC59" i="24"/>
  <c r="AB59" i="24"/>
  <c r="AA59" i="24"/>
  <c r="Z59" i="24"/>
  <c r="AD51" i="24"/>
  <c r="AC51" i="24"/>
  <c r="AB51" i="24"/>
  <c r="AA51" i="24"/>
  <c r="Z51" i="24"/>
  <c r="AD41" i="24"/>
  <c r="AC41" i="24"/>
  <c r="AB41" i="24"/>
  <c r="AA41" i="24"/>
  <c r="Z41" i="24"/>
  <c r="AD33" i="24"/>
  <c r="AC33" i="24"/>
  <c r="AB33" i="24"/>
  <c r="AA33" i="24"/>
  <c r="Z33" i="24"/>
  <c r="AD27" i="24"/>
  <c r="AC27" i="24"/>
  <c r="AB27" i="24"/>
  <c r="AA27" i="24"/>
  <c r="Z27" i="24"/>
  <c r="AD20" i="24"/>
  <c r="AC20" i="24"/>
  <c r="AB20" i="24"/>
  <c r="AA20" i="24"/>
  <c r="Z20" i="24"/>
  <c r="AD14" i="24"/>
  <c r="AC14" i="24"/>
  <c r="AB14" i="24"/>
  <c r="AA14" i="24"/>
  <c r="Z14" i="24"/>
  <c r="AD5" i="24"/>
  <c r="AC5" i="24"/>
  <c r="AB5" i="24"/>
  <c r="AA5" i="24"/>
  <c r="Z5" i="24"/>
  <c r="J8" i="25"/>
  <c r="I8" i="25"/>
  <c r="H8" i="25"/>
  <c r="G8" i="25"/>
  <c r="F8" i="25"/>
  <c r="Y147" i="24"/>
  <c r="X147" i="24"/>
  <c r="W147" i="24"/>
  <c r="V147" i="24"/>
  <c r="U147" i="24"/>
  <c r="T147" i="24"/>
  <c r="S147" i="24"/>
  <c r="R147" i="24"/>
  <c r="Q147" i="24"/>
  <c r="P147" i="24"/>
  <c r="O147" i="24"/>
  <c r="N147" i="24"/>
  <c r="M147" i="24"/>
  <c r="L147" i="24"/>
  <c r="K147" i="24"/>
  <c r="J147" i="24"/>
  <c r="I147" i="24"/>
  <c r="H147" i="24"/>
  <c r="G147" i="24"/>
  <c r="F147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J27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Y5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Y124" i="24"/>
  <c r="X124" i="24"/>
  <c r="W124" i="24"/>
  <c r="V124" i="24"/>
  <c r="U124" i="24"/>
  <c r="T124" i="24"/>
  <c r="S124" i="24"/>
  <c r="R124" i="24"/>
  <c r="Q124" i="24"/>
  <c r="P124" i="24"/>
  <c r="O124" i="24"/>
  <c r="N124" i="24"/>
  <c r="M124" i="24"/>
  <c r="L124" i="24"/>
  <c r="K124" i="24"/>
  <c r="G124" i="24"/>
  <c r="H124" i="24"/>
  <c r="I124" i="24"/>
  <c r="J124" i="24"/>
  <c r="F124" i="24"/>
  <c r="W41" i="24"/>
  <c r="R41" i="24"/>
  <c r="M41" i="24"/>
  <c r="H41" i="24"/>
  <c r="Y118" i="24"/>
  <c r="X118" i="24"/>
  <c r="W118" i="24"/>
  <c r="V118" i="24"/>
  <c r="U118" i="24"/>
  <c r="Y113" i="24"/>
  <c r="X113" i="24"/>
  <c r="W113" i="24"/>
  <c r="V113" i="24"/>
  <c r="U113" i="24"/>
  <c r="Y106" i="24"/>
  <c r="X106" i="24"/>
  <c r="W106" i="24"/>
  <c r="V106" i="24"/>
  <c r="U106" i="24"/>
  <c r="Y94" i="24"/>
  <c r="X94" i="24"/>
  <c r="W94" i="24"/>
  <c r="V94" i="24"/>
  <c r="U94" i="24"/>
  <c r="Y89" i="24"/>
  <c r="X89" i="24"/>
  <c r="W89" i="24"/>
  <c r="V89" i="24"/>
  <c r="U89" i="24"/>
  <c r="Y84" i="24"/>
  <c r="X84" i="24"/>
  <c r="W84" i="24"/>
  <c r="V84" i="24"/>
  <c r="U84" i="24"/>
  <c r="Y79" i="24"/>
  <c r="X79" i="24"/>
  <c r="W79" i="24"/>
  <c r="V79" i="24"/>
  <c r="U79" i="24"/>
  <c r="Y74" i="24"/>
  <c r="X74" i="24"/>
  <c r="W74" i="24"/>
  <c r="V74" i="24"/>
  <c r="U74" i="24"/>
  <c r="Y64" i="24"/>
  <c r="X64" i="24"/>
  <c r="W64" i="24"/>
  <c r="V64" i="24"/>
  <c r="U64" i="24"/>
  <c r="Y59" i="24"/>
  <c r="X59" i="24"/>
  <c r="W59" i="24"/>
  <c r="V59" i="24"/>
  <c r="U59" i="24"/>
  <c r="Y51" i="24"/>
  <c r="X51" i="24"/>
  <c r="W51" i="24"/>
  <c r="V51" i="24"/>
  <c r="U51" i="24"/>
  <c r="Y41" i="24"/>
  <c r="X41" i="24"/>
  <c r="V41" i="24"/>
  <c r="U41" i="24"/>
  <c r="Y33" i="24"/>
  <c r="X33" i="24"/>
  <c r="W33" i="24"/>
  <c r="V33" i="24"/>
  <c r="U33" i="24"/>
  <c r="Y27" i="24"/>
  <c r="X27" i="24"/>
  <c r="W27" i="24"/>
  <c r="V27" i="24"/>
  <c r="U27" i="24"/>
  <c r="Y20" i="24"/>
  <c r="X20" i="24"/>
  <c r="W20" i="24"/>
  <c r="V20" i="24"/>
  <c r="U20" i="24"/>
  <c r="Y14" i="24"/>
  <c r="X14" i="24"/>
  <c r="W14" i="24"/>
  <c r="V14" i="24"/>
  <c r="U14" i="24"/>
  <c r="T118" i="24"/>
  <c r="S118" i="24"/>
  <c r="R118" i="24"/>
  <c r="Q118" i="24"/>
  <c r="P118" i="24"/>
  <c r="T113" i="24"/>
  <c r="S113" i="24"/>
  <c r="R113" i="24"/>
  <c r="Q113" i="24"/>
  <c r="P113" i="24"/>
  <c r="T106" i="24"/>
  <c r="S106" i="24"/>
  <c r="R106" i="24"/>
  <c r="Q106" i="24"/>
  <c r="P106" i="24"/>
  <c r="T94" i="24"/>
  <c r="S94" i="24"/>
  <c r="R94" i="24"/>
  <c r="Q94" i="24"/>
  <c r="P94" i="24"/>
  <c r="T89" i="24"/>
  <c r="S89" i="24"/>
  <c r="R89" i="24"/>
  <c r="Q89" i="24"/>
  <c r="P89" i="24"/>
  <c r="T84" i="24"/>
  <c r="S84" i="24"/>
  <c r="R84" i="24"/>
  <c r="Q84" i="24"/>
  <c r="P84" i="24"/>
  <c r="T79" i="24"/>
  <c r="S79" i="24"/>
  <c r="R79" i="24"/>
  <c r="Q79" i="24"/>
  <c r="P79" i="24"/>
  <c r="T74" i="24"/>
  <c r="S74" i="24"/>
  <c r="R74" i="24"/>
  <c r="Q74" i="24"/>
  <c r="P74" i="24"/>
  <c r="T64" i="24"/>
  <c r="S64" i="24"/>
  <c r="R64" i="24"/>
  <c r="Q64" i="24"/>
  <c r="P64" i="24"/>
  <c r="T59" i="24"/>
  <c r="S59" i="24"/>
  <c r="R59" i="24"/>
  <c r="Q59" i="24"/>
  <c r="P59" i="24"/>
  <c r="T51" i="24"/>
  <c r="S51" i="24"/>
  <c r="R51" i="24"/>
  <c r="Q51" i="24"/>
  <c r="P51" i="24"/>
  <c r="T41" i="24"/>
  <c r="S41" i="24"/>
  <c r="Q41" i="24"/>
  <c r="P41" i="24"/>
  <c r="T33" i="24"/>
  <c r="S33" i="24"/>
  <c r="R33" i="24"/>
  <c r="Q33" i="24"/>
  <c r="P33" i="24"/>
  <c r="T27" i="24"/>
  <c r="S27" i="24"/>
  <c r="R27" i="24"/>
  <c r="Q27" i="24"/>
  <c r="P27" i="24"/>
  <c r="T20" i="24"/>
  <c r="S20" i="24"/>
  <c r="R20" i="24"/>
  <c r="Q20" i="24"/>
  <c r="P20" i="24"/>
  <c r="T14" i="24"/>
  <c r="S14" i="24"/>
  <c r="R14" i="24"/>
  <c r="Q14" i="24"/>
  <c r="P14" i="24"/>
  <c r="O118" i="24"/>
  <c r="N118" i="24"/>
  <c r="M118" i="24"/>
  <c r="L118" i="24"/>
  <c r="K118" i="24"/>
  <c r="O113" i="24"/>
  <c r="N113" i="24"/>
  <c r="M113" i="24"/>
  <c r="L113" i="24"/>
  <c r="K113" i="24"/>
  <c r="O106" i="24"/>
  <c r="N106" i="24"/>
  <c r="M106" i="24"/>
  <c r="L106" i="24"/>
  <c r="K106" i="24"/>
  <c r="O94" i="24"/>
  <c r="N94" i="24"/>
  <c r="M94" i="24"/>
  <c r="L94" i="24"/>
  <c r="K94" i="24"/>
  <c r="O89" i="24"/>
  <c r="N89" i="24"/>
  <c r="M89" i="24"/>
  <c r="L89" i="24"/>
  <c r="K89" i="24"/>
  <c r="O84" i="24"/>
  <c r="N84" i="24"/>
  <c r="M84" i="24"/>
  <c r="L84" i="24"/>
  <c r="K84" i="24"/>
  <c r="O79" i="24"/>
  <c r="N79" i="24"/>
  <c r="M79" i="24"/>
  <c r="L79" i="24"/>
  <c r="K79" i="24"/>
  <c r="O74" i="24"/>
  <c r="N74" i="24"/>
  <c r="M74" i="24"/>
  <c r="L74" i="24"/>
  <c r="K74" i="24"/>
  <c r="O64" i="24"/>
  <c r="N64" i="24"/>
  <c r="M64" i="24"/>
  <c r="L64" i="24"/>
  <c r="K64" i="24"/>
  <c r="O59" i="24"/>
  <c r="N59" i="24"/>
  <c r="M59" i="24"/>
  <c r="L59" i="24"/>
  <c r="K59" i="24"/>
  <c r="O51" i="24"/>
  <c r="N51" i="24"/>
  <c r="M51" i="24"/>
  <c r="L51" i="24"/>
  <c r="K51" i="24"/>
  <c r="O41" i="24"/>
  <c r="N41" i="24"/>
  <c r="L41" i="24"/>
  <c r="K41" i="24"/>
  <c r="O33" i="24"/>
  <c r="N33" i="24"/>
  <c r="M33" i="24"/>
  <c r="L33" i="24"/>
  <c r="K33" i="24"/>
  <c r="O27" i="24"/>
  <c r="N27" i="24"/>
  <c r="M27" i="24"/>
  <c r="L27" i="24"/>
  <c r="K27" i="24"/>
  <c r="O20" i="24"/>
  <c r="N20" i="24"/>
  <c r="M20" i="24"/>
  <c r="L20" i="24"/>
  <c r="K20" i="24"/>
  <c r="O14" i="24"/>
  <c r="N14" i="24"/>
  <c r="M14" i="24"/>
  <c r="L14" i="24"/>
  <c r="K14" i="24"/>
  <c r="G20" i="24"/>
  <c r="H20" i="24"/>
  <c r="I20" i="24"/>
  <c r="J20" i="24"/>
  <c r="F20" i="24"/>
  <c r="G14" i="24"/>
  <c r="H14" i="24"/>
  <c r="I14" i="24"/>
  <c r="J14" i="24"/>
  <c r="F14" i="24"/>
  <c r="J118" i="24"/>
  <c r="I118" i="24"/>
  <c r="H118" i="24"/>
  <c r="G118" i="24"/>
  <c r="F118" i="24"/>
  <c r="J113" i="24"/>
  <c r="I113" i="24"/>
  <c r="H113" i="24"/>
  <c r="G113" i="24"/>
  <c r="F113" i="24"/>
  <c r="J106" i="24"/>
  <c r="I106" i="24"/>
  <c r="H106" i="24"/>
  <c r="G106" i="24"/>
  <c r="F106" i="24"/>
  <c r="J94" i="24"/>
  <c r="I94" i="24"/>
  <c r="H94" i="24"/>
  <c r="G94" i="24"/>
  <c r="F94" i="24"/>
  <c r="J89" i="24"/>
  <c r="I89" i="24"/>
  <c r="H89" i="24"/>
  <c r="G89" i="24"/>
  <c r="F89" i="24"/>
  <c r="J84" i="24"/>
  <c r="I84" i="24"/>
  <c r="H84" i="24"/>
  <c r="G84" i="24"/>
  <c r="F84" i="24"/>
  <c r="J79" i="24"/>
  <c r="I79" i="24"/>
  <c r="H79" i="24"/>
  <c r="G79" i="24"/>
  <c r="F79" i="24"/>
  <c r="J74" i="24"/>
  <c r="I74" i="24"/>
  <c r="H74" i="24"/>
  <c r="G74" i="24"/>
  <c r="F74" i="24"/>
  <c r="J64" i="24"/>
  <c r="I64" i="24"/>
  <c r="H64" i="24"/>
  <c r="G64" i="24"/>
  <c r="F64" i="24"/>
  <c r="J59" i="24"/>
  <c r="I59" i="24"/>
  <c r="H59" i="24"/>
  <c r="G59" i="24"/>
  <c r="F59" i="24"/>
  <c r="J51" i="24"/>
  <c r="I51" i="24"/>
  <c r="H51" i="24"/>
  <c r="G51" i="24"/>
  <c r="F51" i="24"/>
  <c r="J41" i="24"/>
  <c r="I41" i="24"/>
  <c r="G41" i="24"/>
  <c r="F41" i="24"/>
  <c r="G33" i="24"/>
  <c r="H33" i="24"/>
  <c r="I33" i="24"/>
  <c r="J33" i="24"/>
  <c r="F33" i="24"/>
  <c r="I27" i="24"/>
  <c r="H27" i="24"/>
  <c r="G27" i="24"/>
  <c r="F27" i="24"/>
  <c r="Y2" i="26" l="1"/>
  <c r="M2" i="26"/>
  <c r="U2" i="26"/>
  <c r="L2" i="26"/>
  <c r="T2" i="26"/>
  <c r="Q2" i="26"/>
  <c r="R2" i="26"/>
  <c r="O2" i="26"/>
  <c r="P2" i="26"/>
  <c r="X2" i="26"/>
  <c r="N2" i="26"/>
  <c r="V2" i="26"/>
  <c r="W2" i="26"/>
  <c r="S2" i="26"/>
  <c r="K2" i="26"/>
  <c r="J2" i="26"/>
  <c r="H2" i="26"/>
  <c r="G2" i="26"/>
  <c r="F2" i="26"/>
  <c r="I2" i="26"/>
  <c r="AS2" i="24"/>
  <c r="AM2" i="24"/>
  <c r="AQ2" i="24"/>
  <c r="K2" i="24"/>
  <c r="AJ2" i="24"/>
  <c r="AR2" i="24"/>
  <c r="AH2" i="24"/>
  <c r="AC2" i="24"/>
  <c r="AP2" i="24"/>
  <c r="AK2" i="24"/>
  <c r="AL2" i="24"/>
  <c r="AF2" i="24"/>
  <c r="Z2" i="24"/>
  <c r="AE2" i="24"/>
  <c r="AD2" i="24"/>
  <c r="AB2" i="24"/>
  <c r="AO2" i="24"/>
  <c r="AG2" i="24"/>
  <c r="AA2" i="24"/>
  <c r="AN2" i="24"/>
  <c r="AI2" i="24"/>
  <c r="U2" i="24"/>
  <c r="Y2" i="24"/>
  <c r="O2" i="24"/>
  <c r="W2" i="24"/>
  <c r="L2" i="24"/>
  <c r="X2" i="24"/>
  <c r="H2" i="24"/>
  <c r="P2" i="24"/>
  <c r="G2" i="24"/>
  <c r="M2" i="24"/>
  <c r="V2" i="24"/>
  <c r="F2" i="24"/>
  <c r="N2" i="24"/>
  <c r="I2" i="24"/>
  <c r="Q2" i="24"/>
  <c r="J2" i="24"/>
  <c r="R2" i="24"/>
  <c r="S2" i="24"/>
  <c r="T2" i="24"/>
  <c r="T1" i="26" l="1"/>
  <c r="Y1" i="26"/>
  <c r="J1" i="26"/>
  <c r="O1" i="26"/>
  <c r="AS1" i="24"/>
  <c r="AD1" i="24"/>
  <c r="AI1" i="24"/>
  <c r="AN1" i="24"/>
  <c r="Y1" i="24"/>
  <c r="O1" i="24"/>
  <c r="T1" i="24"/>
  <c r="J1" i="24"/>
  <c r="B6" i="23" l="1"/>
  <c r="B3" i="23"/>
  <c r="C2" i="23"/>
  <c r="M3" i="12" l="1"/>
  <c r="P13" i="12"/>
  <c r="P3" i="12"/>
  <c r="Y3" i="12" s="1"/>
  <c r="C9" i="12"/>
  <c r="AJ6" i="12" s="1"/>
  <c r="C8" i="12"/>
  <c r="C4" i="12" s="1"/>
  <c r="C7" i="12"/>
  <c r="C6" i="12"/>
  <c r="C3" i="12"/>
  <c r="T21" i="12"/>
  <c r="T15" i="12"/>
  <c r="P22" i="12"/>
  <c r="P21" i="12"/>
  <c r="P20" i="12"/>
  <c r="P19" i="12"/>
  <c r="P17" i="12"/>
  <c r="P16" i="12"/>
  <c r="P15" i="12"/>
  <c r="P14" i="12"/>
  <c r="P10" i="12"/>
  <c r="P8" i="12"/>
  <c r="P7" i="12"/>
  <c r="M9" i="12"/>
  <c r="M7" i="12"/>
  <c r="M6" i="12"/>
  <c r="I5" i="12"/>
  <c r="I14" i="12"/>
  <c r="F14" i="12"/>
  <c r="C14" i="12"/>
  <c r="F5" i="12"/>
  <c r="AV4" i="12"/>
  <c r="BG4" i="12"/>
  <c r="AW4" i="12"/>
  <c r="AX4" i="12"/>
  <c r="AY4" i="12"/>
  <c r="AZ4" i="12"/>
  <c r="BA4" i="12"/>
  <c r="BB4" i="12"/>
  <c r="BC4" i="12"/>
  <c r="BD4" i="12"/>
  <c r="BE4" i="12"/>
  <c r="BF4" i="12"/>
  <c r="AM6" i="12"/>
  <c r="I18" i="12"/>
  <c r="I17" i="12"/>
  <c r="I16" i="12"/>
  <c r="I13" i="12"/>
  <c r="I12" i="12"/>
  <c r="I9" i="12"/>
  <c r="I8" i="12"/>
  <c r="I7" i="12"/>
  <c r="I4" i="12"/>
  <c r="I3" i="12"/>
  <c r="F18" i="12"/>
  <c r="F17" i="12"/>
  <c r="F16" i="12"/>
  <c r="F13" i="12"/>
  <c r="F12" i="12"/>
  <c r="F9" i="12"/>
  <c r="F8" i="12"/>
  <c r="F7" i="12"/>
  <c r="F4" i="12"/>
  <c r="F3" i="12"/>
  <c r="C18" i="12"/>
  <c r="C17" i="12"/>
  <c r="C16" i="12"/>
  <c r="C13" i="12"/>
  <c r="C12" i="12"/>
  <c r="V3" i="14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R3" i="14"/>
  <c r="S3" i="14"/>
  <c r="T3" i="14"/>
  <c r="U3" i="14"/>
  <c r="W3" i="14"/>
  <c r="X3" i="14"/>
  <c r="Y3" i="14"/>
  <c r="Z3" i="14"/>
  <c r="AA3" i="14"/>
  <c r="AB3" i="14"/>
  <c r="R4" i="14"/>
  <c r="S4" i="14"/>
  <c r="T4" i="14"/>
  <c r="U4" i="14"/>
  <c r="V4" i="14"/>
  <c r="W4" i="14"/>
  <c r="X4" i="14"/>
  <c r="Y4" i="14"/>
  <c r="Z4" i="14"/>
  <c r="AA4" i="14"/>
  <c r="AB4" i="14"/>
  <c r="R5" i="14"/>
  <c r="S5" i="14"/>
  <c r="T5" i="14"/>
  <c r="U5" i="14"/>
  <c r="V5" i="14"/>
  <c r="W5" i="14"/>
  <c r="X5" i="14"/>
  <c r="Y5" i="14"/>
  <c r="Z5" i="14"/>
  <c r="AA5" i="14"/>
  <c r="AB5" i="14"/>
  <c r="R6" i="14"/>
  <c r="S6" i="14"/>
  <c r="T6" i="14"/>
  <c r="U6" i="14"/>
  <c r="V6" i="14"/>
  <c r="W6" i="14"/>
  <c r="X6" i="14"/>
  <c r="Y6" i="14"/>
  <c r="Z6" i="14"/>
  <c r="AA6" i="14"/>
  <c r="AB6" i="14"/>
  <c r="R7" i="14"/>
  <c r="S7" i="14"/>
  <c r="T7" i="14"/>
  <c r="U7" i="14"/>
  <c r="V7" i="14"/>
  <c r="W7" i="14"/>
  <c r="X7" i="14"/>
  <c r="Y7" i="14"/>
  <c r="Z7" i="14"/>
  <c r="AA7" i="14"/>
  <c r="AB7" i="14"/>
  <c r="R8" i="14"/>
  <c r="S8" i="14"/>
  <c r="T8" i="14"/>
  <c r="U8" i="14"/>
  <c r="V8" i="14"/>
  <c r="W8" i="14"/>
  <c r="X8" i="14"/>
  <c r="Y8" i="14"/>
  <c r="Z8" i="14"/>
  <c r="AA8" i="14"/>
  <c r="AB8" i="14"/>
  <c r="R9" i="14"/>
  <c r="S9" i="14"/>
  <c r="T9" i="14"/>
  <c r="U9" i="14"/>
  <c r="V9" i="14"/>
  <c r="W9" i="14"/>
  <c r="X9" i="14"/>
  <c r="Y9" i="14"/>
  <c r="Z9" i="14"/>
  <c r="AA9" i="14"/>
  <c r="AB9" i="14"/>
  <c r="R10" i="14"/>
  <c r="S10" i="14"/>
  <c r="T10" i="14"/>
  <c r="U10" i="14"/>
  <c r="V10" i="14"/>
  <c r="W10" i="14"/>
  <c r="X10" i="14"/>
  <c r="Y10" i="14"/>
  <c r="Z10" i="14"/>
  <c r="AA10" i="14"/>
  <c r="AB10" i="14"/>
  <c r="R11" i="14"/>
  <c r="S11" i="14"/>
  <c r="T11" i="14"/>
  <c r="U11" i="14"/>
  <c r="V11" i="14"/>
  <c r="W11" i="14"/>
  <c r="X11" i="14"/>
  <c r="Y11" i="14"/>
  <c r="Z11" i="14"/>
  <c r="AA11" i="14"/>
  <c r="AB11" i="14"/>
  <c r="R12" i="14"/>
  <c r="S12" i="14"/>
  <c r="T12" i="14"/>
  <c r="U12" i="14"/>
  <c r="V12" i="14"/>
  <c r="W12" i="14"/>
  <c r="X12" i="14"/>
  <c r="Y12" i="14"/>
  <c r="Z12" i="14"/>
  <c r="AA12" i="14"/>
  <c r="AB12" i="14"/>
  <c r="R13" i="14"/>
  <c r="S13" i="14"/>
  <c r="T13" i="14"/>
  <c r="U13" i="14"/>
  <c r="V13" i="14"/>
  <c r="W13" i="14"/>
  <c r="X13" i="14"/>
  <c r="Y13" i="14"/>
  <c r="Z13" i="14"/>
  <c r="AA13" i="14"/>
  <c r="AB13" i="14"/>
  <c r="R14" i="14"/>
  <c r="S14" i="14"/>
  <c r="T14" i="14"/>
  <c r="U14" i="14"/>
  <c r="V14" i="14"/>
  <c r="W14" i="14"/>
  <c r="X14" i="14"/>
  <c r="Y14" i="14"/>
  <c r="Z14" i="14"/>
  <c r="AA14" i="14"/>
  <c r="AB14" i="14"/>
  <c r="R15" i="14"/>
  <c r="S15" i="14"/>
  <c r="T15" i="14"/>
  <c r="U15" i="14"/>
  <c r="V15" i="14"/>
  <c r="W15" i="14"/>
  <c r="X15" i="14"/>
  <c r="Y15" i="14"/>
  <c r="Z15" i="14"/>
  <c r="AA15" i="14"/>
  <c r="AB15" i="14"/>
  <c r="R16" i="14"/>
  <c r="S16" i="14"/>
  <c r="T16" i="14"/>
  <c r="U16" i="14"/>
  <c r="V16" i="14"/>
  <c r="W16" i="14"/>
  <c r="X16" i="14"/>
  <c r="Y16" i="14"/>
  <c r="Z16" i="14"/>
  <c r="AA16" i="14"/>
  <c r="AB16" i="14"/>
  <c r="S2" i="14"/>
  <c r="T2" i="14"/>
  <c r="U2" i="14"/>
  <c r="V2" i="14"/>
  <c r="W2" i="14"/>
  <c r="X2" i="14"/>
  <c r="Y2" i="14"/>
  <c r="Z2" i="14"/>
  <c r="AA2" i="14"/>
  <c r="AB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2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2" i="14"/>
  <c r="R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2" i="14"/>
  <c r="D213" i="7"/>
  <c r="B213" i="7"/>
  <c r="B185" i="7"/>
  <c r="D85" i="7"/>
  <c r="D84" i="7"/>
  <c r="D67" i="7"/>
  <c r="D66" i="7"/>
  <c r="D121" i="7"/>
  <c r="D120" i="7"/>
  <c r="D139" i="7"/>
  <c r="D102" i="7"/>
  <c r="D101" i="7"/>
  <c r="X12" i="5"/>
  <c r="X13" i="5"/>
  <c r="X14" i="5"/>
  <c r="Y14" i="5"/>
  <c r="AA13" i="5"/>
  <c r="AB13" i="5"/>
  <c r="AC13" i="5"/>
  <c r="AD13" i="5"/>
  <c r="AE13" i="5"/>
  <c r="AF13" i="5"/>
  <c r="AG13" i="5"/>
  <c r="AH13" i="5"/>
  <c r="AI13" i="5"/>
  <c r="AD11" i="5"/>
  <c r="AE11" i="5"/>
  <c r="AF11" i="5"/>
  <c r="AG11" i="5"/>
  <c r="AH11" i="5"/>
  <c r="AI11" i="5"/>
  <c r="AD12" i="5"/>
  <c r="AE12" i="5"/>
  <c r="AF12" i="5"/>
  <c r="AG12" i="5"/>
  <c r="AH12" i="5"/>
  <c r="AI12" i="5"/>
  <c r="AD14" i="5"/>
  <c r="AE14" i="5"/>
  <c r="AF14" i="5"/>
  <c r="AG14" i="5"/>
  <c r="AH14" i="5"/>
  <c r="AI14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1" i="5"/>
  <c r="K52" i="5"/>
  <c r="K53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28" i="1"/>
  <c r="E28" i="5"/>
  <c r="AE54" i="5"/>
  <c r="AF54" i="5"/>
  <c r="AG54" i="5"/>
  <c r="AH54" i="5"/>
  <c r="AI54" i="5"/>
  <c r="AD51" i="1"/>
  <c r="AF51" i="1"/>
  <c r="Z13" i="5"/>
  <c r="M14" i="5"/>
  <c r="Y13" i="5"/>
  <c r="Z14" i="5"/>
  <c r="AA14" i="5"/>
  <c r="AB14" i="5"/>
  <c r="AC14" i="5"/>
  <c r="Y12" i="5"/>
  <c r="Z12" i="5"/>
  <c r="K12" i="5"/>
  <c r="AA12" i="5"/>
  <c r="AB12" i="5"/>
  <c r="AC12" i="5"/>
  <c r="AE50" i="5"/>
  <c r="AF50" i="5"/>
  <c r="AG50" i="5"/>
  <c r="AH50" i="5"/>
  <c r="AI50" i="5"/>
  <c r="AC30" i="1"/>
  <c r="AD30" i="1"/>
  <c r="AD17" i="1"/>
  <c r="L11" i="5"/>
  <c r="M11" i="5"/>
  <c r="N11" i="5"/>
  <c r="O11" i="5"/>
  <c r="P11" i="5"/>
  <c r="Q11" i="5"/>
  <c r="R11" i="5"/>
  <c r="S11" i="5"/>
  <c r="T11" i="5"/>
  <c r="U11" i="5"/>
  <c r="V11" i="5"/>
  <c r="W11" i="5"/>
  <c r="Y11" i="5"/>
  <c r="Z11" i="5"/>
  <c r="AA11" i="5"/>
  <c r="AB11" i="5"/>
  <c r="AC11" i="5"/>
  <c r="G12" i="5"/>
  <c r="G13" i="5"/>
  <c r="G14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C29" i="1"/>
  <c r="AD29" i="1"/>
  <c r="AE29" i="1"/>
  <c r="AF29" i="1"/>
  <c r="AG29" i="1"/>
  <c r="G6" i="1"/>
  <c r="G7" i="1"/>
  <c r="BQ9" i="1"/>
  <c r="BR9" i="1"/>
  <c r="BS9" i="1"/>
  <c r="BT9" i="1"/>
  <c r="BU9" i="1"/>
  <c r="BV9" i="1"/>
  <c r="BW9" i="1"/>
  <c r="BX9" i="1"/>
  <c r="BY9" i="1"/>
  <c r="Y71" i="1"/>
  <c r="BZ9" i="1"/>
  <c r="CA9" i="1"/>
  <c r="CB9" i="1"/>
  <c r="BQ10" i="1"/>
  <c r="BR10" i="1"/>
  <c r="BS10" i="1"/>
  <c r="BT10" i="1"/>
  <c r="BU10" i="1"/>
  <c r="BV10" i="1"/>
  <c r="V56" i="1"/>
  <c r="BW10" i="1"/>
  <c r="BX10" i="1"/>
  <c r="BY10" i="1"/>
  <c r="BZ10" i="1"/>
  <c r="CA10" i="1"/>
  <c r="CB10" i="1"/>
  <c r="F11" i="1"/>
  <c r="H11" i="1"/>
  <c r="I11" i="1"/>
  <c r="J11" i="1"/>
  <c r="K15" i="1"/>
  <c r="K16" i="1"/>
  <c r="K17" i="1"/>
  <c r="K18" i="1"/>
  <c r="K19" i="1"/>
  <c r="L52" i="1"/>
  <c r="L53" i="1"/>
  <c r="L54" i="1"/>
  <c r="L55" i="1"/>
  <c r="L56" i="1"/>
  <c r="L57" i="1"/>
  <c r="L58" i="1"/>
  <c r="L59" i="1"/>
  <c r="L60" i="1"/>
  <c r="L62" i="1"/>
  <c r="L63" i="1"/>
  <c r="L64" i="1"/>
  <c r="L65" i="1"/>
  <c r="S66" i="1"/>
  <c r="U66" i="1"/>
  <c r="L66" i="1"/>
  <c r="L67" i="1"/>
  <c r="L68" i="1"/>
  <c r="V69" i="1"/>
  <c r="L69" i="1"/>
  <c r="L70" i="1"/>
  <c r="L71" i="1"/>
  <c r="L72" i="1"/>
  <c r="L73" i="1"/>
  <c r="L28" i="1"/>
  <c r="L29" i="1"/>
  <c r="U75" i="1"/>
  <c r="L75" i="1"/>
  <c r="L76" i="1"/>
  <c r="L77" i="1"/>
  <c r="L78" i="1"/>
  <c r="L30" i="1"/>
  <c r="L31" i="1"/>
  <c r="L32" i="1"/>
  <c r="L33" i="1"/>
  <c r="L34" i="1"/>
  <c r="L35" i="1"/>
  <c r="L36" i="1"/>
  <c r="L37" i="1"/>
  <c r="L38" i="1"/>
  <c r="L39" i="1"/>
  <c r="L40" i="1"/>
  <c r="L41" i="1"/>
  <c r="L79" i="1"/>
  <c r="L42" i="1"/>
  <c r="L43" i="1"/>
  <c r="L44" i="1"/>
  <c r="L45" i="1"/>
  <c r="L50" i="1"/>
  <c r="L80" i="1"/>
  <c r="L81" i="1"/>
  <c r="L82" i="1"/>
  <c r="L83" i="1"/>
  <c r="L84" i="1"/>
  <c r="L85" i="1"/>
  <c r="L46" i="1"/>
  <c r="L47" i="1"/>
  <c r="L48" i="1"/>
  <c r="L87" i="1"/>
  <c r="L88" i="1"/>
  <c r="AD89" i="1"/>
  <c r="L89" i="1"/>
  <c r="L90" i="1"/>
  <c r="L91" i="1"/>
  <c r="L92" i="1"/>
  <c r="L93" i="1"/>
  <c r="L94" i="1"/>
  <c r="L95" i="1"/>
  <c r="L49" i="1"/>
  <c r="L96" i="1"/>
  <c r="L86" i="1"/>
  <c r="L97" i="1"/>
  <c r="L51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19" i="1"/>
  <c r="BG25" i="1"/>
  <c r="M52" i="1"/>
  <c r="N52" i="1"/>
  <c r="M53" i="1"/>
  <c r="O53" i="1"/>
  <c r="M54" i="1"/>
  <c r="O54" i="1"/>
  <c r="M55" i="1"/>
  <c r="O55" i="1"/>
  <c r="M56" i="1"/>
  <c r="O56" i="1"/>
  <c r="M57" i="1"/>
  <c r="O57" i="1"/>
  <c r="M58" i="1"/>
  <c r="O58" i="1"/>
  <c r="M59" i="1"/>
  <c r="O59" i="1"/>
  <c r="M60" i="1"/>
  <c r="O60" i="1"/>
  <c r="M61" i="1"/>
  <c r="O61" i="1"/>
  <c r="M62" i="1"/>
  <c r="O62" i="1"/>
  <c r="M63" i="1"/>
  <c r="O63" i="1"/>
  <c r="M64" i="1"/>
  <c r="O64" i="1"/>
  <c r="M65" i="1"/>
  <c r="O65" i="1"/>
  <c r="M66" i="1"/>
  <c r="O66" i="1"/>
  <c r="M67" i="1"/>
  <c r="N67" i="1"/>
  <c r="M68" i="1"/>
  <c r="N68" i="1"/>
  <c r="M69" i="1"/>
  <c r="O69" i="1"/>
  <c r="M70" i="1"/>
  <c r="O70" i="1"/>
  <c r="M71" i="1"/>
  <c r="O71" i="1"/>
  <c r="M72" i="1"/>
  <c r="O72" i="1"/>
  <c r="M73" i="1"/>
  <c r="O73" i="1"/>
  <c r="M74" i="1"/>
  <c r="N74" i="1"/>
  <c r="M28" i="1"/>
  <c r="O28" i="1"/>
  <c r="M29" i="1"/>
  <c r="O29" i="1"/>
  <c r="M75" i="1"/>
  <c r="O75" i="1"/>
  <c r="M76" i="1"/>
  <c r="O76" i="1"/>
  <c r="M77" i="1"/>
  <c r="O77" i="1"/>
  <c r="M78" i="1"/>
  <c r="O78" i="1"/>
  <c r="M30" i="1"/>
  <c r="O30" i="1"/>
  <c r="M31" i="1"/>
  <c r="O31" i="1"/>
  <c r="M32" i="1"/>
  <c r="N32" i="1"/>
  <c r="M33" i="1"/>
  <c r="O33" i="1"/>
  <c r="M34" i="1"/>
  <c r="O34" i="1"/>
  <c r="M35" i="1"/>
  <c r="O35" i="1"/>
  <c r="M36" i="1"/>
  <c r="O36" i="1"/>
  <c r="M37" i="1"/>
  <c r="O37" i="1"/>
  <c r="M38" i="1"/>
  <c r="O38" i="1"/>
  <c r="M39" i="1"/>
  <c r="O39" i="1"/>
  <c r="M40" i="1"/>
  <c r="O40" i="1"/>
  <c r="M41" i="1"/>
  <c r="O41" i="1"/>
  <c r="M79" i="1"/>
  <c r="O79" i="1"/>
  <c r="M42" i="1"/>
  <c r="O42" i="1"/>
  <c r="M43" i="1"/>
  <c r="O43" i="1"/>
  <c r="M44" i="1"/>
  <c r="O44" i="1"/>
  <c r="M45" i="1"/>
  <c r="O45" i="1"/>
  <c r="M50" i="1"/>
  <c r="O50" i="1"/>
  <c r="M80" i="1"/>
  <c r="O80" i="1"/>
  <c r="M81" i="1"/>
  <c r="N81" i="1"/>
  <c r="M82" i="1"/>
  <c r="O82" i="1"/>
  <c r="M83" i="1"/>
  <c r="O83" i="1"/>
  <c r="M84" i="1"/>
  <c r="O84" i="1"/>
  <c r="M85" i="1"/>
  <c r="O85" i="1"/>
  <c r="M46" i="1"/>
  <c r="O46" i="1"/>
  <c r="AD46" i="1"/>
  <c r="M47" i="1"/>
  <c r="O47" i="1"/>
  <c r="M48" i="1"/>
  <c r="O48" i="1"/>
  <c r="M87" i="1"/>
  <c r="O87" i="1"/>
  <c r="M88" i="1"/>
  <c r="O88" i="1"/>
  <c r="M89" i="1"/>
  <c r="O89" i="1"/>
  <c r="M90" i="1"/>
  <c r="O90" i="1"/>
  <c r="M91" i="1"/>
  <c r="O91" i="1"/>
  <c r="M92" i="1"/>
  <c r="N92" i="1"/>
  <c r="M93" i="1"/>
  <c r="O93" i="1"/>
  <c r="M94" i="1"/>
  <c r="O94" i="1"/>
  <c r="M95" i="1"/>
  <c r="O95" i="1"/>
  <c r="M49" i="1"/>
  <c r="O49" i="1"/>
  <c r="M96" i="1"/>
  <c r="O96" i="1"/>
  <c r="M86" i="1"/>
  <c r="O86" i="1"/>
  <c r="M97" i="1"/>
  <c r="O97" i="1"/>
  <c r="M51" i="1"/>
  <c r="O51" i="1"/>
  <c r="M98" i="1"/>
  <c r="O98" i="1"/>
  <c r="M99" i="1"/>
  <c r="O99" i="1"/>
  <c r="M100" i="1"/>
  <c r="O100" i="1"/>
  <c r="M101" i="1"/>
  <c r="O101" i="1"/>
  <c r="M102" i="1"/>
  <c r="O102" i="1"/>
  <c r="M103" i="1"/>
  <c r="O103" i="1"/>
  <c r="M104" i="1"/>
  <c r="O104" i="1"/>
  <c r="M105" i="1"/>
  <c r="N105" i="1"/>
  <c r="M106" i="1"/>
  <c r="N106" i="1"/>
  <c r="M107" i="1"/>
  <c r="N107" i="1"/>
  <c r="M108" i="1"/>
  <c r="N108" i="1"/>
  <c r="M109" i="1"/>
  <c r="N109" i="1"/>
  <c r="M110" i="1"/>
  <c r="O110" i="1"/>
  <c r="M111" i="1"/>
  <c r="O111" i="1"/>
  <c r="M112" i="1"/>
  <c r="O112" i="1"/>
  <c r="M113" i="1"/>
  <c r="O113" i="1"/>
  <c r="M114" i="1"/>
  <c r="O114" i="1"/>
  <c r="M115" i="1"/>
  <c r="O115" i="1"/>
  <c r="M116" i="1"/>
  <c r="O116" i="1"/>
  <c r="M117" i="1"/>
  <c r="O117" i="1"/>
  <c r="M118" i="1"/>
  <c r="O118" i="1"/>
  <c r="M119" i="1"/>
  <c r="O119" i="1"/>
  <c r="M120" i="1"/>
  <c r="O120" i="1"/>
  <c r="M121" i="1"/>
  <c r="O121" i="1"/>
  <c r="M122" i="1"/>
  <c r="O122" i="1"/>
  <c r="M123" i="1"/>
  <c r="O123" i="1"/>
  <c r="M124" i="1"/>
  <c r="O124" i="1"/>
  <c r="M125" i="1"/>
  <c r="O125" i="1"/>
  <c r="M126" i="1"/>
  <c r="N126" i="1"/>
  <c r="M127" i="1"/>
  <c r="O127" i="1"/>
  <c r="M128" i="1"/>
  <c r="O128" i="1"/>
  <c r="M129" i="1"/>
  <c r="O129" i="1"/>
  <c r="M130" i="1"/>
  <c r="N130" i="1"/>
  <c r="M131" i="1"/>
  <c r="O131" i="1"/>
  <c r="M132" i="1"/>
  <c r="O132" i="1"/>
  <c r="M133" i="1"/>
  <c r="O133" i="1"/>
  <c r="M134" i="1"/>
  <c r="O134" i="1"/>
  <c r="M135" i="1"/>
  <c r="O135" i="1"/>
  <c r="M136" i="1"/>
  <c r="N136" i="1"/>
  <c r="M137" i="1"/>
  <c r="O137" i="1"/>
  <c r="M138" i="1"/>
  <c r="O138" i="1"/>
  <c r="M139" i="1"/>
  <c r="O139" i="1"/>
  <c r="M140" i="1"/>
  <c r="O140" i="1"/>
  <c r="M141" i="1"/>
  <c r="O141" i="1"/>
  <c r="M142" i="1"/>
  <c r="N142" i="1"/>
  <c r="M143" i="1"/>
  <c r="O143" i="1"/>
  <c r="M144" i="1"/>
  <c r="O144" i="1"/>
  <c r="M145" i="1"/>
  <c r="O145" i="1"/>
  <c r="M146" i="1"/>
  <c r="O146" i="1"/>
  <c r="M147" i="1"/>
  <c r="O147" i="1"/>
  <c r="M148" i="1"/>
  <c r="O148" i="1"/>
  <c r="M149" i="1"/>
  <c r="O149" i="1"/>
  <c r="M150" i="1"/>
  <c r="O150" i="1"/>
  <c r="M151" i="1"/>
  <c r="O151" i="1"/>
  <c r="M152" i="1"/>
  <c r="O152" i="1"/>
  <c r="M153" i="1"/>
  <c r="O153" i="1"/>
  <c r="M154" i="1"/>
  <c r="O154" i="1"/>
  <c r="M155" i="1"/>
  <c r="N155" i="1"/>
  <c r="M156" i="1"/>
  <c r="O156" i="1"/>
  <c r="M157" i="1"/>
  <c r="N157" i="1"/>
  <c r="M158" i="1"/>
  <c r="N158" i="1"/>
  <c r="M159" i="1"/>
  <c r="O159" i="1"/>
  <c r="M160" i="1"/>
  <c r="O160" i="1"/>
  <c r="M161" i="1"/>
  <c r="O161" i="1"/>
  <c r="M162" i="1"/>
  <c r="N162" i="1"/>
  <c r="M163" i="1"/>
  <c r="O163" i="1"/>
  <c r="M164" i="1"/>
  <c r="O164" i="1"/>
  <c r="M165" i="1"/>
  <c r="O165" i="1"/>
  <c r="M166" i="1"/>
  <c r="O166" i="1"/>
  <c r="M167" i="1"/>
  <c r="O167" i="1"/>
  <c r="M168" i="1"/>
  <c r="N168" i="1"/>
  <c r="M169" i="1"/>
  <c r="O169" i="1"/>
  <c r="M170" i="1"/>
  <c r="O170" i="1"/>
  <c r="M171" i="1"/>
  <c r="O171" i="1"/>
  <c r="M172" i="1"/>
  <c r="O172" i="1"/>
  <c r="M173" i="1"/>
  <c r="O173" i="1"/>
  <c r="M174" i="1"/>
  <c r="O174" i="1"/>
  <c r="M175" i="1"/>
  <c r="O175" i="1"/>
  <c r="M176" i="1"/>
  <c r="O176" i="1"/>
  <c r="M177" i="1"/>
  <c r="O177" i="1"/>
  <c r="M178" i="1"/>
  <c r="O178" i="1"/>
  <c r="M179" i="1"/>
  <c r="O179" i="1"/>
  <c r="M180" i="1"/>
  <c r="O180" i="1"/>
  <c r="M181" i="1"/>
  <c r="O181" i="1"/>
  <c r="M182" i="1"/>
  <c r="O182" i="1"/>
  <c r="M183" i="1"/>
  <c r="O183" i="1"/>
  <c r="M184" i="1"/>
  <c r="O184" i="1"/>
  <c r="M185" i="1"/>
  <c r="O185" i="1"/>
  <c r="M186" i="1"/>
  <c r="N186" i="1"/>
  <c r="M187" i="1"/>
  <c r="N187" i="1"/>
  <c r="M188" i="1"/>
  <c r="O188" i="1"/>
  <c r="M189" i="1"/>
  <c r="O189" i="1"/>
  <c r="M190" i="1"/>
  <c r="O190" i="1"/>
  <c r="M191" i="1"/>
  <c r="O191" i="1"/>
  <c r="M192" i="1"/>
  <c r="O192" i="1"/>
  <c r="M193" i="1"/>
  <c r="O193" i="1"/>
  <c r="M194" i="1"/>
  <c r="O194" i="1"/>
  <c r="M195" i="1"/>
  <c r="O195" i="1"/>
  <c r="M196" i="1"/>
  <c r="O196" i="1"/>
  <c r="M197" i="1"/>
  <c r="O197" i="1"/>
  <c r="M198" i="1"/>
  <c r="O198" i="1"/>
  <c r="M199" i="1"/>
  <c r="O199" i="1"/>
  <c r="M200" i="1"/>
  <c r="O200" i="1"/>
  <c r="M201" i="1"/>
  <c r="O201" i="1"/>
  <c r="M202" i="1"/>
  <c r="O202" i="1"/>
  <c r="M203" i="1"/>
  <c r="O203" i="1"/>
  <c r="M204" i="1"/>
  <c r="N204" i="1"/>
  <c r="M205" i="1"/>
  <c r="O205" i="1"/>
  <c r="M206" i="1"/>
  <c r="O206" i="1"/>
  <c r="M207" i="1"/>
  <c r="O207" i="1"/>
  <c r="M208" i="1"/>
  <c r="O208" i="1"/>
  <c r="M209" i="1"/>
  <c r="O209" i="1"/>
  <c r="M210" i="1"/>
  <c r="N210" i="1"/>
  <c r="M211" i="1"/>
  <c r="O211" i="1"/>
  <c r="M212" i="1"/>
  <c r="O212" i="1"/>
  <c r="M213" i="1"/>
  <c r="O213" i="1"/>
  <c r="M214" i="1"/>
  <c r="O214" i="1"/>
  <c r="M215" i="1"/>
  <c r="O215" i="1"/>
  <c r="M216" i="1"/>
  <c r="O216" i="1"/>
  <c r="M217" i="1"/>
  <c r="O217" i="1"/>
  <c r="M218" i="1"/>
  <c r="O218" i="1"/>
  <c r="M219" i="1"/>
  <c r="O219" i="1"/>
  <c r="M220" i="1"/>
  <c r="N220" i="1"/>
  <c r="M221" i="1"/>
  <c r="O221" i="1"/>
  <c r="M222" i="1"/>
  <c r="O222" i="1"/>
  <c r="M223" i="1"/>
  <c r="O223" i="1"/>
  <c r="M224" i="1"/>
  <c r="O224" i="1"/>
  <c r="M225" i="1"/>
  <c r="O225" i="1"/>
  <c r="M226" i="1"/>
  <c r="N226" i="1"/>
  <c r="M227" i="1"/>
  <c r="O227" i="1"/>
  <c r="M228" i="1"/>
  <c r="O228" i="1"/>
  <c r="M229" i="1"/>
  <c r="O229" i="1"/>
  <c r="M230" i="1"/>
  <c r="O230" i="1"/>
  <c r="M231" i="1"/>
  <c r="O231" i="1"/>
  <c r="M232" i="1"/>
  <c r="O232" i="1"/>
  <c r="M233" i="1"/>
  <c r="O233" i="1"/>
  <c r="M234" i="1"/>
  <c r="O234" i="1"/>
  <c r="M235" i="1"/>
  <c r="O235" i="1"/>
  <c r="M236" i="1"/>
  <c r="O236" i="1"/>
  <c r="M237" i="1"/>
  <c r="O237" i="1"/>
  <c r="M238" i="1"/>
  <c r="O238" i="1"/>
  <c r="M239" i="1"/>
  <c r="O239" i="1"/>
  <c r="M240" i="1"/>
  <c r="O240" i="1"/>
  <c r="M241" i="1"/>
  <c r="O241" i="1"/>
  <c r="M242" i="1"/>
  <c r="N242" i="1"/>
  <c r="M243" i="1"/>
  <c r="O243" i="1"/>
  <c r="M244" i="1"/>
  <c r="O244" i="1"/>
  <c r="M245" i="1"/>
  <c r="O245" i="1"/>
  <c r="M246" i="1"/>
  <c r="O246" i="1"/>
  <c r="M247" i="1"/>
  <c r="O247" i="1"/>
  <c r="M248" i="1"/>
  <c r="N248" i="1"/>
  <c r="M249" i="1"/>
  <c r="N249" i="1"/>
  <c r="M250" i="1"/>
  <c r="O250" i="1"/>
  <c r="M251" i="1"/>
  <c r="N251" i="1"/>
  <c r="M252" i="1"/>
  <c r="N252" i="1"/>
  <c r="M253" i="1"/>
  <c r="O253" i="1"/>
  <c r="M254" i="1"/>
  <c r="O254" i="1"/>
  <c r="M255" i="1"/>
  <c r="O255" i="1"/>
  <c r="M256" i="1"/>
  <c r="O256" i="1"/>
  <c r="M257" i="1"/>
  <c r="O257" i="1"/>
  <c r="M258" i="1"/>
  <c r="N258" i="1"/>
  <c r="M259" i="1"/>
  <c r="O259" i="1"/>
  <c r="M260" i="1"/>
  <c r="O260" i="1"/>
  <c r="M261" i="1"/>
  <c r="O261" i="1"/>
  <c r="M262" i="1"/>
  <c r="O262" i="1"/>
  <c r="M263" i="1"/>
  <c r="O263" i="1"/>
  <c r="M264" i="1"/>
  <c r="O264" i="1"/>
  <c r="M265" i="1"/>
  <c r="O265" i="1"/>
  <c r="M266" i="1"/>
  <c r="O266" i="1"/>
  <c r="M267" i="1"/>
  <c r="O267" i="1"/>
  <c r="M268" i="1"/>
  <c r="O268" i="1"/>
  <c r="M269" i="1"/>
  <c r="O269" i="1"/>
  <c r="M270" i="1"/>
  <c r="O270" i="1"/>
  <c r="M271" i="1"/>
  <c r="O271" i="1"/>
  <c r="M272" i="1"/>
  <c r="O272" i="1"/>
  <c r="M273" i="1"/>
  <c r="O273" i="1"/>
  <c r="M274" i="1"/>
  <c r="O274" i="1"/>
  <c r="M275" i="1"/>
  <c r="O275" i="1"/>
  <c r="M276" i="1"/>
  <c r="O276" i="1"/>
  <c r="M277" i="1"/>
  <c r="O277" i="1"/>
  <c r="M278" i="1"/>
  <c r="O278" i="1"/>
  <c r="M279" i="1"/>
  <c r="O279" i="1"/>
  <c r="M280" i="1"/>
  <c r="N280" i="1"/>
  <c r="M281" i="1"/>
  <c r="O281" i="1"/>
  <c r="M282" i="1"/>
  <c r="O282" i="1"/>
  <c r="M283" i="1"/>
  <c r="N283" i="1"/>
  <c r="M284" i="1"/>
  <c r="O284" i="1"/>
  <c r="M285" i="1"/>
  <c r="O285" i="1"/>
  <c r="M286" i="1"/>
  <c r="O286" i="1"/>
  <c r="M287" i="1"/>
  <c r="O287" i="1"/>
  <c r="M288" i="1"/>
  <c r="O288" i="1"/>
  <c r="M289" i="1"/>
  <c r="O289" i="1"/>
  <c r="M290" i="1"/>
  <c r="O290" i="1"/>
  <c r="M291" i="1"/>
  <c r="O291" i="1"/>
  <c r="M292" i="1"/>
  <c r="O292" i="1"/>
  <c r="M293" i="1"/>
  <c r="O293" i="1"/>
  <c r="M294" i="1"/>
  <c r="O294" i="1"/>
  <c r="M295" i="1"/>
  <c r="O295" i="1"/>
  <c r="M296" i="1"/>
  <c r="O296" i="1"/>
  <c r="M297" i="1"/>
  <c r="N297" i="1"/>
  <c r="M298" i="1"/>
  <c r="N298" i="1"/>
  <c r="M299" i="1"/>
  <c r="O299" i="1"/>
  <c r="M300" i="1"/>
  <c r="O300" i="1"/>
  <c r="M301" i="1"/>
  <c r="O301" i="1"/>
  <c r="M302" i="1"/>
  <c r="N302" i="1"/>
  <c r="M303" i="1"/>
  <c r="O303" i="1"/>
  <c r="M304" i="1"/>
  <c r="O304" i="1"/>
  <c r="M305" i="1"/>
  <c r="O305" i="1"/>
  <c r="M306" i="1"/>
  <c r="O306" i="1"/>
  <c r="M307" i="1"/>
  <c r="O307" i="1"/>
  <c r="M308" i="1"/>
  <c r="O308" i="1"/>
  <c r="M309" i="1"/>
  <c r="O309" i="1"/>
  <c r="M310" i="1"/>
  <c r="O310" i="1"/>
  <c r="M311" i="1"/>
  <c r="O311" i="1"/>
  <c r="M312" i="1"/>
  <c r="O312" i="1"/>
  <c r="M313" i="1"/>
  <c r="O313" i="1"/>
  <c r="M314" i="1"/>
  <c r="O314" i="1"/>
  <c r="M315" i="1"/>
  <c r="O315" i="1"/>
  <c r="M316" i="1"/>
  <c r="N316" i="1"/>
  <c r="M317" i="1"/>
  <c r="O317" i="1"/>
  <c r="M318" i="1"/>
  <c r="O318" i="1"/>
  <c r="M319" i="1"/>
  <c r="O319" i="1"/>
  <c r="M320" i="1"/>
  <c r="O320" i="1"/>
  <c r="M321" i="1"/>
  <c r="O321" i="1"/>
  <c r="M322" i="1"/>
  <c r="N322" i="1"/>
  <c r="M323" i="1"/>
  <c r="O323" i="1"/>
  <c r="M324" i="1"/>
  <c r="O324" i="1"/>
  <c r="M325" i="1"/>
  <c r="O325" i="1"/>
  <c r="M326" i="1"/>
  <c r="O326" i="1"/>
  <c r="M327" i="1"/>
  <c r="O327" i="1"/>
  <c r="M328" i="1"/>
  <c r="O328" i="1"/>
  <c r="M329" i="1"/>
  <c r="O329" i="1"/>
  <c r="M330" i="1"/>
  <c r="O330" i="1"/>
  <c r="M331" i="1"/>
  <c r="O331" i="1"/>
  <c r="M332" i="1"/>
  <c r="N332" i="1"/>
  <c r="M333" i="1"/>
  <c r="O333" i="1"/>
  <c r="M334" i="1"/>
  <c r="N334" i="1"/>
  <c r="M335" i="1"/>
  <c r="O335" i="1"/>
  <c r="M336" i="1"/>
  <c r="O336" i="1"/>
  <c r="M337" i="1"/>
  <c r="O337" i="1"/>
  <c r="M338" i="1"/>
  <c r="O338" i="1"/>
  <c r="M339" i="1"/>
  <c r="O339" i="1"/>
  <c r="M340" i="1"/>
  <c r="O340" i="1"/>
  <c r="M341" i="1"/>
  <c r="O341" i="1"/>
  <c r="M342" i="1"/>
  <c r="O342" i="1"/>
  <c r="M343" i="1"/>
  <c r="O343" i="1"/>
  <c r="M344" i="1"/>
  <c r="O344" i="1"/>
  <c r="M345" i="1"/>
  <c r="N345" i="1"/>
  <c r="M346" i="1"/>
  <c r="O346" i="1"/>
  <c r="M347" i="1"/>
  <c r="O347" i="1"/>
  <c r="M348" i="1"/>
  <c r="O348" i="1"/>
  <c r="M349" i="1"/>
  <c r="O349" i="1"/>
  <c r="M350" i="1"/>
  <c r="O350" i="1"/>
  <c r="M351" i="1"/>
  <c r="O351" i="1"/>
  <c r="M352" i="1"/>
  <c r="O352" i="1"/>
  <c r="M353" i="1"/>
  <c r="O353" i="1"/>
  <c r="M354" i="1"/>
  <c r="N354" i="1"/>
  <c r="M355" i="1"/>
  <c r="O355" i="1"/>
  <c r="M356" i="1"/>
  <c r="O356" i="1"/>
  <c r="M357" i="1"/>
  <c r="O357" i="1"/>
  <c r="M358" i="1"/>
  <c r="O358" i="1"/>
  <c r="M359" i="1"/>
  <c r="N359" i="1"/>
  <c r="M360" i="1"/>
  <c r="N360" i="1"/>
  <c r="M361" i="1"/>
  <c r="O361" i="1"/>
  <c r="M362" i="1"/>
  <c r="O362" i="1"/>
  <c r="M363" i="1"/>
  <c r="O363" i="1"/>
  <c r="M364" i="1"/>
  <c r="O364" i="1"/>
  <c r="M365" i="1"/>
  <c r="O365" i="1"/>
  <c r="M366" i="1"/>
  <c r="O366" i="1"/>
  <c r="M367" i="1"/>
  <c r="O367" i="1"/>
  <c r="M368" i="1"/>
  <c r="O368" i="1"/>
  <c r="M369" i="1"/>
  <c r="O369" i="1"/>
  <c r="M370" i="1"/>
  <c r="N370" i="1"/>
  <c r="M371" i="1"/>
  <c r="O371" i="1"/>
  <c r="M372" i="1"/>
  <c r="O372" i="1"/>
  <c r="M373" i="1"/>
  <c r="O373" i="1"/>
  <c r="M374" i="1"/>
  <c r="O374" i="1"/>
  <c r="M375" i="1"/>
  <c r="O375" i="1"/>
  <c r="M376" i="1"/>
  <c r="O376" i="1"/>
  <c r="M377" i="1"/>
  <c r="O377" i="1"/>
  <c r="M19" i="1"/>
  <c r="O19" i="1"/>
  <c r="P15" i="1"/>
  <c r="P16" i="1"/>
  <c r="P17" i="1"/>
  <c r="P18" i="1"/>
  <c r="P19" i="1"/>
  <c r="Q15" i="1"/>
  <c r="Q16" i="1"/>
  <c r="Q17" i="1"/>
  <c r="Q18" i="1"/>
  <c r="Q19" i="1"/>
  <c r="R15" i="1"/>
  <c r="R16" i="1"/>
  <c r="R17" i="1"/>
  <c r="R18" i="1"/>
  <c r="R19" i="1"/>
  <c r="S15" i="1"/>
  <c r="S16" i="1"/>
  <c r="S17" i="1"/>
  <c r="S18" i="1"/>
  <c r="S19" i="1"/>
  <c r="T15" i="1"/>
  <c r="T16" i="1"/>
  <c r="T17" i="1"/>
  <c r="T18" i="1"/>
  <c r="T19" i="1"/>
  <c r="U15" i="1"/>
  <c r="U16" i="1"/>
  <c r="U17" i="1"/>
  <c r="U18" i="1"/>
  <c r="U19" i="1"/>
  <c r="V15" i="1"/>
  <c r="V16" i="1"/>
  <c r="V17" i="1"/>
  <c r="V18" i="1"/>
  <c r="V19" i="1"/>
  <c r="W15" i="1"/>
  <c r="W16" i="1"/>
  <c r="W17" i="1"/>
  <c r="W18" i="1"/>
  <c r="W19" i="1"/>
  <c r="X15" i="1"/>
  <c r="X16" i="1"/>
  <c r="X17" i="1"/>
  <c r="X18" i="1"/>
  <c r="X19" i="1"/>
  <c r="Y15" i="1"/>
  <c r="Y16" i="1"/>
  <c r="Y17" i="1"/>
  <c r="Y18" i="1"/>
  <c r="Y19" i="1"/>
  <c r="Z15" i="1"/>
  <c r="Z16" i="1"/>
  <c r="Z17" i="1"/>
  <c r="Z18" i="1"/>
  <c r="Z19" i="1"/>
  <c r="AA15" i="1"/>
  <c r="AA16" i="1"/>
  <c r="AA17" i="1"/>
  <c r="AA18" i="1"/>
  <c r="AA19" i="1"/>
  <c r="AB42" i="1"/>
  <c r="AC42" i="1"/>
  <c r="AB43" i="1"/>
  <c r="AC43" i="1"/>
  <c r="AD43" i="1"/>
  <c r="AE43" i="1"/>
  <c r="AF43" i="1"/>
  <c r="AB45" i="1"/>
  <c r="AC45" i="1"/>
  <c r="AB28" i="1"/>
  <c r="AB16" i="1"/>
  <c r="AB17" i="1"/>
  <c r="AB18" i="1"/>
  <c r="AB19" i="1"/>
  <c r="AC18" i="1"/>
  <c r="AC19" i="1"/>
  <c r="AD76" i="1"/>
  <c r="AD12" i="1"/>
  <c r="AD50" i="1"/>
  <c r="AE50" i="1"/>
  <c r="AF50" i="1"/>
  <c r="AG50" i="1"/>
  <c r="AD18" i="1"/>
  <c r="AD19" i="1"/>
  <c r="AE17" i="1"/>
  <c r="AE18" i="1"/>
  <c r="AE19" i="1"/>
  <c r="AF17" i="1"/>
  <c r="AF18" i="1"/>
  <c r="AF19" i="1"/>
  <c r="AG17" i="1"/>
  <c r="AG18" i="1"/>
  <c r="AG19" i="1"/>
  <c r="AH16" i="1"/>
  <c r="AH17" i="1"/>
  <c r="AH18" i="1"/>
  <c r="AH19" i="1"/>
  <c r="AI15" i="1"/>
  <c r="AI16" i="1"/>
  <c r="AI17" i="1"/>
  <c r="AI18" i="1"/>
  <c r="AI19" i="1"/>
  <c r="AJ15" i="1"/>
  <c r="AJ16" i="1"/>
  <c r="AJ17" i="1"/>
  <c r="AJ18" i="1"/>
  <c r="AJ19" i="1"/>
  <c r="AK15" i="1"/>
  <c r="AK16" i="1"/>
  <c r="AK17" i="1"/>
  <c r="AK18" i="1"/>
  <c r="AK19" i="1"/>
  <c r="AL15" i="1"/>
  <c r="AL16" i="1"/>
  <c r="AL17" i="1"/>
  <c r="AL18" i="1"/>
  <c r="AL19" i="1"/>
  <c r="AM15" i="1"/>
  <c r="AM16" i="1"/>
  <c r="AM17" i="1"/>
  <c r="AM18" i="1"/>
  <c r="AM19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G12" i="1"/>
  <c r="K12" i="1"/>
  <c r="BF18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E12" i="1"/>
  <c r="AF12" i="1"/>
  <c r="AG12" i="1"/>
  <c r="AH12" i="1"/>
  <c r="AI12" i="1"/>
  <c r="AJ12" i="1"/>
  <c r="AK12" i="1"/>
  <c r="AL12" i="1"/>
  <c r="AM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G13" i="1"/>
  <c r="K14" i="1"/>
  <c r="BF20" i="1"/>
  <c r="L14" i="1"/>
  <c r="BG20" i="1"/>
  <c r="M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G14" i="1"/>
  <c r="J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F15" i="1"/>
  <c r="G15" i="1"/>
  <c r="H15" i="1"/>
  <c r="I15" i="1"/>
  <c r="J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F16" i="1"/>
  <c r="G16" i="1"/>
  <c r="H16" i="1"/>
  <c r="I16" i="1"/>
  <c r="J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F17" i="1"/>
  <c r="G17" i="1"/>
  <c r="H17" i="1"/>
  <c r="I17" i="1"/>
  <c r="J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F18" i="1"/>
  <c r="G18" i="1"/>
  <c r="H18" i="1"/>
  <c r="I18" i="1"/>
  <c r="J18" i="1"/>
  <c r="F19" i="1"/>
  <c r="G19" i="1"/>
  <c r="H19" i="1"/>
  <c r="I19" i="1"/>
  <c r="J19" i="1"/>
  <c r="F20" i="1"/>
  <c r="G20" i="1"/>
  <c r="H20" i="1"/>
  <c r="I20" i="1"/>
  <c r="J20" i="1"/>
  <c r="P20" i="1"/>
  <c r="Q20" i="1"/>
  <c r="R20" i="1"/>
  <c r="S20" i="1"/>
  <c r="T20" i="1"/>
  <c r="U20" i="1"/>
  <c r="V20" i="1"/>
  <c r="W20" i="1"/>
  <c r="X20" i="1"/>
  <c r="Y20" i="1"/>
  <c r="Z20" i="1"/>
  <c r="AA20" i="1"/>
  <c r="AC49" i="1"/>
  <c r="AD49" i="1"/>
  <c r="AE49" i="1"/>
  <c r="AF49" i="1"/>
  <c r="AG49" i="1"/>
  <c r="AD88" i="1"/>
  <c r="AE88" i="1"/>
  <c r="AD92" i="1"/>
  <c r="AE92" i="1"/>
  <c r="AF92" i="1"/>
  <c r="AG92" i="1"/>
  <c r="AD96" i="1"/>
  <c r="AE96" i="1"/>
  <c r="AF96" i="1"/>
  <c r="AG96" i="1"/>
  <c r="AE94" i="1"/>
  <c r="AF94" i="1"/>
  <c r="AG94" i="1"/>
  <c r="AH94" i="1"/>
  <c r="AI94" i="1"/>
  <c r="AE95" i="1"/>
  <c r="AF95" i="1"/>
  <c r="AG95" i="1"/>
  <c r="AH95" i="1"/>
  <c r="AI95" i="1"/>
  <c r="AJ95" i="1"/>
  <c r="AK95" i="1"/>
  <c r="AF97" i="1"/>
  <c r="AG97" i="1"/>
  <c r="AH97" i="1"/>
  <c r="AI97" i="1"/>
  <c r="AJ97" i="1"/>
  <c r="AK97" i="1"/>
  <c r="AL97" i="1"/>
  <c r="AM97" i="1"/>
  <c r="AM20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N71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N84" i="1"/>
  <c r="A80" i="1"/>
  <c r="N85" i="1"/>
  <c r="A81" i="1"/>
  <c r="N46" i="1"/>
  <c r="A82" i="1"/>
  <c r="N47" i="1"/>
  <c r="A83" i="1"/>
  <c r="A84" i="1"/>
  <c r="A85" i="1"/>
  <c r="A86" i="1"/>
  <c r="A87" i="1"/>
  <c r="A88" i="1"/>
  <c r="A89" i="1"/>
  <c r="A90" i="1"/>
  <c r="A91" i="1"/>
  <c r="A92" i="1"/>
  <c r="A93" i="1"/>
  <c r="A94" i="1"/>
  <c r="N96" i="1"/>
  <c r="A95" i="1"/>
  <c r="A96" i="1"/>
  <c r="A97" i="1"/>
  <c r="A98" i="1"/>
  <c r="N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N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N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N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N159" i="1"/>
  <c r="A160" i="1"/>
  <c r="A161" i="1"/>
  <c r="N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N173" i="1"/>
  <c r="A174" i="1"/>
  <c r="A175" i="1"/>
  <c r="A176" i="1"/>
  <c r="A177" i="1"/>
  <c r="A178" i="1"/>
  <c r="N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N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N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N222" i="1"/>
  <c r="A223" i="1"/>
  <c r="N223" i="1"/>
  <c r="A224" i="1"/>
  <c r="N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N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N271" i="1"/>
  <c r="A272" i="1"/>
  <c r="N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N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N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N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N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X11" i="5"/>
  <c r="W14" i="5"/>
  <c r="V14" i="5"/>
  <c r="L14" i="5"/>
  <c r="U12" i="5"/>
  <c r="T12" i="5"/>
  <c r="Q12" i="5"/>
  <c r="P12" i="5"/>
  <c r="N14" i="5"/>
  <c r="V12" i="5"/>
  <c r="R14" i="5"/>
  <c r="W12" i="5"/>
  <c r="S14" i="5"/>
  <c r="O14" i="5"/>
  <c r="P14" i="5"/>
  <c r="Q14" i="5"/>
  <c r="L12" i="5"/>
  <c r="H11" i="5"/>
  <c r="M12" i="5"/>
  <c r="M13" i="5"/>
  <c r="T14" i="5"/>
  <c r="N12" i="5"/>
  <c r="O12" i="5"/>
  <c r="U14" i="5"/>
  <c r="S12" i="5"/>
  <c r="R12" i="5"/>
  <c r="W13" i="5"/>
  <c r="V13" i="5"/>
  <c r="K13" i="5"/>
  <c r="P13" i="5"/>
  <c r="R13" i="5"/>
  <c r="Q13" i="5"/>
  <c r="L13" i="5"/>
  <c r="U13" i="5"/>
  <c r="O13" i="5"/>
  <c r="N13" i="5"/>
  <c r="K14" i="5"/>
  <c r="K11" i="5"/>
  <c r="T13" i="5"/>
  <c r="S13" i="5"/>
  <c r="O252" i="1"/>
  <c r="N301" i="1"/>
  <c r="N124" i="1"/>
  <c r="N72" i="1"/>
  <c r="N336" i="1"/>
  <c r="N304" i="1"/>
  <c r="N160" i="1"/>
  <c r="O68" i="1"/>
  <c r="N14" i="1"/>
  <c r="O370" i="1"/>
  <c r="N148" i="1"/>
  <c r="O258" i="1"/>
  <c r="N352" i="1"/>
  <c r="N339" i="1"/>
  <c r="O226" i="1"/>
  <c r="N144" i="1"/>
  <c r="N69" i="1"/>
  <c r="N55" i="1"/>
  <c r="N350" i="1"/>
  <c r="N337" i="1"/>
  <c r="N239" i="1"/>
  <c r="N225" i="1"/>
  <c r="O52" i="1"/>
  <c r="O354" i="1"/>
  <c r="N146" i="1"/>
  <c r="N58" i="1"/>
  <c r="O242" i="1"/>
  <c r="N351" i="1"/>
  <c r="N145" i="1"/>
  <c r="N338" i="1"/>
  <c r="N240" i="1"/>
  <c r="N292" i="1"/>
  <c r="N212" i="1"/>
  <c r="N211" i="1"/>
  <c r="N57" i="1"/>
  <c r="N195" i="1"/>
  <c r="N113" i="1"/>
  <c r="N100" i="1"/>
  <c r="N56" i="1"/>
  <c r="N369" i="1"/>
  <c r="N330" i="1"/>
  <c r="N273" i="1"/>
  <c r="N260" i="1"/>
  <c r="N112" i="1"/>
  <c r="O162" i="1"/>
  <c r="O249" i="1"/>
  <c r="N41" i="1"/>
  <c r="N194" i="1"/>
  <c r="N40" i="1"/>
  <c r="O210" i="1"/>
  <c r="N307" i="1"/>
  <c r="N257" i="1"/>
  <c r="N372" i="1"/>
  <c r="N320" i="1"/>
  <c r="N193" i="1"/>
  <c r="N180" i="1"/>
  <c r="N116" i="1"/>
  <c r="N39" i="1"/>
  <c r="N306" i="1"/>
  <c r="N256" i="1"/>
  <c r="N128" i="1"/>
  <c r="AC17" i="1"/>
  <c r="BI23" i="1"/>
  <c r="O142" i="1"/>
  <c r="N138" i="1"/>
  <c r="N241" i="1"/>
  <c r="N192" i="1"/>
  <c r="N179" i="1"/>
  <c r="N73" i="1"/>
  <c r="N305" i="1"/>
  <c r="N203" i="1"/>
  <c r="N114" i="1"/>
  <c r="N60" i="1"/>
  <c r="N329" i="1"/>
  <c r="N137" i="1"/>
  <c r="N19" i="1"/>
  <c r="N340" i="1"/>
  <c r="N228" i="1"/>
  <c r="BF25" i="1"/>
  <c r="N356" i="1"/>
  <c r="N202" i="1"/>
  <c r="O345" i="1"/>
  <c r="O130" i="1"/>
  <c r="N323" i="1"/>
  <c r="N289" i="1"/>
  <c r="N276" i="1"/>
  <c r="N266" i="1"/>
  <c r="N244" i="1"/>
  <c r="N177" i="1"/>
  <c r="N131" i="1"/>
  <c r="N121" i="1"/>
  <c r="N51" i="1"/>
  <c r="N80" i="1"/>
  <c r="N38" i="1"/>
  <c r="N29" i="1"/>
  <c r="BH24" i="1"/>
  <c r="N368" i="1"/>
  <c r="N209" i="1"/>
  <c r="N164" i="1"/>
  <c r="N87" i="1"/>
  <c r="O322" i="1"/>
  <c r="N176" i="1"/>
  <c r="N97" i="1"/>
  <c r="N50" i="1"/>
  <c r="N37" i="1"/>
  <c r="N28" i="1"/>
  <c r="N208" i="1"/>
  <c r="N48" i="1"/>
  <c r="K50" i="5"/>
  <c r="N324" i="1"/>
  <c r="N267" i="1"/>
  <c r="N201" i="1"/>
  <c r="N132" i="1"/>
  <c r="N288" i="1"/>
  <c r="N265" i="1"/>
  <c r="N255" i="1"/>
  <c r="O74" i="1"/>
  <c r="N367" i="1"/>
  <c r="N274" i="1"/>
  <c r="N377" i="1"/>
  <c r="N353" i="1"/>
  <c r="N331" i="1"/>
  <c r="N321" i="1"/>
  <c r="N308" i="1"/>
  <c r="N287" i="1"/>
  <c r="N196" i="1"/>
  <c r="N175" i="1"/>
  <c r="N139" i="1"/>
  <c r="N129" i="1"/>
  <c r="N86" i="1"/>
  <c r="N45" i="1"/>
  <c r="N36" i="1"/>
  <c r="AB20" i="1"/>
  <c r="O334" i="1"/>
  <c r="M18" i="1"/>
  <c r="O220" i="1"/>
  <c r="O109" i="1"/>
  <c r="N270" i="1"/>
  <c r="O126" i="1"/>
  <c r="N300" i="1"/>
  <c r="N269" i="1"/>
  <c r="N172" i="1"/>
  <c r="N141" i="1"/>
  <c r="N348" i="1"/>
  <c r="N95" i="1"/>
  <c r="N318" i="1"/>
  <c r="N268" i="1"/>
  <c r="N190" i="1"/>
  <c r="N140" i="1"/>
  <c r="N35" i="1"/>
  <c r="O332" i="1"/>
  <c r="N355" i="1"/>
  <c r="N227" i="1"/>
  <c r="N99" i="1"/>
  <c r="N366" i="1"/>
  <c r="N317" i="1"/>
  <c r="N275" i="1"/>
  <c r="N238" i="1"/>
  <c r="N189" i="1"/>
  <c r="N147" i="1"/>
  <c r="N110" i="1"/>
  <c r="N34" i="1"/>
  <c r="O108" i="1"/>
  <c r="N54" i="1"/>
  <c r="O316" i="1"/>
  <c r="O204" i="1"/>
  <c r="BH20" i="1"/>
  <c r="O302" i="1"/>
  <c r="O81" i="1"/>
  <c r="BP17" i="1"/>
  <c r="O158" i="1"/>
  <c r="O157" i="1"/>
  <c r="N286" i="1"/>
  <c r="N365" i="1"/>
  <c r="N237" i="1"/>
  <c r="N206" i="1"/>
  <c r="N188" i="1"/>
  <c r="N83" i="1"/>
  <c r="N33" i="1"/>
  <c r="N285" i="1"/>
  <c r="N53" i="1"/>
  <c r="N364" i="1"/>
  <c r="N333" i="1"/>
  <c r="N236" i="1"/>
  <c r="N205" i="1"/>
  <c r="N82" i="1"/>
  <c r="N284" i="1"/>
  <c r="N156" i="1"/>
  <c r="N371" i="1"/>
  <c r="N313" i="1"/>
  <c r="N254" i="1"/>
  <c r="N243" i="1"/>
  <c r="N185" i="1"/>
  <c r="N115" i="1"/>
  <c r="N30" i="1"/>
  <c r="N291" i="1"/>
  <c r="N163" i="1"/>
  <c r="N59" i="1"/>
  <c r="N349" i="1"/>
  <c r="N221" i="1"/>
  <c r="N49" i="1"/>
  <c r="N253" i="1"/>
  <c r="N174" i="1"/>
  <c r="N125" i="1"/>
  <c r="N70" i="1"/>
  <c r="AG51" i="1"/>
  <c r="AG20" i="1"/>
  <c r="BH23" i="1"/>
  <c r="L12" i="1"/>
  <c r="BG18" i="1"/>
  <c r="O15" i="1"/>
  <c r="BF21" i="1"/>
  <c r="Q11" i="1"/>
  <c r="Q13" i="1"/>
  <c r="O297" i="1"/>
  <c r="O107" i="1"/>
  <c r="O32" i="1"/>
  <c r="O17" i="1"/>
  <c r="BF23" i="1"/>
  <c r="BP9" i="1"/>
  <c r="N346" i="1"/>
  <c r="N282" i="1"/>
  <c r="N218" i="1"/>
  <c r="N154" i="1"/>
  <c r="N93" i="1"/>
  <c r="O106" i="1"/>
  <c r="BH22" i="1"/>
  <c r="W11" i="1"/>
  <c r="W13" i="1"/>
  <c r="S11" i="1"/>
  <c r="S13" i="1"/>
  <c r="O105" i="1"/>
  <c r="BI25" i="1"/>
  <c r="BI24" i="1"/>
  <c r="BH25" i="1"/>
  <c r="O283" i="1"/>
  <c r="O187" i="1"/>
  <c r="N299" i="1"/>
  <c r="N281" i="1"/>
  <c r="N171" i="1"/>
  <c r="N153" i="1"/>
  <c r="N362" i="1"/>
  <c r="N234" i="1"/>
  <c r="N170" i="1"/>
  <c r="N66" i="1"/>
  <c r="O186" i="1"/>
  <c r="O92" i="1"/>
  <c r="O67" i="1"/>
  <c r="O251" i="1"/>
  <c r="O155" i="1"/>
  <c r="M17" i="1"/>
  <c r="L17" i="1"/>
  <c r="BG23" i="1"/>
  <c r="N347" i="1"/>
  <c r="N219" i="1"/>
  <c r="N94" i="1"/>
  <c r="O298" i="1"/>
  <c r="N363" i="1"/>
  <c r="N235" i="1"/>
  <c r="N217" i="1"/>
  <c r="N361" i="1"/>
  <c r="N315" i="1"/>
  <c r="N123" i="1"/>
  <c r="O136" i="1"/>
  <c r="N233" i="1"/>
  <c r="N169" i="1"/>
  <c r="N65" i="1"/>
  <c r="N314" i="1"/>
  <c r="N250" i="1"/>
  <c r="N122" i="1"/>
  <c r="N31" i="1"/>
  <c r="BI20" i="1"/>
  <c r="AC28" i="1"/>
  <c r="AC20" i="1"/>
  <c r="O168" i="1"/>
  <c r="BP15" i="1"/>
  <c r="BP14" i="1"/>
  <c r="M12" i="1"/>
  <c r="T11" i="1"/>
  <c r="T13" i="1"/>
  <c r="O280" i="1"/>
  <c r="O360" i="1"/>
  <c r="O248" i="1"/>
  <c r="L15" i="1"/>
  <c r="BG21" i="1"/>
  <c r="N376" i="1"/>
  <c r="N344" i="1"/>
  <c r="N328" i="1"/>
  <c r="N312" i="1"/>
  <c r="N296" i="1"/>
  <c r="N264" i="1"/>
  <c r="N232" i="1"/>
  <c r="N216" i="1"/>
  <c r="N200" i="1"/>
  <c r="N184" i="1"/>
  <c r="N152" i="1"/>
  <c r="N120" i="1"/>
  <c r="N104" i="1"/>
  <c r="N91" i="1"/>
  <c r="N44" i="1"/>
  <c r="N78" i="1"/>
  <c r="N64" i="1"/>
  <c r="Z11" i="1"/>
  <c r="Z13" i="1"/>
  <c r="BI18" i="1"/>
  <c r="AM11" i="1"/>
  <c r="AM13" i="1"/>
  <c r="AJ11" i="1"/>
  <c r="AJ13" i="1"/>
  <c r="O359" i="1"/>
  <c r="K11" i="1"/>
  <c r="K13" i="1"/>
  <c r="BF19" i="1"/>
  <c r="K54" i="5"/>
  <c r="N375" i="1"/>
  <c r="N343" i="1"/>
  <c r="N327" i="1"/>
  <c r="N311" i="1"/>
  <c r="N295" i="1"/>
  <c r="N279" i="1"/>
  <c r="N263" i="1"/>
  <c r="N247" i="1"/>
  <c r="N231" i="1"/>
  <c r="N215" i="1"/>
  <c r="N199" i="1"/>
  <c r="N183" i="1"/>
  <c r="N167" i="1"/>
  <c r="N151" i="1"/>
  <c r="N135" i="1"/>
  <c r="N119" i="1"/>
  <c r="N103" i="1"/>
  <c r="N90" i="1"/>
  <c r="N43" i="1"/>
  <c r="N77" i="1"/>
  <c r="N63" i="1"/>
  <c r="AI11" i="1"/>
  <c r="AI13" i="1"/>
  <c r="V11" i="1"/>
  <c r="V13" i="1"/>
  <c r="L16" i="1"/>
  <c r="BG22" i="1"/>
  <c r="BP12" i="1"/>
  <c r="BH18" i="1"/>
  <c r="Y11" i="1"/>
  <c r="Y13" i="1"/>
  <c r="AL11" i="1"/>
  <c r="AL13" i="1"/>
  <c r="AA11" i="1"/>
  <c r="AA13" i="1"/>
  <c r="U11" i="1"/>
  <c r="U13" i="1"/>
  <c r="R11" i="1"/>
  <c r="R13" i="1"/>
  <c r="BP16" i="1"/>
  <c r="BP13" i="1"/>
  <c r="X11" i="1"/>
  <c r="X13" i="1"/>
  <c r="M15" i="1"/>
  <c r="AE51" i="1"/>
  <c r="P11" i="1"/>
  <c r="P13" i="1"/>
  <c r="BP10" i="1"/>
  <c r="N374" i="1"/>
  <c r="N358" i="1"/>
  <c r="N342" i="1"/>
  <c r="N326" i="1"/>
  <c r="N310" i="1"/>
  <c r="N294" i="1"/>
  <c r="N278" i="1"/>
  <c r="N262" i="1"/>
  <c r="N246" i="1"/>
  <c r="N230" i="1"/>
  <c r="N214" i="1"/>
  <c r="N198" i="1"/>
  <c r="N182" i="1"/>
  <c r="N166" i="1"/>
  <c r="N150" i="1"/>
  <c r="N134" i="1"/>
  <c r="N118" i="1"/>
  <c r="N102" i="1"/>
  <c r="N89" i="1"/>
  <c r="N42" i="1"/>
  <c r="N76" i="1"/>
  <c r="N62" i="1"/>
  <c r="BH21" i="1"/>
  <c r="N373" i="1"/>
  <c r="N357" i="1"/>
  <c r="N341" i="1"/>
  <c r="N325" i="1"/>
  <c r="N309" i="1"/>
  <c r="N293" i="1"/>
  <c r="N277" i="1"/>
  <c r="N261" i="1"/>
  <c r="N245" i="1"/>
  <c r="N229" i="1"/>
  <c r="N213" i="1"/>
  <c r="N197" i="1"/>
  <c r="N181" i="1"/>
  <c r="N165" i="1"/>
  <c r="N149" i="1"/>
  <c r="N133" i="1"/>
  <c r="N117" i="1"/>
  <c r="N101" i="1"/>
  <c r="N88" i="1"/>
  <c r="N79" i="1"/>
  <c r="N75" i="1"/>
  <c r="N61" i="1"/>
  <c r="AE89" i="1"/>
  <c r="AF89" i="1"/>
  <c r="BP11" i="1"/>
  <c r="AK11" i="1"/>
  <c r="AK13" i="1"/>
  <c r="L18" i="1"/>
  <c r="BG24" i="1"/>
  <c r="AG16" i="1"/>
  <c r="AF15" i="1"/>
  <c r="AH50" i="1"/>
  <c r="AK20" i="1"/>
  <c r="AL95" i="1"/>
  <c r="AL20" i="1"/>
  <c r="AI20" i="1"/>
  <c r="AJ94" i="1"/>
  <c r="AJ20" i="1"/>
  <c r="AD42" i="1"/>
  <c r="AC15" i="1"/>
  <c r="AB15" i="1"/>
  <c r="M16" i="1"/>
  <c r="O18" i="1"/>
  <c r="N18" i="1"/>
  <c r="AG15" i="1"/>
  <c r="AG11" i="1"/>
  <c r="AG13" i="1"/>
  <c r="O16" i="1"/>
  <c r="N16" i="1"/>
  <c r="BH19" i="1"/>
  <c r="BF17" i="1"/>
  <c r="O12" i="1"/>
  <c r="N12" i="1"/>
  <c r="AC16" i="1"/>
  <c r="AC11" i="1"/>
  <c r="AC13" i="1"/>
  <c r="AD28" i="1"/>
  <c r="AE28" i="1"/>
  <c r="N15" i="1"/>
  <c r="M11" i="1"/>
  <c r="M13" i="1"/>
  <c r="BH17" i="1"/>
  <c r="N17" i="1"/>
  <c r="L11" i="1"/>
  <c r="L13" i="1"/>
  <c r="BG19" i="1"/>
  <c r="AB11" i="1"/>
  <c r="AH20" i="1"/>
  <c r="AH15" i="1"/>
  <c r="AH11" i="1"/>
  <c r="AH13" i="1"/>
  <c r="AD15" i="1"/>
  <c r="AE42" i="1"/>
  <c r="AE15" i="1"/>
  <c r="BF24" i="1"/>
  <c r="BF22" i="1"/>
  <c r="O11" i="1"/>
  <c r="N11" i="1"/>
  <c r="BG17" i="1"/>
  <c r="AD16" i="1"/>
  <c r="AD11" i="1"/>
  <c r="AD13" i="1"/>
  <c r="AD20" i="1"/>
  <c r="AB13" i="1"/>
  <c r="BI21" i="1"/>
  <c r="AE16" i="1"/>
  <c r="AE11" i="1"/>
  <c r="AE13" i="1"/>
  <c r="AE20" i="1"/>
  <c r="AF28" i="1"/>
  <c r="O13" i="1"/>
  <c r="N13" i="1"/>
  <c r="AF20" i="1"/>
  <c r="AF16" i="1"/>
  <c r="AF11" i="1"/>
  <c r="BI22" i="1"/>
  <c r="AF13" i="1"/>
  <c r="BI19" i="1"/>
  <c r="BI17" i="1"/>
  <c r="M8" i="12"/>
  <c r="AM4" i="12" s="1"/>
  <c r="AN4" i="12" s="1"/>
  <c r="P18" i="12"/>
  <c r="P9" i="12"/>
  <c r="AM5" i="12" l="1"/>
  <c r="AN5" i="12" s="1"/>
  <c r="P4" i="12"/>
  <c r="Y4" i="12" s="1"/>
  <c r="C10" i="12"/>
  <c r="O31" i="12"/>
  <c r="O32" i="12"/>
  <c r="O28" i="12"/>
  <c r="P23" i="12"/>
  <c r="P24" i="12"/>
  <c r="AJ5" i="12"/>
  <c r="AJ4" i="12" s="1"/>
  <c r="AA3" i="12" s="1"/>
  <c r="O29" i="12"/>
  <c r="C24" i="12"/>
  <c r="F19" i="12"/>
  <c r="C21" i="12"/>
  <c r="C22" i="12"/>
  <c r="C26" i="12"/>
  <c r="C23" i="12"/>
  <c r="C25" i="12"/>
  <c r="I19" i="12"/>
  <c r="C5" i="12"/>
  <c r="F10" i="12"/>
  <c r="M4" i="12"/>
  <c r="M5" i="12" s="1"/>
  <c r="I10" i="12"/>
  <c r="C19" i="12"/>
  <c r="O30" i="12"/>
  <c r="P5" i="12" l="1"/>
  <c r="P6" i="12" s="1"/>
  <c r="BG3" i="12"/>
  <c r="BG5" i="12" s="1"/>
  <c r="AZ3" i="12"/>
  <c r="AZ5" i="12" s="1"/>
  <c r="AX3" i="12"/>
  <c r="AX5" i="12" s="1"/>
  <c r="BA3" i="12"/>
  <c r="BA5" i="12" s="1"/>
  <c r="AY3" i="12"/>
  <c r="AY5" i="12" s="1"/>
  <c r="BF3" i="12"/>
  <c r="BF5" i="12" s="1"/>
  <c r="BC3" i="12"/>
  <c r="BC5" i="12" s="1"/>
  <c r="AW3" i="12"/>
  <c r="AW5" i="12" s="1"/>
  <c r="P25" i="12"/>
  <c r="AA4" i="12"/>
  <c r="AA5" i="12" s="1"/>
  <c r="BB3" i="12"/>
  <c r="BB5" i="12" s="1"/>
  <c r="BD3" i="12"/>
  <c r="BD5" i="12" s="1"/>
  <c r="BE3" i="12"/>
  <c r="BE5" i="12" s="1"/>
  <c r="AV3" i="12"/>
  <c r="AV5" i="12" s="1"/>
  <c r="T13" i="12" l="1"/>
  <c r="Y5" i="12"/>
  <c r="T18" i="12"/>
  <c r="S30" i="12" s="1"/>
  <c r="T17" i="12"/>
  <c r="T16" i="12"/>
  <c r="S29" i="12" s="1"/>
  <c r="V8" i="12"/>
  <c r="Z3" i="12" s="1"/>
  <c r="AB3" i="12" s="1"/>
  <c r="V4" i="12"/>
  <c r="V10" i="12"/>
  <c r="T22" i="12"/>
  <c r="S32" i="12" s="1"/>
  <c r="S3" i="12"/>
  <c r="S7" i="12"/>
  <c r="S8" i="12"/>
  <c r="T19" i="12"/>
  <c r="T14" i="12"/>
  <c r="S28" i="12" s="1"/>
  <c r="V3" i="12"/>
  <c r="S9" i="12"/>
  <c r="AQ5" i="12"/>
  <c r="AR5" i="12" s="1"/>
  <c r="V6" i="12"/>
  <c r="AQ4" i="12" s="1"/>
  <c r="AR4" i="12" s="1"/>
  <c r="T20" i="12"/>
  <c r="S31" i="12" s="1"/>
  <c r="V5" i="12"/>
  <c r="S10" i="12" l="1"/>
  <c r="S4" i="12" s="1"/>
  <c r="S5" i="12" s="1"/>
  <c r="T23" i="12"/>
  <c r="AG2" i="12"/>
  <c r="AF5" i="12" s="1"/>
  <c r="AB4" i="12"/>
  <c r="AB5" i="12" s="1"/>
  <c r="Z4" i="12"/>
  <c r="V9" i="12"/>
  <c r="Z5" i="12" s="1"/>
  <c r="S33" i="12"/>
  <c r="T24" i="12"/>
  <c r="T2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tc={C3DC1D89-2EB0-45D3-B648-1613EB6C910C}</author>
  </authors>
  <commentList>
    <comment ref="G35" authorId="0" shapeId="0" xr:uid="{C3DC1D89-2EB0-45D3-B648-1613EB6C91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Actualizar HH, plata y lo que sea en base de datos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tc={73FB74E8-3345-4CEF-9A6B-4E16AC26069A}</author>
    <author>tc={82D4410E-5AFD-451E-B54A-A9BCA7523735}</author>
    <author>tc={D2AC3F67-EC05-46A0-9675-DD7F8DC311EA}</author>
    <author>tc={513F6AD0-7274-4CC3-9134-23396EFE1691}</author>
    <author>tc={90B59F8C-CD96-4DCB-9F3E-258F50214607}</author>
    <author>tc={BF541654-D1F7-471E-AD41-72BCF9D48EE3}</author>
    <author>tc={B9F79398-ACF7-4AFA-85E4-99BE548B34FB}</author>
    <author>tc={2EECFCF4-FF64-4F91-BB33-6E4811B35A0D}</author>
    <author>tc={7BAA3A6F-4C81-4B60-8F39-67EE573611A4}</author>
    <author>tc={D29A9C10-FF87-43E3-A5FC-97A1CEC224E5}</author>
    <author>tc={CD2DB3A1-9320-4880-80E9-B3BB840A289C}</author>
  </authors>
  <commentList>
    <comment ref="Z23" authorId="0" shapeId="0" xr:uid="{73FB74E8-3345-4CEF-9A6B-4E16AC26069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EDP 1 y 2</t>
      </text>
    </comment>
    <comment ref="AA23" authorId="1" shapeId="0" xr:uid="{82D4410E-5AFD-451E-B54A-A9BCA75237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EDP 3</t>
      </text>
    </comment>
    <comment ref="Y24" authorId="2" shapeId="0" xr:uid="{D2AC3F67-EC05-46A0-9675-DD7F8DC311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EDP 1</t>
      </text>
    </comment>
    <comment ref="Z24" authorId="3" shapeId="0" xr:uid="{513F6AD0-7274-4CC3-9134-23396EFE169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EDP 2</t>
      </text>
    </comment>
    <comment ref="AA24" authorId="4" shapeId="0" xr:uid="{90B59F8C-CD96-4DCB-9F3E-258F502146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EDP 3</t>
      </text>
    </comment>
    <comment ref="AB24" authorId="5" shapeId="0" xr:uid="{BF541654-D1F7-471E-AD41-72BCF9D48EE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EDP 4</t>
      </text>
    </comment>
    <comment ref="Z27" authorId="6" shapeId="0" xr:uid="{B9F79398-ACF7-4AFA-85E4-99BE548B34F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BM 13, BM 14 y BM 15</t>
      </text>
    </comment>
    <comment ref="I29" authorId="7" shapeId="0" xr:uid="{2EECFCF4-FF64-4F91-BB33-6E4811B35A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Confirmar monto</t>
      </text>
    </comment>
    <comment ref="Y53" authorId="8" shapeId="0" xr:uid="{7BAA3A6F-4C81-4B60-8F39-67EE573611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EDP 1</t>
      </text>
    </comment>
    <comment ref="AA53" authorId="9" shapeId="0" xr:uid="{D29A9C10-FF87-43E3-A5FC-97A1CEC224E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EDP 2</t>
      </text>
    </comment>
    <comment ref="AB53" authorId="10" shapeId="0" xr:uid="{CD2DB3A1-9320-4880-80E9-B3BB840A28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EDP 3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tc={E4F52F86-112D-4124-B511-A82667437BA5}</author>
    <author>tc={6436BF15-F26F-41AF-811B-F9AC1B67F684}</author>
  </authors>
  <commentList>
    <comment ref="K32" authorId="0" shapeId="0" xr:uid="{E4F52F86-112D-4124-B511-A82667437BA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Confirmar monto</t>
      </text>
    </comment>
    <comment ref="K38" authorId="1" shapeId="0" xr:uid="{6436BF15-F26F-41AF-811B-F9AC1B67F68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Adjudicado - Monto 240 KUS$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tc={3D2E9E27-315E-4418-AB3F-05013EA57FD0}</author>
    <author>tc={FDF64386-7B27-4331-9D25-0C1B080ACE33}</author>
  </authors>
  <commentList>
    <comment ref="K32" authorId="0" shapeId="0" xr:uid="{3D2E9E27-315E-4418-AB3F-05013EA57F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Confirmar monto</t>
      </text>
    </comment>
    <comment ref="K38" authorId="1" shapeId="0" xr:uid="{FDF64386-7B27-4331-9D25-0C1B080ACE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Adjudicado - Monto 240 KUS$</t>
      </text>
    </comment>
  </commentList>
</comments>
</file>

<file path=xl/sharedStrings.xml><?xml version="1.0" encoding="utf-8"?>
<sst xmlns="http://schemas.openxmlformats.org/spreadsheetml/2006/main" count="5216" uniqueCount="1107">
  <si>
    <t>Recuentos</t>
  </si>
  <si>
    <t>Recuentos Chile</t>
  </si>
  <si>
    <t>Recuentos Rusia</t>
  </si>
  <si>
    <t>Pipeline REDCO 2024</t>
  </si>
  <si>
    <t>Venta REDCO (&gt;10%)</t>
  </si>
  <si>
    <t>Ingresos REDCO 2024</t>
  </si>
  <si>
    <t>Ingresos REDCO (&gt;10%) 2024</t>
  </si>
  <si>
    <t>Flujo de ingresos</t>
  </si>
  <si>
    <t>Venta Total Posible (&gt;10%)</t>
  </si>
  <si>
    <t>Ingresos Totales Posibles (&gt;10%)</t>
  </si>
  <si>
    <t>Proyección Venta</t>
  </si>
  <si>
    <t>Proyección Ingreso</t>
  </si>
  <si>
    <t>Target</t>
  </si>
  <si>
    <t>Ingresos 2025</t>
  </si>
  <si>
    <t>Tasa Adjudicación</t>
  </si>
  <si>
    <t>Venta</t>
  </si>
  <si>
    <t>Ingresos</t>
  </si>
  <si>
    <t>N° Iniciativas</t>
  </si>
  <si>
    <t>Iniciativas</t>
  </si>
  <si>
    <t>Total</t>
  </si>
  <si>
    <t>Adjudicada</t>
  </si>
  <si>
    <t>N° Propuestas</t>
  </si>
  <si>
    <t>Propuestas</t>
  </si>
  <si>
    <t>En Construcción</t>
  </si>
  <si>
    <t>Tasa de Efectividad</t>
  </si>
  <si>
    <t>Adjudicado</t>
  </si>
  <si>
    <t>Por Adjudicar</t>
  </si>
  <si>
    <t>N° En Construcción</t>
  </si>
  <si>
    <t>Enviada / Seguimiento</t>
  </si>
  <si>
    <t>Propuestas Adjudicadas</t>
  </si>
  <si>
    <t>Por adjudicar</t>
  </si>
  <si>
    <t>% del Target</t>
  </si>
  <si>
    <t>Propuetas No Adjudicadas</t>
  </si>
  <si>
    <t>Meta</t>
  </si>
  <si>
    <t>N° Enviada / Seguimiento</t>
  </si>
  <si>
    <t>N° Adjudicada</t>
  </si>
  <si>
    <t>N° No Adjudicada</t>
  </si>
  <si>
    <t>No Adjudicada</t>
  </si>
  <si>
    <t>Recuentos Perú</t>
  </si>
  <si>
    <t>Recuentos EEUU</t>
  </si>
  <si>
    <t>Recuentos Brasil</t>
  </si>
  <si>
    <t>Venta REDCO (&gt;10%) por País</t>
  </si>
  <si>
    <t>Ingresos REDCO (&gt;10%) por País 2024</t>
  </si>
  <si>
    <t>Chile</t>
  </si>
  <si>
    <t>EEUU</t>
  </si>
  <si>
    <t>Brasil</t>
  </si>
  <si>
    <t>Perú</t>
  </si>
  <si>
    <t>Validación</t>
  </si>
  <si>
    <t>Rusia</t>
  </si>
  <si>
    <t>Ingresos por País</t>
  </si>
  <si>
    <t>Cuenta de Descripcion Oportunidad</t>
  </si>
  <si>
    <t>Etiquetas de columna</t>
  </si>
  <si>
    <t>País</t>
  </si>
  <si>
    <t>Adjudicadas</t>
  </si>
  <si>
    <t>Seguimiento</t>
  </si>
  <si>
    <t>Tasa Adjudicación [%por cantidad]</t>
  </si>
  <si>
    <t>Propuestas Construidas [%]</t>
  </si>
  <si>
    <t>Total Construidas</t>
  </si>
  <si>
    <t>No adjudicas</t>
  </si>
  <si>
    <t>Tasa Adjudicación [%]</t>
  </si>
  <si>
    <t>Etiquetas de fila</t>
  </si>
  <si>
    <t>(en blanco)</t>
  </si>
  <si>
    <t>Total general</t>
  </si>
  <si>
    <t>Promedio Mes</t>
  </si>
  <si>
    <t>Promedio Semanal</t>
  </si>
  <si>
    <t>Suma de Monto (USD)</t>
  </si>
  <si>
    <t>No Adjudicadas</t>
  </si>
  <si>
    <t>Mensual</t>
  </si>
  <si>
    <t>Semanal</t>
  </si>
  <si>
    <t>Adjudicado Mensual</t>
  </si>
  <si>
    <t>USA</t>
  </si>
  <si>
    <t>Promedio</t>
  </si>
  <si>
    <t>Pendientes</t>
  </si>
  <si>
    <t>Promedio de propuestas</t>
  </si>
  <si>
    <t>País (Oficina REDCO)</t>
  </si>
  <si>
    <t>(Todas)</t>
  </si>
  <si>
    <t>OP</t>
  </si>
  <si>
    <t>-</t>
  </si>
  <si>
    <t>UG</t>
  </si>
  <si>
    <t>Diferencia [%]</t>
  </si>
  <si>
    <t>ID</t>
  </si>
  <si>
    <t>Área</t>
  </si>
  <si>
    <t>Gestor Comercial (Responsable)</t>
  </si>
  <si>
    <t>Desarrollador</t>
  </si>
  <si>
    <t>Estado Propuesta</t>
  </si>
  <si>
    <t>Empresa</t>
  </si>
  <si>
    <t>Mina</t>
  </si>
  <si>
    <t>Descripcion Oportunidad</t>
  </si>
  <si>
    <t>Tipo de 
Mineria</t>
  </si>
  <si>
    <t>Monto (USD)</t>
  </si>
  <si>
    <t>Tipo de Contrato</t>
  </si>
  <si>
    <t>Duracion (meses)</t>
  </si>
  <si>
    <t>Fecha potencial inicio</t>
  </si>
  <si>
    <t>Core del negocio</t>
  </si>
  <si>
    <t>Motivo no Adjudicación</t>
  </si>
  <si>
    <t>ING</t>
  </si>
  <si>
    <t>MM</t>
  </si>
  <si>
    <t>Lundin</t>
  </si>
  <si>
    <t>Candelaria</t>
  </si>
  <si>
    <t>Mejoras operacionales (Simprep y optimización P&amp;T subterranea)</t>
  </si>
  <si>
    <t>Solicitud Directa</t>
  </si>
  <si>
    <t>Si</t>
  </si>
  <si>
    <t>OD</t>
  </si>
  <si>
    <t>KMARUDA</t>
  </si>
  <si>
    <t>Planta N°3</t>
  </si>
  <si>
    <t>Elaboración de PFS Y ING de detalle para la planta de procesamiento N°3</t>
  </si>
  <si>
    <t>No</t>
  </si>
  <si>
    <t>Sin Información</t>
  </si>
  <si>
    <t>Seligdar</t>
  </si>
  <si>
    <t>Kyuchus</t>
  </si>
  <si>
    <t>Execution of the Pre-Feasibility Study for the Kyuchus Mining Project</t>
  </si>
  <si>
    <t>Licitación</t>
  </si>
  <si>
    <t>PV</t>
  </si>
  <si>
    <t>Ivanhoe Electric</t>
  </si>
  <si>
    <t>Alacran</t>
  </si>
  <si>
    <t>Asistencia de revisiones y supervisión de Ing. De Detalle de la planta del proyecto Alacran de Cordoba Mining</t>
  </si>
  <si>
    <t>GEOT</t>
  </si>
  <si>
    <t>AS</t>
  </si>
  <si>
    <t>Vale</t>
  </si>
  <si>
    <t>Servicio IQS para nueve assets</t>
  </si>
  <si>
    <t>RM</t>
  </si>
  <si>
    <t>EVRAZ</t>
  </si>
  <si>
    <t>Propuesta sistema de simulación</t>
  </si>
  <si>
    <t>Highland Copper</t>
  </si>
  <si>
    <t>Copperword</t>
  </si>
  <si>
    <t>FS STUDY</t>
  </si>
  <si>
    <t>ER</t>
  </si>
  <si>
    <t>PA</t>
  </si>
  <si>
    <t>Matrix</t>
  </si>
  <si>
    <t>Revisión de PFS y operaciones (4)</t>
  </si>
  <si>
    <t>Alcance ineficiente</t>
  </si>
  <si>
    <t>AZ</t>
  </si>
  <si>
    <t>Las Bambas</t>
  </si>
  <si>
    <t>Ferrobamba</t>
  </si>
  <si>
    <t>PFS Ferrobamba Deep</t>
  </si>
  <si>
    <t>ERG</t>
  </si>
  <si>
    <t>Desarrollo plan LOM y plan de cierre</t>
  </si>
  <si>
    <t>Anulación de licitación</t>
  </si>
  <si>
    <t>Atlas Mining</t>
  </si>
  <si>
    <t>Ing PFS Mina</t>
  </si>
  <si>
    <t>Capstone Copper</t>
  </si>
  <si>
    <t xml:space="preserve">Sistema Integrado de Gestión de Riesgos Geotécnicos </t>
  </si>
  <si>
    <t>FR</t>
  </si>
  <si>
    <t>CMP</t>
  </si>
  <si>
    <t>Romeral</t>
  </si>
  <si>
    <t>Acompañamiento y ing para puesta en marcha de mina SLS Romeral</t>
  </si>
  <si>
    <t>Santa Cruz</t>
  </si>
  <si>
    <t>Estudio PFS</t>
  </si>
  <si>
    <t>Estrategia no Adecuada</t>
  </si>
  <si>
    <t>Evraz</t>
  </si>
  <si>
    <t>Selección de equipos mineros</t>
  </si>
  <si>
    <t>Kuzbass</t>
  </si>
  <si>
    <t>Ugol</t>
  </si>
  <si>
    <t>Modelo 3d geologica de 2 yacimientos</t>
  </si>
  <si>
    <t>IE RFP 005 - Geotechnical Studies</t>
  </si>
  <si>
    <t>Costos muy altos</t>
  </si>
  <si>
    <t>McCarthy Abogados</t>
  </si>
  <si>
    <t>Servicio de apoyo experto para defensa de Rio Tinto en Litigio en su contra</t>
  </si>
  <si>
    <t>EMCO</t>
  </si>
  <si>
    <t>Solnechny</t>
  </si>
  <si>
    <t>Optimization of Current Operation and Long-Term Strategy and Trade Off analysis of Transportation System.</t>
  </si>
  <si>
    <t>Rio Tinto</t>
  </si>
  <si>
    <t>Oyu Tolgoi</t>
  </si>
  <si>
    <t>Soporte caso de litigio Rio Tinto vs Gobierno Mongolia</t>
  </si>
  <si>
    <t>Mejoras Operacionales Mina Candelaria</t>
  </si>
  <si>
    <t>Selección empresa local</t>
  </si>
  <si>
    <t>Cementation</t>
  </si>
  <si>
    <t>Estimación de reservas, mine plan</t>
  </si>
  <si>
    <t>AMSA</t>
  </si>
  <si>
    <t>Centinela</t>
  </si>
  <si>
    <t>Trade Off Tecnologias de manejo de materiales</t>
  </si>
  <si>
    <t>Highland Gold</t>
  </si>
  <si>
    <t>Valunisty mine</t>
  </si>
  <si>
    <t>PFS OP</t>
  </si>
  <si>
    <t>MF</t>
  </si>
  <si>
    <t>Minsur</t>
  </si>
  <si>
    <t>San Rafael</t>
  </si>
  <si>
    <t>Definición de KPIs de gestion para Minsur y continuidad proceso SGOP de San Rafael</t>
  </si>
  <si>
    <t>Twin Metals</t>
  </si>
  <si>
    <t xml:space="preserve">Birch Lake - Maturi </t>
  </si>
  <si>
    <t>Prefactibilidad para el conjunto Birch Lake - Maturi</t>
  </si>
  <si>
    <t>BHP</t>
  </si>
  <si>
    <t>Cerro Colorado</t>
  </si>
  <si>
    <t>Ing de factibilidad: Diseño de botaderos</t>
  </si>
  <si>
    <t>Ing Basica MHD UG</t>
  </si>
  <si>
    <t>Plan LOM de distintas estrategias de crecimiento de la planta</t>
  </si>
  <si>
    <t>Alrosa</t>
  </si>
  <si>
    <t>Yubileynaya</t>
  </si>
  <si>
    <t>Assestment geomecanico para los parametros del Block Caving</t>
  </si>
  <si>
    <t>Eurochem</t>
  </si>
  <si>
    <t>Zhelezniy</t>
  </si>
  <si>
    <t>Determinar la estabilidad de los taludes del Rajo y de los emplazamientos y bancos locales del Rajo abierto de Zhelezniy</t>
  </si>
  <si>
    <t>Anglo Gold Ashanti</t>
  </si>
  <si>
    <t>Merlin</t>
  </si>
  <si>
    <t>Technical Expert Support
Merlin Conceptual Study</t>
  </si>
  <si>
    <t>Mosaic</t>
  </si>
  <si>
    <t>CTV</t>
  </si>
  <si>
    <t>Proyecto integral CTV Fase 2</t>
  </si>
  <si>
    <t>Alio Gold</t>
  </si>
  <si>
    <t>Technical Expert Support of the plaintiff’s allegation to Alio Gold Inc</t>
  </si>
  <si>
    <t xml:space="preserve">Optimización de rutas de transporte, Simulación, Modelos geotécnico y monitoreo </t>
  </si>
  <si>
    <t>Propuesta Tecnologica para MIR</t>
  </si>
  <si>
    <t>Norte Abierto SpA</t>
  </si>
  <si>
    <t>Cerro Casale</t>
  </si>
  <si>
    <t>Optimización de Pit y Diseño de Fase</t>
  </si>
  <si>
    <t>4 operaciones</t>
  </si>
  <si>
    <t>Methodology for Estimating Mine Plan Reliability (Px) - Phase (1 &amp; 2) (Cozamin, Pinto valley, mantoverde, mantos blancos)</t>
  </si>
  <si>
    <t>IE RFP 006 - Mineral Resources Estimate - Reviewer</t>
  </si>
  <si>
    <t>Antamina</t>
  </si>
  <si>
    <t>Servicio de Ingeniería de Integración del Proyecto Túnel Exploratorio</t>
  </si>
  <si>
    <t>Minera Hampton</t>
  </si>
  <si>
    <t>Los Calatos</t>
  </si>
  <si>
    <t>Los Calatos Pre-FP Study (V3)</t>
  </si>
  <si>
    <t>J&amp;F</t>
  </si>
  <si>
    <t>Mina Urucum</t>
  </si>
  <si>
    <t>Recuperación de Pilares Mina Urucum</t>
  </si>
  <si>
    <t>Resolution</t>
  </si>
  <si>
    <t>Soporte en diseño y planificación</t>
  </si>
  <si>
    <t>CH</t>
  </si>
  <si>
    <t>Actualización Modelo Geomecánico LOM/Corto Plazo</t>
  </si>
  <si>
    <t>Ing Conceptual: Estudio Extensión Sierra Norte</t>
  </si>
  <si>
    <t>Sierra Metals</t>
  </si>
  <si>
    <t>Yauricocha</t>
  </si>
  <si>
    <t>ESTUDIO DE VENTILACIÓN UNIDAD MINERA YAURICOCHA</t>
  </si>
  <si>
    <t>Minera Reliquias</t>
  </si>
  <si>
    <t>Due Diligence Mina-Planta</t>
  </si>
  <si>
    <t>Taleveem mine</t>
  </si>
  <si>
    <t>Scoping Study</t>
  </si>
  <si>
    <t>Preparación IV MEIA San German</t>
  </si>
  <si>
    <t>MCI</t>
  </si>
  <si>
    <t>Los Bronces</t>
  </si>
  <si>
    <t>Los Bronces Mine Plan Review</t>
  </si>
  <si>
    <t>Glencore</t>
  </si>
  <si>
    <t>Pachon</t>
  </si>
  <si>
    <t>Estudio de diseños de alternativas de chancado</t>
  </si>
  <si>
    <t>Mejoramiento Plan 2024 y de Performance de Cumplimiento para Minera Centinela</t>
  </si>
  <si>
    <t>Aura Minerals</t>
  </si>
  <si>
    <t>Estudio transición OP/UG: Lom estrategico UG</t>
  </si>
  <si>
    <t>Volcan</t>
  </si>
  <si>
    <t>Revisión de validación reportes R&amp;R (15 assets)</t>
  </si>
  <si>
    <t>Construcción de modelo Geologico y de Recursos</t>
  </si>
  <si>
    <t>Polyus</t>
  </si>
  <si>
    <t>Sistema de ore-control para la planificación de corto plazo</t>
  </si>
  <si>
    <t>Ingeniería de valor para Robustecer el Proyecto CUGEP</t>
  </si>
  <si>
    <t>MEL</t>
  </si>
  <si>
    <t xml:space="preserve">ESTUDIO FEL -1 DE OPCIONES DE ACCESO EXPLORATORIO - ESCONDIDA EAST DEEP </t>
  </si>
  <si>
    <t>Minera Chinalco Perú S.A</t>
  </si>
  <si>
    <t>Chinalco</t>
  </si>
  <si>
    <t>Estimación de Reservas Minerales y Plan de Vida de Mina</t>
  </si>
  <si>
    <t>Codelco</t>
  </si>
  <si>
    <t>DMH</t>
  </si>
  <si>
    <t>INGENIERÍA PARA ESTUDIO DE PREFACTIBILIDAD
- ETAPA FEL2A Y FEL2B - RAMPA DE EXPLORACIÓN DMH SUBTERRÁNEO</t>
  </si>
  <si>
    <t>Marco</t>
  </si>
  <si>
    <t>IE RFP 005 - Geotechnical Studies - 3rd Party Review</t>
  </si>
  <si>
    <t>Romina</t>
  </si>
  <si>
    <t>ING Detalle Sistema Ventilación</t>
  </si>
  <si>
    <t>First Quantum</t>
  </si>
  <si>
    <t>Cobre Panama</t>
  </si>
  <si>
    <t xml:space="preserve">Lom estrategico </t>
  </si>
  <si>
    <t>Sukhoy Log</t>
  </si>
  <si>
    <t>3D Numerical Analysis of Trial open pit stability</t>
  </si>
  <si>
    <t>Raura</t>
  </si>
  <si>
    <t>Apoyo y mejoramiento de planeamiento de corto plazo</t>
  </si>
  <si>
    <t>Coroccohuayco</t>
  </si>
  <si>
    <t>Estudios Mineros para la PFS</t>
  </si>
  <si>
    <t>Mine planning support for PFS</t>
  </si>
  <si>
    <t>Escondida</t>
  </si>
  <si>
    <t>Modelo predictivo para Definir ubicación óptima de pozos de drenaje</t>
  </si>
  <si>
    <t>Hudbay Perú S.A.C</t>
  </si>
  <si>
    <t>Constancia</t>
  </si>
  <si>
    <t>Estudio de Factibilidad del WRF y Tajo Constancia para la 4ta MEIA</t>
  </si>
  <si>
    <t>OCP</t>
  </si>
  <si>
    <t>Cobriza</t>
  </si>
  <si>
    <t>Diagnostico operaciónal y construcción de planes alternativos (Blue Sky y potencial)</t>
  </si>
  <si>
    <t>Anglo American</t>
  </si>
  <si>
    <t>Ing. Pre factibilidad perforación DHH</t>
  </si>
  <si>
    <t>Rockhaven</t>
  </si>
  <si>
    <t>Mining Trade Off Study</t>
  </si>
  <si>
    <t>Algarrobo</t>
  </si>
  <si>
    <t>Evaluación caso de negocio explotación SLS</t>
  </si>
  <si>
    <t>Las Cenizas</t>
  </si>
  <si>
    <t>Mina Sauce</t>
  </si>
  <si>
    <t>Estrategia de Relleno en Pasta para
Maximizar la Recuperación Minera
en Mina Sauce</t>
  </si>
  <si>
    <t>Seprocal</t>
  </si>
  <si>
    <t>Ingenieria de detalle de fortificación de piques</t>
  </si>
  <si>
    <t>EUROCHEM</t>
  </si>
  <si>
    <t>Himmelfarb</t>
  </si>
  <si>
    <t>auditoría para un " Scoping Study" para reducir Opex y Capex</t>
  </si>
  <si>
    <t>Geotechnical slope validtion</t>
  </si>
  <si>
    <t>Construccion de wireframes de cuerpo mineral y modelos de bloque de 2 yacimientos: Nerundinskoye y Mukodek</t>
  </si>
  <si>
    <t>Gongo Soco</t>
  </si>
  <si>
    <t>Estudio Conceptual</t>
  </si>
  <si>
    <t>Andina</t>
  </si>
  <si>
    <t>Due Diligence Higlevel  Mina-Planta-Infraestrutura de Andina</t>
  </si>
  <si>
    <t xml:space="preserve">Calibre Mining </t>
  </si>
  <si>
    <t>Limon</t>
  </si>
  <si>
    <t xml:space="preserve">Servicio de Diseño e Ingeniería del Portal </t>
  </si>
  <si>
    <t>Chagres</t>
  </si>
  <si>
    <t xml:space="preserve">Estudio de Prefactibilidad de Proyecto de Minería Urbana </t>
  </si>
  <si>
    <t>Mina Justa</t>
  </si>
  <si>
    <t>Estudio técnico – económico para fase de perfil proyecto achupallas</t>
  </si>
  <si>
    <t>Zublin - Strabag</t>
  </si>
  <si>
    <t>Teniente</t>
  </si>
  <si>
    <t>Aplicación Simprep en proyecto diamante</t>
  </si>
  <si>
    <t xml:space="preserve">Estandarización, control y seguimiento de KPIs/resultados de corto/mediano plazo para Minsur </t>
  </si>
  <si>
    <t>Caserones</t>
  </si>
  <si>
    <t>Evaluación opciones de mejora a través de nuevos criterios para definir los destinos óptimos y la estrategia de leyes de corte</t>
  </si>
  <si>
    <t>Soporte para la elaboración del FQ1, FQ3 y Budget 25</t>
  </si>
  <si>
    <t>Coripuno</t>
  </si>
  <si>
    <t>Torremani</t>
  </si>
  <si>
    <t>ALTERNATIVAS DEL METODO DE MINADO EN EL PROYECTO MINERO TORREMANI</t>
  </si>
  <si>
    <t xml:space="preserve">Revisión del análisis de estabilidad de taludes pit limón fase 4 </t>
  </si>
  <si>
    <t>Equinox</t>
  </si>
  <si>
    <t>DIAGNÓSTICO INTEGRADO DE LA MINA SANTA LUZ (MINA-PLANTA-FUNDICIÓN)</t>
  </si>
  <si>
    <t>ING Detalle Sistema Bombeo</t>
  </si>
  <si>
    <t>DRT</t>
  </si>
  <si>
    <t>Análisis y cuantificación de cobre en riesgo por expansión del OP</t>
  </si>
  <si>
    <t>Nuevos alcances: Proyecto Algarrobo Finos</t>
  </si>
  <si>
    <t>CNN</t>
  </si>
  <si>
    <t>Mejoras Operacionales CNN FEL3 (upgrade de la evaluación del proyecto de ampliación)</t>
  </si>
  <si>
    <t>Estudio de productividad</t>
  </si>
  <si>
    <t>EMX Royalty</t>
  </si>
  <si>
    <t>Chapi</t>
  </si>
  <si>
    <t>Due Diligence de Chapi (Quilla Resources)</t>
  </si>
  <si>
    <t>Bunker Hill</t>
  </si>
  <si>
    <t xml:space="preserve">Technical Review and Independent Value Assessment (Value@Risk) of Bunker Hill Operation </t>
  </si>
  <si>
    <t>CNN, MLC</t>
  </si>
  <si>
    <t>Apoyo LOM 2024 Faenas MLC y CNN</t>
  </si>
  <si>
    <t>Mínimos Estándares de Planificación</t>
  </si>
  <si>
    <t>Servicio de Analisis de Estabilidad de los DME del tajo abierto El Limón</t>
  </si>
  <si>
    <t>Cajati</t>
  </si>
  <si>
    <t>Actualizacion analisis de Estabilidad OP</t>
  </si>
  <si>
    <t>Proceso de actualización del LoM</t>
  </si>
  <si>
    <t>DET</t>
  </si>
  <si>
    <t>ESTUDIO SISTEMA DE GESTIÓN PREMIN DET</t>
  </si>
  <si>
    <t>Santander</t>
  </si>
  <si>
    <t>Yauricocha / Bolivar</t>
  </si>
  <si>
    <t>Revisión en terreno de dos operacones para evaluar fatal flaws.</t>
  </si>
  <si>
    <t>Hoshschield</t>
  </si>
  <si>
    <t>Inmaculada</t>
  </si>
  <si>
    <t>Servicio de logeo geomecanico</t>
  </si>
  <si>
    <t>Estudio Análisis Opciones de Vaciado Mineral Subterránea Vía Rajo Horizonte Corto-Mediano Plazo</t>
  </si>
  <si>
    <t>Actualizar los diseños de labores y envolvente del Nivel 1320 al Nivel 1620</t>
  </si>
  <si>
    <t>Minera Tres valles</t>
  </si>
  <si>
    <t>Modelo de flujo gravitacional</t>
  </si>
  <si>
    <t>Buenaventura</t>
  </si>
  <si>
    <t>El Brocal</t>
  </si>
  <si>
    <t>Estudio de ingeniería de factibilidad para la Ampliación del Tajo Norte</t>
  </si>
  <si>
    <t>Actualización de la normativa de reportabilidad de reservas y recursos</t>
  </si>
  <si>
    <t>Contrato Mosaic CAJ Optimización OP</t>
  </si>
  <si>
    <t>DCH</t>
  </si>
  <si>
    <t xml:space="preserve">SERVICIO DE ESTUDIO EVALUACION CRECIMIENTO MB NORTE 4 CHUQUICAMATA SUBTERRÁNEA </t>
  </si>
  <si>
    <t>INGENIERÍA EXPLORATORIA DEL PROYECTO DMH NORTE</t>
  </si>
  <si>
    <t>Apoyo a la planificación:  Integración de Información Planeamiento-Geomecánica //  Estudio Conceptual de Justificación Rampa de Acceso Sector San German</t>
  </si>
  <si>
    <t>Anaconda Mining</t>
  </si>
  <si>
    <t>Due Diligence de Goldboro Gold Project (Anaconda Mining)</t>
  </si>
  <si>
    <t>Evaluación de recursos marginales</t>
  </si>
  <si>
    <t>Due Diligence study for greenfield project in Brazil (Autazes Potash Project)</t>
  </si>
  <si>
    <t>Spence</t>
  </si>
  <si>
    <t>Análisis de confiabilidad del plan LoA 2025-26</t>
  </si>
  <si>
    <t xml:space="preserve">Taquari Vassouras </t>
  </si>
  <si>
    <t>Taquari Vassouras - Fase II - Planificación corto plazo (+Cpacitación Deswik&amp;Ventsim)</t>
  </si>
  <si>
    <t xml:space="preserve">Diagnóstico de gaps de planificación y operaciones (Foco en riesgos geomecánicos) </t>
  </si>
  <si>
    <t>Carola</t>
  </si>
  <si>
    <t>Apoyo en la planificación de Corto Plazo (SIMPREP)</t>
  </si>
  <si>
    <t>El Sauce</t>
  </si>
  <si>
    <t>Optimización del desarrollo (Simprep)</t>
  </si>
  <si>
    <t>Metodologia para evaluar cumplimiento del plan con KPIs reales</t>
  </si>
  <si>
    <t>CAP</t>
  </si>
  <si>
    <t>Guarelo</t>
  </si>
  <si>
    <t>Estudio integral de LOM Mina Guarelo: Acompañamiento desde el plan de captura de información hasta el LOM</t>
  </si>
  <si>
    <t>CEOM/Hoshschield</t>
  </si>
  <si>
    <t>Asesoría Técnica para la Identificación de Oportunidades de Mejora para Incremento de Producción Mina</t>
  </si>
  <si>
    <t>Tofo Norte</t>
  </si>
  <si>
    <t>Revisión de estrategia Tofo Norte, modularizado</t>
  </si>
  <si>
    <t>Análisis y Sustento LOM 25</t>
  </si>
  <si>
    <t>REVISIÓN INDEPENDIENTE MODELO DE RECURSOS DRT</t>
  </si>
  <si>
    <t>Upgrade Plan Minero CNN -
4.5 Mt Pellet Fee</t>
  </si>
  <si>
    <t>Actualización tamaño negocio Tofo Norte</t>
  </si>
  <si>
    <t>Análisis de confiabilidad y detección de cuellos de botella del LoA 25 – Proyecto SCUT</t>
  </si>
  <si>
    <t>Los Colorados</t>
  </si>
  <si>
    <t>“Plan Minero Base Escenario Brownfield MLC</t>
  </si>
  <si>
    <t>Revisión Geotecnica de Juicio experto</t>
  </si>
  <si>
    <t>Mineria Activa</t>
  </si>
  <si>
    <t>Pampa Camarones</t>
  </si>
  <si>
    <t>Análisis 360 de la operación</t>
  </si>
  <si>
    <t>Lhg</t>
  </si>
  <si>
    <t>Autazes</t>
  </si>
  <si>
    <t>Taller y evaluación de información en contexto de riesgos y oportunidades</t>
  </si>
  <si>
    <t>Análisis de Cumplimiento del Plan y Evaluación de Rutas de Alternativas</t>
  </si>
  <si>
    <t>Servicio de Estándar y Procedimiento Cierre Topográfico</t>
  </si>
  <si>
    <t>Analisis de confiabilidad de planes mineros</t>
  </si>
  <si>
    <t>Fase 2: mejoras de Corto Plazo</t>
  </si>
  <si>
    <t>BCG</t>
  </si>
  <si>
    <t>Evaluación de la planificación de Codelco</t>
  </si>
  <si>
    <t xml:space="preserve"> Geomechanical Analyses of Mine Plan-Mejoramiento de Datos Geotécnicos 
de Entrada y Refinamiento 
Geométrico de Sólidos 3D</t>
  </si>
  <si>
    <t>Tantahuatay</t>
  </si>
  <si>
    <t>servicio de capacitación en DBS y SIMPLAN</t>
  </si>
  <si>
    <t>Quilla Project</t>
  </si>
  <si>
    <t>Metallurgical expert to perform a desktop review</t>
  </si>
  <si>
    <t>SERVICIO DE APOYO A LA DOCUMENTACIÓN DE PRACTICAS DE PLANIFICACIÓN DE CORTO PLAZO Y SU NORMATIVA INTERNA</t>
  </si>
  <si>
    <t>Apoyo consultivo  procesos de planificación minera</t>
  </si>
  <si>
    <t>Lomas Bayas</t>
  </si>
  <si>
    <t>Actualización y capacitación de los modelos MineHaul y MinePlan</t>
  </si>
  <si>
    <t>Apoyo MEIA Raura</t>
  </si>
  <si>
    <t>Semana 05/08</t>
  </si>
  <si>
    <t>Semana 12/08</t>
  </si>
  <si>
    <t>Semana 19/08</t>
  </si>
  <si>
    <t>Semana 26/08</t>
  </si>
  <si>
    <t>Semana 02/09</t>
  </si>
  <si>
    <t>Semana 09/09</t>
  </si>
  <si>
    <t>Semana 16/09</t>
  </si>
  <si>
    <t>Semana 23/09</t>
  </si>
  <si>
    <t>Tema</t>
  </si>
  <si>
    <t>Objetivo</t>
  </si>
  <si>
    <t>Requerimiento</t>
  </si>
  <si>
    <t>Lunes</t>
  </si>
  <si>
    <t>Martes</t>
  </si>
  <si>
    <t>Miércoles</t>
  </si>
  <si>
    <t>Jueves</t>
  </si>
  <si>
    <t>Viernes</t>
  </si>
  <si>
    <t>Reuniones</t>
  </si>
  <si>
    <t>Reuniones administrativas</t>
  </si>
  <si>
    <t>A1</t>
  </si>
  <si>
    <t>Reunión ejectuviva (12:00)</t>
  </si>
  <si>
    <t>A2</t>
  </si>
  <si>
    <t>Reunión ejecutiva (13:00)</t>
  </si>
  <si>
    <t>A3</t>
  </si>
  <si>
    <t>Reunión comercial (9:30)</t>
  </si>
  <si>
    <t>A4</t>
  </si>
  <si>
    <t>Reunión de gestión de cobranza (12:30)</t>
  </si>
  <si>
    <t>A5</t>
  </si>
  <si>
    <t>A6</t>
  </si>
  <si>
    <t>A7</t>
  </si>
  <si>
    <t>Preparación reunión de gestión</t>
  </si>
  <si>
    <t>A8</t>
  </si>
  <si>
    <t>Reunión de gestión</t>
  </si>
  <si>
    <t>KSM</t>
  </si>
  <si>
    <t>Preparar Statement of Qualifications (SOQ)  (20 agosto)</t>
  </si>
  <si>
    <t>Hacer ppta con entendimiento.</t>
  </si>
  <si>
    <t>Coordinar con equipo que material vamos a presentar (que y como)</t>
  </si>
  <si>
    <t>Reunión con ER</t>
  </si>
  <si>
    <t>Preparar material</t>
  </si>
  <si>
    <t>Validación con PV y equipo de Ing</t>
  </si>
  <si>
    <t>Envio de documento (material)</t>
  </si>
  <si>
    <t>Prepararación de propuestas Birch Lake - Maturi  (05/09)</t>
  </si>
  <si>
    <t>Preparación de lamina de entendimiento, alcances y temas principales</t>
  </si>
  <si>
    <t xml:space="preserve">Construcción de excel (HH, gantt, equipo, tareas) y PPT propuesta </t>
  </si>
  <si>
    <t>Construcción documento (word)</t>
  </si>
  <si>
    <t>Envio de propuesta</t>
  </si>
  <si>
    <t>MassMin</t>
  </si>
  <si>
    <t>Coordinación participación MassMin</t>
  </si>
  <si>
    <t>Reunión de coordinación sobre fechas, temas a presentar, etc</t>
  </si>
  <si>
    <t>Reunión con PV, MF, ER</t>
  </si>
  <si>
    <t>Preparar diseño stand</t>
  </si>
  <si>
    <t>Validación ER</t>
  </si>
  <si>
    <t>Preparar presentaciones (ppt)</t>
  </si>
  <si>
    <t>Presentar presentaciones</t>
  </si>
  <si>
    <t>Revisión de presentaciones</t>
  </si>
  <si>
    <t>Viaje Rusia</t>
  </si>
  <si>
    <t>Coordinación viaje a Rusia</t>
  </si>
  <si>
    <t>Reunión de coordinación sobre fechas, material para presentar, etc</t>
  </si>
  <si>
    <t>Reunión con OD  y FR</t>
  </si>
  <si>
    <t>Preparar presentación actualizada con casos de éxito UG</t>
  </si>
  <si>
    <t>Revisión de plan de visita a empresas</t>
  </si>
  <si>
    <t xml:space="preserve">Asiganación de recursos a las solicitudes </t>
  </si>
  <si>
    <t>Preparar Propuesta Cobriza (Envio propuesta 22/08)</t>
  </si>
  <si>
    <t>Continuidad de trabajo Coroccohuayco y Antapacay</t>
  </si>
  <si>
    <t xml:space="preserve">Reunión aclaratoria </t>
  </si>
  <si>
    <t>Validación con CM y equipo de Ing</t>
  </si>
  <si>
    <t xml:space="preserve">Reunión con El Brocal </t>
  </si>
  <si>
    <t>Coordinar con AZ temas a preentar</t>
  </si>
  <si>
    <t>Renuión con AZ,FR</t>
  </si>
  <si>
    <t>Preparar Presentación OP/UG</t>
  </si>
  <si>
    <t>Miskimayo</t>
  </si>
  <si>
    <t>Reunión de coordinación con CM</t>
  </si>
  <si>
    <t>Preparar presentación visión estratégica</t>
  </si>
  <si>
    <t>Determinar QP para actualizar Recursos y Reservas</t>
  </si>
  <si>
    <t>A9</t>
  </si>
  <si>
    <t>Nemont: Yanacocha</t>
  </si>
  <si>
    <t>Reunión con Cliente</t>
  </si>
  <si>
    <t>Propuesta CNN</t>
  </si>
  <si>
    <t>Construcción de propuesta</t>
  </si>
  <si>
    <t>Envio propuesta</t>
  </si>
  <si>
    <t>BHP - Modelo predictivo</t>
  </si>
  <si>
    <t>Preparar y tener KOM Interno con Cati</t>
  </si>
  <si>
    <t>Preparar contrato Carlos Morante</t>
  </si>
  <si>
    <t>Revisar y modificar contrato con MCD</t>
  </si>
  <si>
    <t>Feedback de FR para ver que temas claves incorporar</t>
  </si>
  <si>
    <t>Ejecución del proyecto</t>
  </si>
  <si>
    <t>Propuesta Chinalco</t>
  </si>
  <si>
    <t>Actualización de propuesta</t>
  </si>
  <si>
    <t>Espera de inf del cliente</t>
  </si>
  <si>
    <t>Propuestas San Rafael - Recursos potenciales</t>
  </si>
  <si>
    <t>Construicción propuesta recursos potenciales</t>
  </si>
  <si>
    <t>Solicitud de AZ para solicitar alcances</t>
  </si>
  <si>
    <t xml:space="preserve">P2 CAJ </t>
  </si>
  <si>
    <t>Reunión de coordinación con AS, FR, AF</t>
  </si>
  <si>
    <t>CTV fase 2 (Optimización)</t>
  </si>
  <si>
    <t>Propuestas Lhg Mining</t>
  </si>
  <si>
    <t>Reunión con AS para entendimiento de propuestas, requisitos, tiempos, etc</t>
  </si>
  <si>
    <t>Due Diligence Proyecto Autazes – Fase 2</t>
  </si>
  <si>
    <t>Conversar con Alex si puede construirla</t>
  </si>
  <si>
    <t>Urucum- Lom con nuevos pilares</t>
  </si>
  <si>
    <t>Urucrum - Opinión tecnica: Intrumentos de seguridad</t>
  </si>
  <si>
    <t>Vale: Congo Soco</t>
  </si>
  <si>
    <t>REDTEC</t>
  </si>
  <si>
    <t>Presentación de REDTEC para coordinación de equipo</t>
  </si>
  <si>
    <t>Reunión para coordinación</t>
  </si>
  <si>
    <t>Modificar PPT y enviar plan de acción</t>
  </si>
  <si>
    <t>Hacer invoice para habilitar inicio de actividads de REDTEC</t>
  </si>
  <si>
    <t>Plan de acción y seguimiento</t>
  </si>
  <si>
    <t>Otros temas comerciales</t>
  </si>
  <si>
    <t>Tabla de precios productos REDCO</t>
  </si>
  <si>
    <t>Ver eventos publicitarios</t>
  </si>
  <si>
    <t>Enviar información extra para contrato Marco Codelco</t>
  </si>
  <si>
    <t>Presentación Volcan</t>
  </si>
  <si>
    <t>Armar paquete de presentación de capacidades de rajo. En ingles</t>
  </si>
  <si>
    <t>Reunión con FR, PV para entender solicitud</t>
  </si>
  <si>
    <t>Reunión Codelco (miércoles 14/08)</t>
  </si>
  <si>
    <t>Preparar presentación</t>
  </si>
  <si>
    <t>Solicitud de incorporar a REDCO como vendor de BHP–USA</t>
  </si>
  <si>
    <t>A10</t>
  </si>
  <si>
    <t>A11</t>
  </si>
  <si>
    <t>A12</t>
  </si>
  <si>
    <t xml:space="preserve">Volcan </t>
  </si>
  <si>
    <t>Armar presentación con temas solicitados por el cliente</t>
  </si>
  <si>
    <t>Construcción de excel para pre calificación</t>
  </si>
  <si>
    <t>Candelaria: Estrategia de estabiización y crecimiento</t>
  </si>
  <si>
    <t>Construcción de presentación (propuesta)</t>
  </si>
  <si>
    <t>Prioridad</t>
  </si>
  <si>
    <t>Plan de acción</t>
  </si>
  <si>
    <t>Fecha entrega</t>
  </si>
  <si>
    <t>Limpieza de presentación y envio de puntos entendido por REDCO</t>
  </si>
  <si>
    <t>A la espera de Felipe</t>
  </si>
  <si>
    <t>Análisis de estabilidad OP</t>
  </si>
  <si>
    <t>Cladio + Eduardo</t>
  </si>
  <si>
    <t>Reevaluacuión caso sin proyecto vs caso sin proyecto a 6MT</t>
  </si>
  <si>
    <t>Felipe Rojas</t>
  </si>
  <si>
    <t>Analisis de cumplimiento del plan y evaluación de iniciativas LoA 25 (mediante herramienta SIMPLAN)</t>
  </si>
  <si>
    <t>Revisión final de Claudio</t>
  </si>
  <si>
    <t>Armar pedro aguiluz, buscar ejemplos: Ecuador, hablar mati, ivanhoe</t>
  </si>
  <si>
    <t>Responsable Mauro Melendez</t>
  </si>
  <si>
    <t>Enviar propuesta final</t>
  </si>
  <si>
    <t>Contrato Marco de Ingeniería – Gerencia de Planificación &amp; Desarrollo CMP</t>
  </si>
  <si>
    <t>Construcción propuesta simple</t>
  </si>
  <si>
    <t>Alejandro espinoza, construir ppt</t>
  </si>
  <si>
    <t>Corporativo</t>
  </si>
  <si>
    <t>Revisión gaps de planificación y operaciones</t>
  </si>
  <si>
    <t>RFP Servicios de estudios de ingeniería para proyectos</t>
  </si>
  <si>
    <t>Envio de no participación</t>
  </si>
  <si>
    <t>connstruir propuesta</t>
  </si>
  <si>
    <t>EY/Codelco</t>
  </si>
  <si>
    <t>“SERVICIO DE INGENIERÍA DE APOYO A PROYECTOS PARA LA DESCARBONIZACIÓN DE
PROCESOS”</t>
  </si>
  <si>
    <t>Enviado primer paquete</t>
  </si>
  <si>
    <t>GERENCIA Planificación DISTRITO NORTE</t>
  </si>
  <si>
    <t>CONTRATO MARCO DE SERVICIOS POR ESPECIALIDAD PARA
DIRECCIÓN PLANIFICACIÓN Y DESARROLLO MINERO</t>
  </si>
  <si>
    <t>CNN FEL 3</t>
  </si>
  <si>
    <t>Envio material de Oro</t>
  </si>
  <si>
    <t>Seabridge Gold</t>
  </si>
  <si>
    <t>SOQ KSM</t>
  </si>
  <si>
    <t>Completar información requerida y ver CVs</t>
  </si>
  <si>
    <t>Lhg Mining</t>
  </si>
  <si>
    <t>Urucum</t>
  </si>
  <si>
    <t>LOM con nueva configuración de pilares</t>
  </si>
  <si>
    <t>Reunión con Alex para revisar propuesta</t>
  </si>
  <si>
    <t>Antapaccay</t>
  </si>
  <si>
    <t>Presentación DRX</t>
  </si>
  <si>
    <t>Candeleria</t>
  </si>
  <si>
    <t>Estrategia de estabilización y crecimiento UG</t>
  </si>
  <si>
    <t>Enviar propuesta tecnica a cliente (Octavio Cardenas)</t>
  </si>
  <si>
    <t>Enviar contrato</t>
  </si>
  <si>
    <t>Twin metals</t>
  </si>
  <si>
    <t>Birch Lake</t>
  </si>
  <si>
    <t>Pre-PFS:  revisión al caso minero de Birch Lake + Maturi</t>
  </si>
  <si>
    <t>Actualizar valorización</t>
  </si>
  <si>
    <t>Auditoria de ventilación</t>
  </si>
  <si>
    <t>Leer BT y tener reunión el luns para definir partes y piezas</t>
  </si>
  <si>
    <t>Mina de Sal</t>
  </si>
  <si>
    <t>Pre-Calificación estudio de ingenieria</t>
  </si>
  <si>
    <t>Verificar con Lama si es necesario postular</t>
  </si>
  <si>
    <t>Trafigura</t>
  </si>
  <si>
    <t>Armar presentación</t>
  </si>
  <si>
    <t>Capacitación  y implementación de Simprep</t>
  </si>
  <si>
    <t>Preparar propuesta en base a propusta de Candelaria</t>
  </si>
  <si>
    <t>Prepración de taller estrategico + Propuesta</t>
  </si>
  <si>
    <t>PFS Ferromamba UG</t>
  </si>
  <si>
    <t>Envio interna propuesta formal (lunes) y reunión de cierre el miercoles</t>
  </si>
  <si>
    <t>Diagnóstico brechas que impactan riesgos geotécnicos</t>
  </si>
  <si>
    <t>Actualizar ppt</t>
  </si>
  <si>
    <t>Proyecto integral Cajati</t>
  </si>
  <si>
    <t>A la espera de aprovación del cliente</t>
  </si>
  <si>
    <t>TBD</t>
  </si>
  <si>
    <t>CTV; Fase 2</t>
  </si>
  <si>
    <t>Proyecto integral CTV2</t>
  </si>
  <si>
    <t>Ing FS Cobriza</t>
  </si>
  <si>
    <t>Alinear con AZ como mantenernos en proceso</t>
  </si>
  <si>
    <t>Ing factibilidad recursos potenciales SR</t>
  </si>
  <si>
    <t>Due Diligence fase 2</t>
  </si>
  <si>
    <t>Coordinación con Antonio para ver material a enviar</t>
  </si>
  <si>
    <t>Fase 2 Los Calatos (estudio PFS)</t>
  </si>
  <si>
    <t>Entendimiento con Alex de situación del estudio y coordinación de taller interno</t>
  </si>
  <si>
    <t>Anglo A</t>
  </si>
  <si>
    <t>Optimización de capacidad de relaves</t>
  </si>
  <si>
    <t>Presentación</t>
  </si>
  <si>
    <t>responder a pato por propuesta rajo</t>
  </si>
  <si>
    <t>Construir material</t>
  </si>
  <si>
    <t>Actualización normativa de reportabilidad de recursos y reservas</t>
  </si>
  <si>
    <t>Reunión jueves para definir alcances</t>
  </si>
  <si>
    <t>Lundin Gold</t>
  </si>
  <si>
    <t>Frutos del norte</t>
  </si>
  <si>
    <t>SOW Auditoria geotecnica</t>
  </si>
  <si>
    <t>Coordinar con Claudio para conseguir contacto dentro de la empesa</t>
  </si>
  <si>
    <t>x</t>
  </si>
  <si>
    <t>A la espera de entendimiento de propuesta por parte de Ricardo Miranda</t>
  </si>
  <si>
    <t>Revisión y ajuste</t>
  </si>
  <si>
    <t>Reunión de cierre</t>
  </si>
  <si>
    <t>Ajustes post taller</t>
  </si>
  <si>
    <t>Servicio Trade -Off Tecnológico Nueva Generación de Distrito</t>
  </si>
  <si>
    <t>Preparación de taller de entendimiento</t>
  </si>
  <si>
    <t>Taller estrategico de propuesta</t>
  </si>
  <si>
    <t>Auditoria de ventilación - Yauricocha</t>
  </si>
  <si>
    <t>Taller de coordinación</t>
  </si>
  <si>
    <t>Revisión de presentación y actualización</t>
  </si>
  <si>
    <t>Coordinación viaje CH</t>
  </si>
  <si>
    <t>Preparar material brochures</t>
  </si>
  <si>
    <t>Miski Mayo</t>
  </si>
  <si>
    <t>Mina de Sal - Pre-Calificación estudio de ingenieria</t>
  </si>
  <si>
    <t>Validar si REDCO tiene que enviar información</t>
  </si>
  <si>
    <t>Preparación de material</t>
  </si>
  <si>
    <t>A la espera de mas detalles</t>
  </si>
  <si>
    <t>Congo Soco</t>
  </si>
  <si>
    <t>A la espera de alcances</t>
  </si>
  <si>
    <t>Calatos</t>
  </si>
  <si>
    <t>Los Calatos PFS 2</t>
  </si>
  <si>
    <t>Reunión con Alex para prosimos pasos</t>
  </si>
  <si>
    <t>Construir SDC 4</t>
  </si>
  <si>
    <t>Construir PFS 2</t>
  </si>
  <si>
    <t>Actualizar PPT REDTEC</t>
  </si>
  <si>
    <t>Reunión de coordinación para preparar ppt</t>
  </si>
  <si>
    <t>Construcción PPT</t>
  </si>
  <si>
    <t>Reunión de avance con ER</t>
  </si>
  <si>
    <t>Volcan: Armar presentación con temas solicitados por el cliente, coordinar reunión</t>
  </si>
  <si>
    <t>Ing FS Cobriza: Alinear con AZ como mantenernos en proceso</t>
  </si>
  <si>
    <t>Ing factibilidad recursos potenciales SR: Alinear con AZ como mantenernos en proceso</t>
  </si>
  <si>
    <t>Anglo: Armar PPT Optimización de capacidad de relaves</t>
  </si>
  <si>
    <t>Presentación de capacidads rajo Fe</t>
  </si>
  <si>
    <t>FS Rajo</t>
  </si>
  <si>
    <t>Estudio conceptual transicion OP/UG</t>
  </si>
  <si>
    <t>armar lamina de budget</t>
  </si>
  <si>
    <t>Capstone</t>
  </si>
  <si>
    <t>Ingenieria Conceptual Extensión Proyecto Sierra Norte</t>
  </si>
  <si>
    <t>Trade Off tecnologicos distrito Centinela</t>
  </si>
  <si>
    <t>Reunión aclaratoria  (CM, CP a GN,DN)</t>
  </si>
  <si>
    <t>Evaluación de propuesta</t>
  </si>
  <si>
    <t>Diseño y Dimensionamiento de Propuesta PPT (Excel, HH, gantt, equipo, tareas)</t>
  </si>
  <si>
    <t>Preparación propuesta formal (Word)</t>
  </si>
  <si>
    <t>Acualización de propuesta</t>
  </si>
  <si>
    <t>Envio de propuesta y creacón de Ficha</t>
  </si>
  <si>
    <t>Código Total</t>
  </si>
  <si>
    <t>Proyecto Contrato Original</t>
  </si>
  <si>
    <t>Pais</t>
  </si>
  <si>
    <t>Proyecto</t>
  </si>
  <si>
    <t>Cliente</t>
  </si>
  <si>
    <t>Estado</t>
  </si>
  <si>
    <t>Probabilidad</t>
  </si>
  <si>
    <t>Monto Total
(US$)</t>
  </si>
  <si>
    <t>Inicio real</t>
  </si>
  <si>
    <t>Inicio de ingreso</t>
  </si>
  <si>
    <t>Fin real</t>
  </si>
  <si>
    <t>Meses Reales</t>
  </si>
  <si>
    <t>monto mes</t>
  </si>
  <si>
    <t>Monto 2024</t>
  </si>
  <si>
    <t>Monto 2023</t>
  </si>
  <si>
    <t>PE-MMG-OU-FEL00-022-A</t>
  </si>
  <si>
    <t>LasBambas_Ferrobamba_OP_UG</t>
  </si>
  <si>
    <t>Transición OP/UG de Ferrobamba</t>
  </si>
  <si>
    <t>MMG Las Bambas</t>
  </si>
  <si>
    <t>En Ejecución</t>
  </si>
  <si>
    <t>PE-CSC-UG-FEL2A-023-A</t>
  </si>
  <si>
    <t>PFS Los Calatos</t>
  </si>
  <si>
    <t>CD Capital</t>
  </si>
  <si>
    <t>BR-MOS-OU-FEL03-026-A</t>
  </si>
  <si>
    <t>Mosaic_Cajati</t>
  </si>
  <si>
    <t>BR-NEX-UG-FEL2A-027-A</t>
  </si>
  <si>
    <t>NEXA_FEL2 Aripuana</t>
  </si>
  <si>
    <t>FEL2 Aripuana</t>
  </si>
  <si>
    <t>Nexa</t>
  </si>
  <si>
    <t>BR-MOS-UG-FEL01-028-A</t>
  </si>
  <si>
    <t>Mosaic_Taquari Vassouras</t>
  </si>
  <si>
    <t>Taquari Vassouras</t>
  </si>
  <si>
    <t>CH-AMS-CS-OTR00-029-A</t>
  </si>
  <si>
    <t>AMSA_Planificacion</t>
  </si>
  <si>
    <t>Apoyo planificación minas AMSA</t>
  </si>
  <si>
    <t>CH-COD-OT-OTR00-030-A</t>
  </si>
  <si>
    <t>Codelco_Capacitacion Deswik DET</t>
  </si>
  <si>
    <t>Capacitación Deswik</t>
  </si>
  <si>
    <t>CH-CSH-OP-FEL00-034-A</t>
  </si>
  <si>
    <t>CSH_LOM Mina Guarello</t>
  </si>
  <si>
    <t>Mina Guarello</t>
  </si>
  <si>
    <t>CSH</t>
  </si>
  <si>
    <t>PE-COR-UG-FEL2A-035-A</t>
  </si>
  <si>
    <t>MEIA Coripuno</t>
  </si>
  <si>
    <t>Coripuno MEIA</t>
  </si>
  <si>
    <t>CH-COD-UG-FEL00-037-A</t>
  </si>
  <si>
    <t>Codelco_Cluster Toki</t>
  </si>
  <si>
    <t>Proyecto Cluster Toqui Subterraneo</t>
  </si>
  <si>
    <t>CH-CMP-CS-FEL00-038-A</t>
  </si>
  <si>
    <t>CMP_Los Colorados Adelantamiento Planta</t>
  </si>
  <si>
    <t>Impacto adelantamiento nueva planta MLC</t>
  </si>
  <si>
    <t>CH-COD-UG-FEL01-039-A</t>
  </si>
  <si>
    <t>Codelco_Drenaje QT</t>
  </si>
  <si>
    <t>Drenaje QT Recursos Norte</t>
  </si>
  <si>
    <t>CH-CMP-OU-FEL2A-041-A</t>
  </si>
  <si>
    <t>CMP_Romeral Estabilización + UG PFS</t>
  </si>
  <si>
    <t>Plan Estabilizado, PFS UG, Sistema Gestión Corto plazo Romeral</t>
  </si>
  <si>
    <t>PE-MMA-OP-FEL00-047-A</t>
  </si>
  <si>
    <t>MiskiMayo_LOM</t>
  </si>
  <si>
    <t>Evaluacion de operaciones y plan de minado LOM</t>
  </si>
  <si>
    <t>PE-MSR-UG-FEL00-071-A</t>
  </si>
  <si>
    <t>Minsur_Update LOM San Rafael</t>
  </si>
  <si>
    <t>----277-!</t>
  </si>
  <si>
    <t>----278-!</t>
  </si>
  <si>
    <t>----279-!</t>
  </si>
  <si>
    <t>----280-!</t>
  </si>
  <si>
    <t>----281-!</t>
  </si>
  <si>
    <t>----282-!</t>
  </si>
  <si>
    <t>----283-!</t>
  </si>
  <si>
    <t>----284-!</t>
  </si>
  <si>
    <t>----285-!</t>
  </si>
  <si>
    <t>----286-!</t>
  </si>
  <si>
    <t>----287-!</t>
  </si>
  <si>
    <t>----288-!</t>
  </si>
  <si>
    <t>----289-!</t>
  </si>
  <si>
    <t>Código</t>
  </si>
  <si>
    <t>Solicitud de Cambio / Comentario</t>
  </si>
  <si>
    <t>Monto 2023
(US$)</t>
  </si>
  <si>
    <t>Facturado a la fecha (US$)</t>
  </si>
  <si>
    <t>% Avance Financiero</t>
  </si>
  <si>
    <t>Diferencia USD a la Fecha</t>
  </si>
  <si>
    <t>CH-CMP-OU-FEL00-001-A</t>
  </si>
  <si>
    <t>Adrianita -Raúl</t>
  </si>
  <si>
    <t>AARR</t>
  </si>
  <si>
    <t>Finalizado</t>
  </si>
  <si>
    <t/>
  </si>
  <si>
    <t>CH-CMP-OT-FEL00-001-B</t>
  </si>
  <si>
    <t>AARR -Informe Vida Util</t>
  </si>
  <si>
    <t>CH-BHP-CD-OTR00-003-A</t>
  </si>
  <si>
    <t>NO_ESPECIFICADO</t>
  </si>
  <si>
    <t>Cuellos de botella del Plan 2YB - Spence</t>
  </si>
  <si>
    <t>CH-LUN-CS-OTR00-004-A</t>
  </si>
  <si>
    <t>Candelaria (Estandar y Planificacion)</t>
  </si>
  <si>
    <t>CH-LUN-GM-OTR00-005-A</t>
  </si>
  <si>
    <t>Pilares Mineros - Candelaria</t>
  </si>
  <si>
    <t>Candelaria Pilares</t>
  </si>
  <si>
    <t>CH-CMP-CS-OTR00-006-A</t>
  </si>
  <si>
    <t>CMP Estandar Planificación</t>
  </si>
  <si>
    <t>CMP Estandar</t>
  </si>
  <si>
    <t>CH-LUN-CS-OTR00-007-A</t>
  </si>
  <si>
    <t>Diagnóstico Operacional Candelaria</t>
  </si>
  <si>
    <t>PE-MSR-UG-FEL03-008-A</t>
  </si>
  <si>
    <t>Actualización Lom Raura</t>
  </si>
  <si>
    <t>Actualización LOM Raura</t>
  </si>
  <si>
    <t>PE-MSR-OT-OTR00-009-A</t>
  </si>
  <si>
    <t>AESA Rendimientos</t>
  </si>
  <si>
    <t>CH-CMP-OP-FEL03-010-A</t>
  </si>
  <si>
    <t>LOM CNN 2023</t>
  </si>
  <si>
    <t>LOM CNN</t>
  </si>
  <si>
    <t>CH-CMP-OP-FEL03-011-A</t>
  </si>
  <si>
    <t>LOM MLC 2023</t>
  </si>
  <si>
    <t>LOM MLC</t>
  </si>
  <si>
    <t>CH-GLE-OP-FEL01-012-A</t>
  </si>
  <si>
    <t>Lomas Bayas - LoA24</t>
  </si>
  <si>
    <t>CH-FLU-CD-OTR00-013-A</t>
  </si>
  <si>
    <t>MARA - Simulación Sistema Manejo Estéril</t>
  </si>
  <si>
    <t>MARA - Modelo de Simulación Desmonte</t>
  </si>
  <si>
    <t>Fluor</t>
  </si>
  <si>
    <t>CH-AMS-OP-FEL01-014-A</t>
  </si>
  <si>
    <t>Pelambres</t>
  </si>
  <si>
    <t>MLP</t>
  </si>
  <si>
    <t>RU-OTR-UG-FEL2A-015-A</t>
  </si>
  <si>
    <t>NorGold</t>
  </si>
  <si>
    <t>Norgold</t>
  </si>
  <si>
    <t>Otro</t>
  </si>
  <si>
    <t>RU-OTR-GM-FEL01-016-A</t>
  </si>
  <si>
    <t>NORILSK1-FS</t>
  </si>
  <si>
    <t>Norilsk 1</t>
  </si>
  <si>
    <t>RU-OTR-GM-FEL01-017-A</t>
  </si>
  <si>
    <t>OKT-NFM-FS</t>
  </si>
  <si>
    <t>Oktyabrsky</t>
  </si>
  <si>
    <t>CH-COD-UG-OTR00-003-B</t>
  </si>
  <si>
    <t>Planificación Minera Subterránea</t>
  </si>
  <si>
    <t xml:space="preserve"> </t>
  </si>
  <si>
    <t>PE-MSR-OT-OTR00-019-A</t>
  </si>
  <si>
    <t>Compilación de  R&amp;R</t>
  </si>
  <si>
    <t>CH-BHP-CD-OTR00-020-A</t>
  </si>
  <si>
    <t>Simulación Dinámica - Enoteca</t>
  </si>
  <si>
    <t>PE-SME-UG-OTR00-021-A</t>
  </si>
  <si>
    <t>ITS Yauricocha</t>
  </si>
  <si>
    <t>Sierra metals</t>
  </si>
  <si>
    <t>PE-MSR-OP-OTR00-024-A</t>
  </si>
  <si>
    <t>Marcobre - Minajusta</t>
  </si>
  <si>
    <t>Marcobre</t>
  </si>
  <si>
    <t>CH-CMP-OT-OTR00-025-A</t>
  </si>
  <si>
    <t>RDP</t>
  </si>
  <si>
    <t>Optimizar procesos RDP</t>
  </si>
  <si>
    <t>CH-COD-UG-FEL01-031-A</t>
  </si>
  <si>
    <t>Codelco_Falla Oeste</t>
  </si>
  <si>
    <t>Chuquicamata Falla Oeste</t>
  </si>
  <si>
    <t>CH-COD-UG-FEL01-032-A</t>
  </si>
  <si>
    <t>Codelco_Panel Central</t>
  </si>
  <si>
    <t>Chuquicamata Panel Central</t>
  </si>
  <si>
    <t>CH-CMP-OU-FEL2A-033-A</t>
  </si>
  <si>
    <t>CMP - FEL 2A</t>
  </si>
  <si>
    <t>CH-CMP-OU-FEL2A-033-B</t>
  </si>
  <si>
    <t>CMP -FEL-2A (Extensión Modelos)</t>
  </si>
  <si>
    <t>PE-MSR-UG-FEL03-036-A</t>
  </si>
  <si>
    <t>Minsur_Forecast_Budget24</t>
  </si>
  <si>
    <t>Forecast_Budget24 SR</t>
  </si>
  <si>
    <t>PE-MSR-UG-OTR00-003-C</t>
  </si>
  <si>
    <t>Desarrollo casos LOM UM Raura</t>
  </si>
  <si>
    <t>CH-CMP-CS-FEL00-040-A</t>
  </si>
  <si>
    <t>CMP_CNN Update plan LOM</t>
  </si>
  <si>
    <t>Capacidad de tratamiento óptima de CNN</t>
  </si>
  <si>
    <t>PE-BRO-OT-OTR00-003-D</t>
  </si>
  <si>
    <t>Estudio con Faja Transportadora</t>
  </si>
  <si>
    <t>PE-MSR-OT-OTR00-003-E</t>
  </si>
  <si>
    <t>Desarrollo plan LOM en Reservas</t>
  </si>
  <si>
    <t>PE-SME-UG-OTR00-003-F</t>
  </si>
  <si>
    <t>Desarrollo del Plan de Minado</t>
  </si>
  <si>
    <t>PE-MSR-UG-OTR00-042-A</t>
  </si>
  <si>
    <t>Raura Operativo</t>
  </si>
  <si>
    <t>Raura Modelo Operacional</t>
  </si>
  <si>
    <t>PE-MSR-UG-OTR00-043-A</t>
  </si>
  <si>
    <t>San Rafael Contrato Marco</t>
  </si>
  <si>
    <t>PE-MSR-UG-OTR00-044-A</t>
  </si>
  <si>
    <t>San Rafael Gestión Operativa</t>
  </si>
  <si>
    <t>PE-MSR-UG-OTR00-045-A</t>
  </si>
  <si>
    <t>San Rafael: Gestión del Corto Plazo</t>
  </si>
  <si>
    <t>Gestión corto plazo SR</t>
  </si>
  <si>
    <t>PE-SME-UG-FEL2A-046-A</t>
  </si>
  <si>
    <t>Sierra Metals_Plan de Minado MEIA</t>
  </si>
  <si>
    <t>Plan de minado MEIA Yauricocha</t>
  </si>
  <si>
    <t>OT-IEL-UG-FEL2A-060-A</t>
  </si>
  <si>
    <t>IvanhoeElectric_Santa-Cruz_PrePFS</t>
  </si>
  <si>
    <t>Otros</t>
  </si>
  <si>
    <t>Pre-PFS Santa Cruz Project UG</t>
  </si>
  <si>
    <t>PE-MSR-CS-OTR00-062-A</t>
  </si>
  <si>
    <t>Minsur_Ore Sorting Raura</t>
  </si>
  <si>
    <t xml:space="preserve">País </t>
  </si>
  <si>
    <t>Empresa-Mina</t>
  </si>
  <si>
    <t>Descripción</t>
  </si>
  <si>
    <t>Monto (KUSD)</t>
  </si>
  <si>
    <t>Ponderado al 80%</t>
  </si>
  <si>
    <t>Ponderado al 40%</t>
  </si>
  <si>
    <t>Mosaic - Cajati</t>
  </si>
  <si>
    <t>Asesoría para el control de riesgos geotécnicos operacionales</t>
  </si>
  <si>
    <t xml:space="preserve">Twin Metals - Birch Lake - Maturi </t>
  </si>
  <si>
    <t>Prefactibilidad para el conjunto Birch Lake – Maturi</t>
  </si>
  <si>
    <t xml:space="preserve">   Lundin Candelaria</t>
  </si>
  <si>
    <t xml:space="preserve">   Mejoras operacionales (Simprep y optimización P&amp;T subterránea)</t>
  </si>
  <si>
    <t>Lhg - CTV</t>
  </si>
  <si>
    <t>Planificación minera LOM (Nuevo tamaño de pilar)</t>
  </si>
  <si>
    <t>2 personas</t>
  </si>
  <si>
    <t>full</t>
  </si>
  <si>
    <t>Codelco - DMH</t>
  </si>
  <si>
    <t>Minera Hampton – Los Calatos</t>
  </si>
  <si>
    <t>Mina Carola</t>
  </si>
  <si>
    <t>CMP – Tofo Norte</t>
  </si>
  <si>
    <t>alejandro</t>
  </si>
  <si>
    <t>Ingeniería de detalle de fortificación de piques</t>
  </si>
  <si>
    <t>CMP - Algarrobo</t>
  </si>
  <si>
    <t>claudio 20%</t>
  </si>
  <si>
    <t>Highland Copper – Copperwoord</t>
  </si>
  <si>
    <t>FS Study Room and Pillar mine</t>
  </si>
  <si>
    <t>Rio Tinto – Oyu Tolgoi</t>
  </si>
  <si>
    <t>Ferrobamba – Las Bambas</t>
  </si>
  <si>
    <t>PFS Ferromamba Deep</t>
  </si>
  <si>
    <t>Sierra Metals – Yauricohca</t>
  </si>
  <si>
    <t>Estudio de ventilación unidad minera Yauricocha</t>
  </si>
  <si>
    <t>Highland Gold – Valunisty</t>
  </si>
  <si>
    <t>Pre factibilidad OP</t>
  </si>
  <si>
    <t>NRK – Kedrovoye</t>
  </si>
  <si>
    <t>Ingeniería de Factibilidad y Detalle (Mina-Planta-Infraestructura)</t>
  </si>
  <si>
    <t>original</t>
  </si>
  <si>
    <t>Gestores Comerciales</t>
  </si>
  <si>
    <t>Desarrollador Propuesta</t>
  </si>
  <si>
    <t>Nombre</t>
  </si>
  <si>
    <t>Tipo</t>
  </si>
  <si>
    <t>Tipo de Trabajo</t>
  </si>
  <si>
    <t>Margen</t>
  </si>
  <si>
    <t>Hallazgo Inicial</t>
  </si>
  <si>
    <t>Antonio Schettino</t>
  </si>
  <si>
    <t>Propuesta</t>
  </si>
  <si>
    <t>Consultoria</t>
  </si>
  <si>
    <t>Ricardo Miranda</t>
  </si>
  <si>
    <t>Iniciativa</t>
  </si>
  <si>
    <t>Estudios</t>
  </si>
  <si>
    <t>Mauricio Melendez</t>
  </si>
  <si>
    <t>Proyectos</t>
  </si>
  <si>
    <t>Americo Zuzunaga</t>
  </si>
  <si>
    <t>Claudio Hernandez</t>
  </si>
  <si>
    <t>Patricio Vergara</t>
  </si>
  <si>
    <t>Enrique Rubio</t>
  </si>
  <si>
    <t>Olesya D</t>
  </si>
  <si>
    <t>Matias Fuentes</t>
  </si>
  <si>
    <t>Pedro Aguiluz</t>
  </si>
  <si>
    <t>Posible Adjudicación</t>
  </si>
  <si>
    <t>Pago post Inicio Proyecto [días]</t>
  </si>
  <si>
    <t>Propuestas en construcción (word+ppt con lucas)</t>
  </si>
  <si>
    <t>Iniciativas Concretas (con alguna acción comercial durante la semana)</t>
  </si>
  <si>
    <t>Consultor</t>
  </si>
  <si>
    <t>Empresa/mina</t>
  </si>
  <si>
    <t>aa</t>
  </si>
  <si>
    <t>Pais
 (Oficina REDCO)</t>
  </si>
  <si>
    <t>(Varios elementos)</t>
  </si>
  <si>
    <t>Proyeccion Ingreso 2024</t>
  </si>
  <si>
    <t>En Construccion (Word)</t>
  </si>
  <si>
    <t>Proyección 2024</t>
  </si>
  <si>
    <t>Nro de Oportunidades</t>
  </si>
  <si>
    <t>Fraccion (%)</t>
  </si>
  <si>
    <t>Proyeccion Ingresos 2024</t>
  </si>
  <si>
    <t>Taquari Vassouras - Fase II</t>
  </si>
  <si>
    <t>Top Oportunidades</t>
  </si>
  <si>
    <t>feb</t>
  </si>
  <si>
    <t>mar</t>
  </si>
  <si>
    <t>Total Proyeccion Ingresos 2024</t>
  </si>
  <si>
    <t>Total Suma de Duracion (meses)</t>
  </si>
  <si>
    <t>Suma de Duracion (meses)</t>
  </si>
  <si>
    <t>Febrero</t>
  </si>
  <si>
    <t>Marzo</t>
  </si>
  <si>
    <t>Oportunidad</t>
  </si>
  <si>
    <t>Proy. 2024 (US$)</t>
  </si>
  <si>
    <t>Etapa</t>
  </si>
  <si>
    <t>CAND</t>
  </si>
  <si>
    <t>Ingresos Proyectados REDCO</t>
  </si>
  <si>
    <t>Año: 2023</t>
  </si>
  <si>
    <t>Filtro</t>
  </si>
  <si>
    <t>Probabilidad Pipeline</t>
  </si>
  <si>
    <t>Análisis de Información (Todos)</t>
  </si>
  <si>
    <t>Todos</t>
  </si>
  <si>
    <t>Total 2023</t>
  </si>
  <si>
    <t>Enero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</si>
  <si>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</si>
  <si>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</si>
  <si>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</si>
  <si>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</si>
  <si>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</si>
  <si>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</si>
  <si>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</si>
  <si>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</si>
  <si>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</si>
  <si>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Solicitud de Cambio / Orden de Cambio</t>
  </si>
  <si>
    <t>Gran Total</t>
  </si>
  <si>
    <t>Total Finalizado</t>
  </si>
  <si>
    <t>Total En Ejecución</t>
  </si>
  <si>
    <t>Total Pipeline</t>
  </si>
  <si>
    <t>Pipeline</t>
  </si>
  <si>
    <t>Monto contrato total</t>
  </si>
  <si>
    <t>Monto Total 2023</t>
  </si>
  <si>
    <t>Proyectado 2023 (desde fecha)</t>
  </si>
  <si>
    <t>Proyectado 2024</t>
  </si>
  <si>
    <t>CEMIN</t>
  </si>
  <si>
    <t>Numero de Proyectos</t>
  </si>
  <si>
    <t>Modalidad Pago</t>
  </si>
  <si>
    <t>Espera de OC</t>
  </si>
  <si>
    <t>EU-IEL-UG-FEL2A-060-A</t>
  </si>
  <si>
    <t>CMP_Romeral Estabilización + PFS UG</t>
  </si>
  <si>
    <t>CH-AMS-CS-OTR00-063-A</t>
  </si>
  <si>
    <t>AMSA_Estandares Minimos</t>
  </si>
  <si>
    <t>SDC</t>
  </si>
  <si>
    <t>CH-CMP-OT-FEL03-002-A</t>
  </si>
  <si>
    <t>Análisis Cuellos de Botella Spence</t>
  </si>
  <si>
    <t>CH-CMP-OP-OTR00-018-A</t>
  </si>
  <si>
    <t>CH-CMP-OT-OTR00-002-B</t>
  </si>
  <si>
    <t>Algarrobo ICSARA</t>
  </si>
  <si>
    <t>CH-CMP-OT-OTR00-002-C</t>
  </si>
  <si>
    <t>Algarrobo FORSIPA 05</t>
  </si>
  <si>
    <t>BR-J&amp;F-UG-PIPEL-048-A</t>
  </si>
  <si>
    <t>J&amp;F_Urucrum_RecuperacionPilares</t>
  </si>
  <si>
    <t>CH-COD-UG-OTR00-049-A</t>
  </si>
  <si>
    <t>Analisis de Riesgo MB4-1</t>
  </si>
  <si>
    <t>PE-SME-CS-OTR00-052-A</t>
  </si>
  <si>
    <t>Gap Analisis &amp; Auditoria de Recursos - Yauricocha y Bolivar</t>
  </si>
  <si>
    <t>PE-GLE-OP-FEL2A-054-A</t>
  </si>
  <si>
    <t>Glencore_Coroccohuayco_OptimizacionLOM</t>
  </si>
  <si>
    <t>Optimizacion LOM y Mejoras Coroccohuayco</t>
  </si>
  <si>
    <t>PE-MSR-UG-PIPEL-055-A</t>
  </si>
  <si>
    <t>Minsur_SanRafael_VetasAngostas</t>
  </si>
  <si>
    <t>Solucion Vetas Angostas San Rafael</t>
  </si>
  <si>
    <t>CH-CMP-CS-OTR00-056-A</t>
  </si>
  <si>
    <t>Optimización Negocio P40 - foco Romeral</t>
  </si>
  <si>
    <t>BR-VAL-OP-PIPEL-057-A</t>
  </si>
  <si>
    <t>Secuenciamiento y Planificacion Estabilizada Gongo Soco</t>
  </si>
  <si>
    <t>RU-ALR-UG-PIPEL-058-A</t>
  </si>
  <si>
    <t>Diseño y Planificacion de Block Caving</t>
  </si>
  <si>
    <t>RU-EVR-OT-OTR00-059-A</t>
  </si>
  <si>
    <t>CH-ZUB-CS-OTR00-061-A</t>
  </si>
  <si>
    <t>Aplicación Simprep</t>
  </si>
  <si>
    <t>Zublin</t>
  </si>
  <si>
    <t>BR-MOS-UG-FEL2A-064-A</t>
  </si>
  <si>
    <t>Mosaic_Taquari Vassouras Fase II</t>
  </si>
  <si>
    <t>BR-MOS-UG-FEL2A-065-A</t>
  </si>
  <si>
    <t>Mosaic_Planeamiento Mina Tapira</t>
  </si>
  <si>
    <t>BR-MOS-UG-FEL2A-066-A</t>
  </si>
  <si>
    <t>Mosaic_CMA_CMP</t>
  </si>
  <si>
    <t xml:space="preserve">Análisis de Información </t>
  </si>
  <si>
    <t>Total Ejecutado 2023 - Cobrado 2024</t>
  </si>
  <si>
    <t>Total Ejecutado 2024</t>
  </si>
  <si>
    <t>Estado de la Oportunidad</t>
  </si>
  <si>
    <t>Contrato Mosaic CMT</t>
  </si>
  <si>
    <t>Contrato J&amp;F</t>
  </si>
  <si>
    <t>Contrato Vale Gongo Soco</t>
  </si>
  <si>
    <t>VALE</t>
  </si>
  <si>
    <t>Mejoras Planificación Corto Plazo(Nota cambio)</t>
  </si>
  <si>
    <t>Continuidad ingerieria factibilidad agua Romeral</t>
  </si>
  <si>
    <t>CMP-RO</t>
  </si>
  <si>
    <t>Análisis de riesgo explotación MB41</t>
  </si>
  <si>
    <t>DCH - GRMD</t>
  </si>
  <si>
    <t>Implementación desarrollo mecanizado en DET</t>
  </si>
  <si>
    <t>DET - GPRO</t>
  </si>
  <si>
    <t>Estimación capacidad productiva SMM sector Bajo Diablo</t>
  </si>
  <si>
    <t>Herramienta de planificación minera SIMPLAN</t>
  </si>
  <si>
    <t>DRT - GRMD</t>
  </si>
  <si>
    <t>Ingeniería detalle Extensión Panel Central</t>
  </si>
  <si>
    <t>Herramienta de control y planificación de corto plazo de premin (SIMPREP)</t>
  </si>
  <si>
    <t>DET - GRMD</t>
  </si>
  <si>
    <t>Estimación capacidad productiva SMM nuevo nivel</t>
  </si>
  <si>
    <t>VP - DCH</t>
  </si>
  <si>
    <t>Ingenieria Drenaje Mina Collahuasi</t>
  </si>
  <si>
    <t>Collahuasi</t>
  </si>
  <si>
    <t>Simpres Constructora Galdilich</t>
  </si>
  <si>
    <t>C.G</t>
  </si>
  <si>
    <t>Empresa Salfa</t>
  </si>
  <si>
    <t>Salfa</t>
  </si>
  <si>
    <t>Minera Cenizas</t>
  </si>
  <si>
    <t>Cenizas</t>
  </si>
  <si>
    <t>Strabeg</t>
  </si>
  <si>
    <t>Ingenieria TBM AA</t>
  </si>
  <si>
    <t>AA</t>
  </si>
  <si>
    <t>Ingenieria TBM MEL</t>
  </si>
  <si>
    <t>Pucobre</t>
  </si>
  <si>
    <t>Analisis de riesgo Budget 2024 Mantoverde / Mantos Blancos</t>
  </si>
  <si>
    <t>CUGEP</t>
  </si>
  <si>
    <t>Elaboración de la FS</t>
  </si>
  <si>
    <t>Ingeniería Geotécnica PFS UG 12 MT</t>
  </si>
  <si>
    <t>CMP-Romeral</t>
  </si>
  <si>
    <t>Ingeniería Geotécnica PFS UG 200 MT</t>
  </si>
  <si>
    <t>Ingeniería Geotécnica - Integración OP/Planta</t>
  </si>
  <si>
    <t>CMP-Los Colorados</t>
  </si>
  <si>
    <t>LUNDIN Candelaria</t>
  </si>
  <si>
    <t>Apoyo geomecánica Corporativa</t>
  </si>
  <si>
    <t>Respaldo geomecánico LOM/ Corto Plazo</t>
  </si>
  <si>
    <t>Respaldo geomecánico LOM/Corto Plazo</t>
  </si>
  <si>
    <t>PUCOBRE</t>
  </si>
  <si>
    <t>Estudios Geotécnicos</t>
  </si>
  <si>
    <t>Panamerican Silver</t>
  </si>
  <si>
    <t>Atacama Kozan</t>
  </si>
  <si>
    <t>Diseños de soporte chimeneas/piques</t>
  </si>
  <si>
    <t>CODELCO El Teniente</t>
  </si>
  <si>
    <t>Captura información  (Logueo, ATV, Fotogrametría)</t>
  </si>
  <si>
    <t>Captura información - CMP (Logueo, ATV)</t>
  </si>
  <si>
    <t xml:space="preserve">Monitoreo Geotécnico </t>
  </si>
  <si>
    <t>Hudbay</t>
  </si>
  <si>
    <t>Proyectos de Optimización Mina-Relavera</t>
  </si>
  <si>
    <t>Simulación de Sistema de Transporte</t>
  </si>
  <si>
    <t>Levantamiento de Gaps de la PFS</t>
  </si>
  <si>
    <t>Compañia Minera Antapaccay S.A.</t>
  </si>
  <si>
    <t>Elaboración de PFS</t>
  </si>
  <si>
    <t>Proyecto de Transición OP/UG</t>
  </si>
  <si>
    <t>Elaboración de FS</t>
  </si>
  <si>
    <t xml:space="preserve">Plan Lom </t>
  </si>
  <si>
    <t>Tecnología y Simulación</t>
  </si>
  <si>
    <t>Estimación de Recursos y Reservas</t>
  </si>
  <si>
    <t>Estimación de Recursos y Reservas y actualización de su Plan LOM.</t>
  </si>
  <si>
    <t>Actualización de su Plan LOM a nivel FS</t>
  </si>
  <si>
    <t>Compañía Minera Buenaventura</t>
  </si>
  <si>
    <t>Compañia Minera Miski Mayo S.R.L.</t>
  </si>
  <si>
    <t>Compilación de Recursos y Reservas de las Unidades de Minsur</t>
  </si>
  <si>
    <t>MINSUR</t>
  </si>
  <si>
    <t>Actualización de su Plan LOM.</t>
  </si>
  <si>
    <t>Desarrollo de los Planes de producción según su LOM.</t>
  </si>
  <si>
    <t>Mineral El Brocal</t>
  </si>
  <si>
    <t>Actualización de su modelo geomecanico</t>
  </si>
  <si>
    <t>Minera Lincuna</t>
  </si>
  <si>
    <t>Analisis de su Sistema de flota</t>
  </si>
  <si>
    <t>Propuesta Tecnologica para Alrosa</t>
  </si>
  <si>
    <t>Mining ToS</t>
  </si>
  <si>
    <t>PFS Ivanhoe Electric</t>
  </si>
  <si>
    <t>PFS</t>
  </si>
  <si>
    <t>Project Review</t>
  </si>
  <si>
    <t>Mining Peer Review</t>
  </si>
  <si>
    <t>Mining Study</t>
  </si>
  <si>
    <t>Mozaic</t>
  </si>
  <si>
    <t>Freeport McMoRan</t>
  </si>
  <si>
    <t>q</t>
  </si>
  <si>
    <t>ene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</si>
  <si>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</si>
  <si>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</si>
  <si>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</si>
  <si>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</si>
  <si>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</si>
  <si>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</si>
  <si>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</si>
  <si>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</si>
  <si>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</si>
  <si>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Promedio de Monto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</si>
</sst>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1" formatCode="_ * #,##0_ ;_ * \-#,##0_ ;_ * &quot;-&quot;_ ;_ @_ "/>
    <numFmt numFmtId="164" formatCode="#,##0_ ;\-#,##0\ "/>
    <numFmt numFmtId="165" formatCode="[$-409]mmm/yy;@"/>
    <numFmt numFmtId="166" formatCode="#,##0,\K"/>
    <numFmt numFmtId="167" formatCode="#,##0.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C00000"/>
      <name val="Aptos Narrow"/>
      <family val="2"/>
      <scheme val="minor"/>
    </font>
    <font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u/>
      <sz val="16"/>
      <color rgb="FF002060"/>
      <name val="Aptos Narrow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b/>
      <sz val="8"/>
      <color rgb="FFFFFFFF"/>
      <name val="Calibri"/>
      <family val="2"/>
    </font>
    <font>
      <sz val="11"/>
      <color rgb="FF9C57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5"/>
      <color rgb="FF00B050"/>
      <name val="Aptos Narrow"/>
      <family val="2"/>
      <scheme val="minor"/>
    </font>
    <font>
      <b/>
      <sz val="15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rgb="FF000000"/>
      <name val="Calibri"/>
      <family val="2"/>
    </font>
    <font>
      <sz val="18"/>
      <name val="Arial"/>
      <family val="2"/>
    </font>
    <font>
      <b/>
      <sz val="9"/>
      <color rgb="FF000000"/>
      <name val="Calibri"/>
      <family val="2"/>
    </font>
    <font>
      <sz val="10"/>
      <color rgb="FFFF0000"/>
      <name val="Arial"/>
      <family val="2"/>
    </font>
    <font>
      <sz val="11"/>
      <name val="Aptos Narrow"/>
      <family val="2"/>
      <scheme val="minor"/>
    </font>
    <font>
      <b/>
      <sz val="9"/>
      <color rgb="FFFFFFFF"/>
      <name val="Calibri"/>
      <family val="2"/>
    </font>
    <font>
      <sz val="8"/>
      <color rgb="FF000000"/>
      <name val="Arial"/>
      <family val="2"/>
    </font>
    <font>
      <b/>
      <sz val="11"/>
      <color rgb="FFFFFFFF"/>
      <name val="Aptos Narrow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FA5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215C98"/>
        <bgColor indexed="64"/>
      </patternFill>
    </fill>
  </fills>
  <borders count="7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double">
        <color theme="7" tint="-0.249977111117893"/>
      </top>
      <bottom/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/>
      <right/>
      <top style="thin">
        <color theme="7" tint="-0.249977111117893"/>
      </top>
      <bottom style="thin">
        <color theme="7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25" borderId="0" applyNumberFormat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38">
    <xf numFmtId="0" fontId="0" fillId="0" borderId="0" xfId="0"/>
    <xf numFmtId="0" fontId="2" fillId="2" borderId="1" xfId="0" applyFont="1" applyFill="1" applyBorder="1"/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/>
    <xf numFmtId="0" fontId="2" fillId="4" borderId="1" xfId="0" applyFont="1" applyFill="1" applyBorder="1"/>
    <xf numFmtId="0" fontId="2" fillId="2" borderId="0" xfId="0" applyFont="1" applyFill="1"/>
    <xf numFmtId="3" fontId="2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/>
    <xf numFmtId="0" fontId="2" fillId="2" borderId="2" xfId="0" applyFont="1" applyFill="1" applyBorder="1"/>
    <xf numFmtId="3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/>
    <xf numFmtId="0" fontId="3" fillId="6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7" borderId="5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9" fontId="2" fillId="0" borderId="4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7" borderId="8" xfId="0" applyFont="1" applyFill="1" applyBorder="1"/>
    <xf numFmtId="0" fontId="2" fillId="7" borderId="0" xfId="0" applyFont="1" applyFill="1"/>
    <xf numFmtId="0" fontId="4" fillId="7" borderId="0" xfId="0" applyFont="1" applyFill="1"/>
    <xf numFmtId="0" fontId="2" fillId="7" borderId="9" xfId="0" applyFont="1" applyFill="1" applyBorder="1"/>
    <xf numFmtId="41" fontId="2" fillId="0" borderId="0" xfId="1" applyFont="1"/>
    <xf numFmtId="3" fontId="5" fillId="8" borderId="3" xfId="0" applyNumberFormat="1" applyFont="1" applyFill="1" applyBorder="1" applyAlignment="1">
      <alignment horizontal="center" vertical="center" wrapText="1"/>
    </xf>
    <xf numFmtId="3" fontId="5" fillId="8" borderId="10" xfId="0" applyNumberFormat="1" applyFont="1" applyFill="1" applyBorder="1" applyAlignment="1">
      <alignment horizontal="center" vertical="center" wrapText="1"/>
    </xf>
    <xf numFmtId="3" fontId="5" fillId="8" borderId="11" xfId="0" applyNumberFormat="1" applyFont="1" applyFill="1" applyBorder="1" applyAlignment="1">
      <alignment horizontal="center" vertical="center" wrapText="1"/>
    </xf>
    <xf numFmtId="3" fontId="5" fillId="8" borderId="11" xfId="0" applyNumberFormat="1" applyFont="1" applyFill="1" applyBorder="1" applyAlignment="1">
      <alignment horizontal="center" vertical="center"/>
    </xf>
    <xf numFmtId="3" fontId="5" fillId="8" borderId="4" xfId="0" applyNumberFormat="1" applyFont="1" applyFill="1" applyBorder="1" applyAlignment="1">
      <alignment horizontal="center" vertical="center"/>
    </xf>
    <xf numFmtId="41" fontId="2" fillId="0" borderId="0" xfId="0" applyNumberFormat="1" applyFont="1"/>
    <xf numFmtId="0" fontId="3" fillId="9" borderId="12" xfId="0" applyFont="1" applyFill="1" applyBorder="1" applyAlignment="1">
      <alignment horizontal="center" vertical="center"/>
    </xf>
    <xf numFmtId="41" fontId="2" fillId="0" borderId="13" xfId="1" applyFont="1" applyBorder="1"/>
    <xf numFmtId="41" fontId="2" fillId="0" borderId="1" xfId="1" applyFont="1" applyBorder="1"/>
    <xf numFmtId="41" fontId="2" fillId="0" borderId="14" xfId="1" applyFont="1" applyBorder="1"/>
    <xf numFmtId="0" fontId="2" fillId="0" borderId="0" xfId="0" applyFont="1" applyAlignment="1">
      <alignment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17" fontId="5" fillId="8" borderId="3" xfId="0" applyNumberFormat="1" applyFont="1" applyFill="1" applyBorder="1" applyAlignment="1">
      <alignment horizontal="center" vertical="center" wrapText="1"/>
    </xf>
    <xf numFmtId="17" fontId="5" fillId="8" borderId="11" xfId="0" applyNumberFormat="1" applyFont="1" applyFill="1" applyBorder="1" applyAlignment="1">
      <alignment horizontal="center" vertical="center" wrapText="1"/>
    </xf>
    <xf numFmtId="17" fontId="5" fillId="8" borderId="4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9" xfId="0" applyFont="1" applyFill="1" applyBorder="1" applyAlignment="1">
      <alignment vertical="center"/>
    </xf>
    <xf numFmtId="41" fontId="2" fillId="0" borderId="15" xfId="1" applyFont="1" applyBorder="1"/>
    <xf numFmtId="41" fontId="2" fillId="0" borderId="0" xfId="1" applyFont="1" applyBorder="1" applyAlignment="1">
      <alignment vertical="center"/>
    </xf>
    <xf numFmtId="41" fontId="2" fillId="0" borderId="16" xfId="1" applyFont="1" applyBorder="1" applyAlignment="1">
      <alignment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9" fontId="3" fillId="10" borderId="13" xfId="2" applyFont="1" applyFill="1" applyBorder="1" applyAlignment="1">
      <alignment horizontal="center" vertical="center"/>
    </xf>
    <xf numFmtId="3" fontId="3" fillId="10" borderId="1" xfId="1" applyNumberFormat="1" applyFont="1" applyFill="1" applyBorder="1" applyAlignment="1">
      <alignment horizontal="center" vertical="center" wrapText="1"/>
    </xf>
    <xf numFmtId="9" fontId="3" fillId="10" borderId="1" xfId="2" applyFont="1" applyFill="1" applyBorder="1" applyAlignment="1">
      <alignment horizontal="center" vertical="center" wrapText="1"/>
    </xf>
    <xf numFmtId="3" fontId="3" fillId="10" borderId="17" xfId="0" applyNumberFormat="1" applyFont="1" applyFill="1" applyBorder="1" applyAlignment="1">
      <alignment horizontal="center" vertical="center" wrapText="1"/>
    </xf>
    <xf numFmtId="3" fontId="3" fillId="10" borderId="18" xfId="0" applyNumberFormat="1" applyFont="1" applyFill="1" applyBorder="1" applyAlignment="1">
      <alignment horizontal="center" vertical="center" wrapText="1"/>
    </xf>
    <xf numFmtId="3" fontId="3" fillId="10" borderId="2" xfId="0" applyNumberFormat="1" applyFont="1" applyFill="1" applyBorder="1" applyAlignment="1">
      <alignment horizontal="center" vertical="center" wrapText="1"/>
    </xf>
    <xf numFmtId="3" fontId="3" fillId="10" borderId="19" xfId="0" applyNumberFormat="1" applyFont="1" applyFill="1" applyBorder="1" applyAlignment="1">
      <alignment horizontal="center" vertical="center" wrapText="1"/>
    </xf>
    <xf numFmtId="3" fontId="3" fillId="10" borderId="12" xfId="0" applyNumberFormat="1" applyFont="1" applyFill="1" applyBorder="1" applyAlignment="1">
      <alignment horizontal="center" vertical="center" wrapText="1"/>
    </xf>
    <xf numFmtId="3" fontId="3" fillId="10" borderId="0" xfId="0" applyNumberFormat="1" applyFont="1" applyFill="1" applyAlignment="1">
      <alignment horizontal="center" vertical="center" wrapText="1"/>
    </xf>
    <xf numFmtId="3" fontId="3" fillId="10" borderId="16" xfId="0" applyNumberFormat="1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9" fontId="3" fillId="10" borderId="15" xfId="2" applyFont="1" applyFill="1" applyBorder="1" applyAlignment="1">
      <alignment horizontal="center" vertical="center"/>
    </xf>
    <xf numFmtId="3" fontId="3" fillId="10" borderId="0" xfId="1" applyNumberFormat="1" applyFont="1" applyFill="1" applyBorder="1" applyAlignment="1">
      <alignment horizontal="center" vertical="center" wrapText="1"/>
    </xf>
    <xf numFmtId="9" fontId="3" fillId="10" borderId="0" xfId="2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9" fontId="3" fillId="10" borderId="20" xfId="2" applyFont="1" applyFill="1" applyBorder="1" applyAlignment="1">
      <alignment horizontal="center" vertical="center"/>
    </xf>
    <xf numFmtId="3" fontId="3" fillId="10" borderId="2" xfId="1" applyNumberFormat="1" applyFont="1" applyFill="1" applyBorder="1" applyAlignment="1">
      <alignment horizontal="center" vertical="center" wrapText="1"/>
    </xf>
    <xf numFmtId="9" fontId="3" fillId="10" borderId="2" xfId="2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9" fontId="3" fillId="9" borderId="15" xfId="2" applyFont="1" applyFill="1" applyBorder="1" applyAlignment="1">
      <alignment horizontal="center" vertical="center"/>
    </xf>
    <xf numFmtId="3" fontId="3" fillId="9" borderId="0" xfId="1" applyNumberFormat="1" applyFont="1" applyFill="1" applyBorder="1" applyAlignment="1">
      <alignment horizontal="center" vertical="center" wrapText="1"/>
    </xf>
    <xf numFmtId="9" fontId="3" fillId="9" borderId="0" xfId="2" applyFont="1" applyFill="1" applyAlignment="1">
      <alignment horizontal="center" vertical="center" wrapText="1"/>
    </xf>
    <xf numFmtId="3" fontId="3" fillId="9" borderId="12" xfId="1" applyNumberFormat="1" applyFont="1" applyFill="1" applyBorder="1" applyAlignment="1">
      <alignment horizontal="center" vertical="center" wrapText="1"/>
    </xf>
    <xf numFmtId="3" fontId="3" fillId="9" borderId="16" xfId="1" applyNumberFormat="1" applyFont="1" applyFill="1" applyBorder="1" applyAlignment="1">
      <alignment horizontal="center" vertical="center" wrapText="1"/>
    </xf>
    <xf numFmtId="3" fontId="3" fillId="9" borderId="0" xfId="1" applyNumberFormat="1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 wrapText="1"/>
    </xf>
    <xf numFmtId="3" fontId="5" fillId="4" borderId="10" xfId="0" applyNumberFormat="1" applyFont="1" applyFill="1" applyBorder="1" applyAlignment="1">
      <alignment horizontal="center" vertical="center" wrapText="1"/>
    </xf>
    <xf numFmtId="3" fontId="5" fillId="4" borderId="4" xfId="0" applyNumberFormat="1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/>
    </xf>
    <xf numFmtId="164" fontId="3" fillId="10" borderId="17" xfId="1" applyNumberFormat="1" applyFont="1" applyFill="1" applyBorder="1" applyAlignment="1">
      <alignment horizontal="center" vertical="center"/>
    </xf>
    <xf numFmtId="164" fontId="3" fillId="10" borderId="15" xfId="1" applyNumberFormat="1" applyFont="1" applyFill="1" applyBorder="1" applyAlignment="1">
      <alignment horizontal="center" vertical="center" wrapText="1"/>
    </xf>
    <xf numFmtId="164" fontId="3" fillId="10" borderId="13" xfId="1" applyNumberFormat="1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/>
    </xf>
    <xf numFmtId="41" fontId="2" fillId="0" borderId="20" xfId="1" applyFont="1" applyBorder="1"/>
    <xf numFmtId="41" fontId="2" fillId="0" borderId="2" xfId="1" applyFont="1" applyBorder="1" applyAlignment="1">
      <alignment vertical="center"/>
    </xf>
    <xf numFmtId="41" fontId="2" fillId="0" borderId="19" xfId="1" applyFont="1" applyBorder="1" applyAlignment="1">
      <alignment vertical="center"/>
    </xf>
    <xf numFmtId="164" fontId="3" fillId="11" borderId="13" xfId="1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9" fontId="3" fillId="9" borderId="20" xfId="2" applyFont="1" applyFill="1" applyBorder="1" applyAlignment="1">
      <alignment horizontal="center" vertical="center"/>
    </xf>
    <xf numFmtId="3" fontId="3" fillId="9" borderId="2" xfId="1" applyNumberFormat="1" applyFont="1" applyFill="1" applyBorder="1" applyAlignment="1">
      <alignment horizontal="center" vertical="center" wrapText="1"/>
    </xf>
    <xf numFmtId="9" fontId="3" fillId="9" borderId="2" xfId="2" applyFont="1" applyFill="1" applyBorder="1" applyAlignment="1">
      <alignment horizontal="center" vertical="center" wrapText="1"/>
    </xf>
    <xf numFmtId="3" fontId="3" fillId="9" borderId="18" xfId="1" applyNumberFormat="1" applyFont="1" applyFill="1" applyBorder="1" applyAlignment="1">
      <alignment horizontal="center" vertical="center" wrapText="1"/>
    </xf>
    <xf numFmtId="3" fontId="3" fillId="9" borderId="19" xfId="1" applyNumberFormat="1" applyFont="1" applyFill="1" applyBorder="1" applyAlignment="1">
      <alignment horizontal="center" vertical="center" wrapText="1"/>
    </xf>
    <xf numFmtId="164" fontId="3" fillId="11" borderId="15" xfId="1" applyNumberFormat="1" applyFont="1" applyFill="1" applyBorder="1" applyAlignment="1">
      <alignment horizontal="center" vertical="center" wrapText="1"/>
    </xf>
    <xf numFmtId="164" fontId="3" fillId="11" borderId="20" xfId="1" applyNumberFormat="1" applyFont="1" applyFill="1" applyBorder="1" applyAlignment="1">
      <alignment horizontal="center" vertical="center" wrapText="1"/>
    </xf>
    <xf numFmtId="164" fontId="3" fillId="10" borderId="20" xfId="1" applyNumberFormat="1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/>
    </xf>
    <xf numFmtId="9" fontId="3" fillId="12" borderId="0" xfId="2" applyFont="1" applyFill="1" applyBorder="1" applyAlignment="1">
      <alignment horizontal="center" vertical="center"/>
    </xf>
    <xf numFmtId="3" fontId="3" fillId="12" borderId="0" xfId="1" applyNumberFormat="1" applyFont="1" applyFill="1" applyBorder="1" applyAlignment="1">
      <alignment horizontal="center" vertical="center" wrapText="1"/>
    </xf>
    <xf numFmtId="9" fontId="3" fillId="12" borderId="0" xfId="2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/>
    </xf>
    <xf numFmtId="164" fontId="3" fillId="12" borderId="12" xfId="1" applyNumberFormat="1" applyFont="1" applyFill="1" applyBorder="1" applyAlignment="1">
      <alignment horizontal="center" vertical="center"/>
    </xf>
    <xf numFmtId="164" fontId="3" fillId="12" borderId="15" xfId="1" applyNumberFormat="1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164" fontId="3" fillId="12" borderId="18" xfId="1" applyNumberFormat="1" applyFont="1" applyFill="1" applyBorder="1" applyAlignment="1">
      <alignment horizontal="center" vertical="center"/>
    </xf>
    <xf numFmtId="164" fontId="3" fillId="12" borderId="20" xfId="1" applyNumberFormat="1" applyFont="1" applyFill="1" applyBorder="1" applyAlignment="1">
      <alignment horizontal="center" vertical="center" wrapText="1"/>
    </xf>
    <xf numFmtId="17" fontId="5" fillId="8" borderId="21" xfId="0" applyNumberFormat="1" applyFont="1" applyFill="1" applyBorder="1" applyAlignment="1">
      <alignment horizontal="center" vertical="center" wrapText="1"/>
    </xf>
    <xf numFmtId="17" fontId="5" fillId="8" borderId="22" xfId="0" applyNumberFormat="1" applyFont="1" applyFill="1" applyBorder="1" applyAlignment="1">
      <alignment horizontal="center" vertical="center" wrapText="1"/>
    </xf>
    <xf numFmtId="17" fontId="5" fillId="8" borderId="23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9" fontId="2" fillId="0" borderId="15" xfId="2" applyFont="1" applyBorder="1" applyAlignment="1">
      <alignment horizontal="center"/>
    </xf>
    <xf numFmtId="3" fontId="2" fillId="0" borderId="0" xfId="1" applyNumberFormat="1" applyFont="1" applyBorder="1" applyAlignment="1">
      <alignment horizontal="center"/>
    </xf>
    <xf numFmtId="9" fontId="2" fillId="0" borderId="0" xfId="2" applyFont="1" applyBorder="1" applyAlignment="1">
      <alignment horizontal="center"/>
    </xf>
    <xf numFmtId="3" fontId="2" fillId="0" borderId="12" xfId="1" applyNumberFormat="1" applyFont="1" applyBorder="1" applyAlignment="1">
      <alignment horizontal="center"/>
    </xf>
    <xf numFmtId="41" fontId="2" fillId="0" borderId="8" xfId="1" applyFont="1" applyBorder="1" applyAlignment="1">
      <alignment horizontal="center"/>
    </xf>
    <xf numFmtId="41" fontId="2" fillId="0" borderId="0" xfId="1" applyFont="1" applyBorder="1" applyAlignment="1">
      <alignment horizontal="center"/>
    </xf>
    <xf numFmtId="41" fontId="2" fillId="0" borderId="0" xfId="1" applyFont="1" applyAlignment="1">
      <alignment horizontal="center"/>
    </xf>
    <xf numFmtId="41" fontId="2" fillId="0" borderId="0" xfId="1" applyFont="1" applyFill="1" applyAlignment="1">
      <alignment horizontal="center"/>
    </xf>
    <xf numFmtId="41" fontId="2" fillId="13" borderId="9" xfId="1" applyFont="1" applyFill="1" applyBorder="1" applyAlignment="1">
      <alignment horizontal="center"/>
    </xf>
    <xf numFmtId="41" fontId="2" fillId="9" borderId="0" xfId="1" applyFont="1" applyFill="1" applyAlignment="1">
      <alignment horizontal="center"/>
    </xf>
    <xf numFmtId="41" fontId="2" fillId="9" borderId="9" xfId="1" applyFont="1" applyFill="1" applyBorder="1" applyAlignment="1">
      <alignment horizontal="center"/>
    </xf>
    <xf numFmtId="41" fontId="6" fillId="13" borderId="9" xfId="1" applyFont="1" applyFill="1" applyBorder="1" applyAlignment="1">
      <alignment horizontal="center"/>
    </xf>
    <xf numFmtId="41" fontId="2" fillId="0" borderId="0" xfId="1" applyFont="1" applyFill="1" applyBorder="1" applyAlignment="1">
      <alignment horizontal="center"/>
    </xf>
    <xf numFmtId="41" fontId="7" fillId="0" borderId="0" xfId="1" applyFont="1" applyAlignment="1">
      <alignment horizontal="center"/>
    </xf>
    <xf numFmtId="0" fontId="2" fillId="7" borderId="24" xfId="0" applyFont="1" applyFill="1" applyBorder="1"/>
    <xf numFmtId="0" fontId="2" fillId="7" borderId="25" xfId="0" applyFont="1" applyFill="1" applyBorder="1"/>
    <xf numFmtId="0" fontId="2" fillId="7" borderId="26" xfId="0" applyFont="1" applyFill="1" applyBorder="1"/>
    <xf numFmtId="41" fontId="6" fillId="15" borderId="9" xfId="1" applyFont="1" applyFill="1" applyBorder="1" applyAlignment="1">
      <alignment horizontal="center"/>
    </xf>
    <xf numFmtId="41" fontId="6" fillId="0" borderId="0" xfId="1" applyFont="1" applyFill="1" applyAlignment="1">
      <alignment horizontal="center"/>
    </xf>
    <xf numFmtId="41" fontId="7" fillId="9" borderId="0" xfId="1" applyFont="1" applyFill="1" applyAlignment="1">
      <alignment horizontal="center"/>
    </xf>
    <xf numFmtId="41" fontId="6" fillId="9" borderId="0" xfId="1" applyFont="1" applyFill="1" applyAlignment="1">
      <alignment horizontal="center"/>
    </xf>
    <xf numFmtId="41" fontId="7" fillId="0" borderId="0" xfId="1" applyFont="1" applyFill="1" applyBorder="1" applyAlignment="1">
      <alignment horizontal="center"/>
    </xf>
    <xf numFmtId="0" fontId="2" fillId="9" borderId="0" xfId="0" applyFont="1" applyFill="1"/>
    <xf numFmtId="41" fontId="8" fillId="9" borderId="0" xfId="1" applyFont="1" applyFill="1" applyAlignment="1">
      <alignment horizontal="center"/>
    </xf>
    <xf numFmtId="41" fontId="2" fillId="15" borderId="9" xfId="1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41" fontId="2" fillId="9" borderId="8" xfId="1" applyFont="1" applyFill="1" applyBorder="1" applyAlignment="1">
      <alignment horizontal="center"/>
    </xf>
    <xf numFmtId="41" fontId="2" fillId="9" borderId="0" xfId="1" applyFont="1" applyFill="1" applyBorder="1" applyAlignment="1">
      <alignment horizontal="center"/>
    </xf>
    <xf numFmtId="41" fontId="2" fillId="13" borderId="0" xfId="1" applyFont="1" applyFill="1" applyAlignment="1">
      <alignment horizontal="center"/>
    </xf>
    <xf numFmtId="3" fontId="2" fillId="0" borderId="0" xfId="1" applyNumberFormat="1" applyFont="1" applyAlignment="1">
      <alignment horizontal="center"/>
    </xf>
    <xf numFmtId="41" fontId="2" fillId="13" borderId="0" xfId="1" applyFont="1" applyFill="1" applyBorder="1" applyAlignment="1">
      <alignment horizontal="center"/>
    </xf>
    <xf numFmtId="41" fontId="8" fillId="9" borderId="8" xfId="1" applyFont="1" applyFill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2" fillId="0" borderId="24" xfId="0" applyNumberFormat="1" applyFont="1" applyBorder="1" applyAlignment="1">
      <alignment horizontal="center"/>
    </xf>
    <xf numFmtId="3" fontId="2" fillId="0" borderId="25" xfId="0" applyNumberFormat="1" applyFont="1" applyBorder="1" applyAlignment="1">
      <alignment horizontal="center"/>
    </xf>
    <xf numFmtId="3" fontId="2" fillId="0" borderId="26" xfId="0" applyNumberFormat="1" applyFont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12" borderId="0" xfId="0" applyFont="1" applyFill="1" applyAlignment="1">
      <alignment horizontal="left" vertical="center"/>
    </xf>
    <xf numFmtId="41" fontId="6" fillId="13" borderId="0" xfId="1" applyFont="1" applyFill="1" applyBorder="1" applyAlignment="1">
      <alignment horizontal="center"/>
    </xf>
    <xf numFmtId="41" fontId="7" fillId="9" borderId="8" xfId="1" applyFont="1" applyFill="1" applyBorder="1" applyAlignment="1">
      <alignment horizontal="center"/>
    </xf>
    <xf numFmtId="41" fontId="6" fillId="9" borderId="8" xfId="1" applyFont="1" applyFill="1" applyBorder="1" applyAlignment="1">
      <alignment horizontal="center"/>
    </xf>
    <xf numFmtId="9" fontId="3" fillId="12" borderId="0" xfId="2" applyFont="1" applyFill="1" applyAlignment="1">
      <alignment horizontal="center" vertical="center"/>
    </xf>
    <xf numFmtId="3" fontId="3" fillId="12" borderId="0" xfId="1" applyNumberFormat="1" applyFont="1" applyFill="1" applyAlignment="1">
      <alignment horizontal="center" vertical="center" wrapText="1"/>
    </xf>
    <xf numFmtId="41" fontId="6" fillId="0" borderId="0" xfId="1" applyFont="1" applyAlignment="1">
      <alignment horizontal="center"/>
    </xf>
    <xf numFmtId="41" fontId="6" fillId="13" borderId="0" xfId="1" applyFont="1" applyFill="1" applyAlignment="1">
      <alignment horizontal="center"/>
    </xf>
    <xf numFmtId="41" fontId="2" fillId="9" borderId="12" xfId="1" applyFont="1" applyFill="1" applyBorder="1" applyAlignment="1">
      <alignment horizontal="center"/>
    </xf>
    <xf numFmtId="41" fontId="2" fillId="9" borderId="16" xfId="1" applyFont="1" applyFill="1" applyBorder="1" applyAlignment="1">
      <alignment horizontal="center"/>
    </xf>
    <xf numFmtId="41" fontId="6" fillId="9" borderId="12" xfId="1" applyFont="1" applyFill="1" applyBorder="1" applyAlignment="1">
      <alignment horizontal="center"/>
    </xf>
    <xf numFmtId="41" fontId="7" fillId="9" borderId="0" xfId="1" applyFont="1" applyFill="1" applyBorder="1" applyAlignment="1">
      <alignment horizontal="center"/>
    </xf>
    <xf numFmtId="41" fontId="8" fillId="9" borderId="0" xfId="1" applyFont="1" applyFill="1" applyBorder="1" applyAlignment="1">
      <alignment horizontal="center"/>
    </xf>
    <xf numFmtId="41" fontId="6" fillId="9" borderId="0" xfId="1" applyFont="1" applyFill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41" fontId="6" fillId="15" borderId="0" xfId="1" applyFont="1" applyFill="1" applyBorder="1" applyAlignment="1">
      <alignment horizontal="center"/>
    </xf>
    <xf numFmtId="41" fontId="2" fillId="15" borderId="0" xfId="1" applyFont="1" applyFill="1" applyBorder="1" applyAlignment="1">
      <alignment horizontal="center"/>
    </xf>
    <xf numFmtId="41" fontId="7" fillId="9" borderId="12" xfId="1" applyFont="1" applyFill="1" applyBorder="1" applyAlignment="1">
      <alignment horizontal="center"/>
    </xf>
    <xf numFmtId="41" fontId="11" fillId="9" borderId="12" xfId="1" applyFont="1" applyFill="1" applyBorder="1" applyAlignment="1">
      <alignment horizontal="center"/>
    </xf>
    <xf numFmtId="0" fontId="13" fillId="12" borderId="28" xfId="0" applyFont="1" applyFill="1" applyBorder="1" applyAlignment="1">
      <alignment horizontal="left" vertical="center"/>
    </xf>
    <xf numFmtId="0" fontId="13" fillId="12" borderId="28" xfId="0" applyFont="1" applyFill="1" applyBorder="1" applyAlignment="1">
      <alignment horizontal="center" vertical="center"/>
    </xf>
    <xf numFmtId="41" fontId="13" fillId="12" borderId="28" xfId="1" applyFont="1" applyFill="1" applyBorder="1" applyAlignment="1">
      <alignment horizontal="center" vertical="center"/>
    </xf>
    <xf numFmtId="0" fontId="14" fillId="12" borderId="28" xfId="0" applyFont="1" applyFill="1" applyBorder="1" applyAlignment="1">
      <alignment horizontal="center" vertical="center"/>
    </xf>
    <xf numFmtId="41" fontId="2" fillId="0" borderId="0" xfId="0" applyNumberFormat="1" applyFont="1" applyAlignment="1">
      <alignment horizontal="center"/>
    </xf>
    <xf numFmtId="0" fontId="10" fillId="17" borderId="27" xfId="0" applyFont="1" applyFill="1" applyBorder="1" applyAlignment="1">
      <alignment horizontal="center" vertical="center"/>
    </xf>
    <xf numFmtId="17" fontId="10" fillId="17" borderId="27" xfId="0" applyNumberFormat="1" applyFont="1" applyFill="1" applyBorder="1" applyAlignment="1">
      <alignment horizontal="center" vertical="center"/>
    </xf>
    <xf numFmtId="17" fontId="12" fillId="17" borderId="27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left"/>
    </xf>
    <xf numFmtId="3" fontId="11" fillId="0" borderId="0" xfId="0" applyNumberFormat="1" applyFont="1" applyAlignment="1">
      <alignment horizontal="center"/>
    </xf>
    <xf numFmtId="0" fontId="11" fillId="14" borderId="0" xfId="0" applyFont="1" applyFill="1" applyAlignment="1">
      <alignment horizontal="center"/>
    </xf>
    <xf numFmtId="41" fontId="11" fillId="9" borderId="0" xfId="1" applyFont="1" applyFill="1" applyAlignment="1">
      <alignment horizontal="center"/>
    </xf>
    <xf numFmtId="0" fontId="0" fillId="0" borderId="0" xfId="0" pivotButton="1"/>
    <xf numFmtId="0" fontId="7" fillId="14" borderId="0" xfId="0" applyFont="1" applyFill="1" applyAlignment="1">
      <alignment horizontal="center"/>
    </xf>
    <xf numFmtId="9" fontId="7" fillId="0" borderId="15" xfId="2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7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5" fillId="8" borderId="3" xfId="0" applyFont="1" applyFill="1" applyBorder="1" applyAlignment="1">
      <alignment horizontal="left" vertical="center"/>
    </xf>
    <xf numFmtId="0" fontId="3" fillId="10" borderId="17" xfId="0" applyFont="1" applyFill="1" applyBorder="1" applyAlignment="1">
      <alignment horizontal="left" vertical="center"/>
    </xf>
    <xf numFmtId="0" fontId="3" fillId="10" borderId="12" xfId="0" applyFont="1" applyFill="1" applyBorder="1" applyAlignment="1">
      <alignment horizontal="left" vertical="center"/>
    </xf>
    <xf numFmtId="0" fontId="3" fillId="10" borderId="18" xfId="0" applyFont="1" applyFill="1" applyBorder="1" applyAlignment="1">
      <alignment horizontal="left" vertical="center"/>
    </xf>
    <xf numFmtId="0" fontId="5" fillId="8" borderId="11" xfId="0" applyFont="1" applyFill="1" applyBorder="1" applyAlignment="1">
      <alignment horizontal="left" vertical="center"/>
    </xf>
    <xf numFmtId="3" fontId="3" fillId="10" borderId="3" xfId="0" applyNumberFormat="1" applyFont="1" applyFill="1" applyBorder="1" applyAlignment="1">
      <alignment horizontal="center" vertical="center" wrapText="1"/>
    </xf>
    <xf numFmtId="3" fontId="3" fillId="10" borderId="11" xfId="0" applyNumberFormat="1" applyFont="1" applyFill="1" applyBorder="1" applyAlignment="1">
      <alignment horizontal="center" vertical="center" wrapText="1"/>
    </xf>
    <xf numFmtId="3" fontId="3" fillId="10" borderId="4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/>
    <xf numFmtId="0" fontId="2" fillId="18" borderId="6" xfId="0" applyFont="1" applyFill="1" applyBorder="1"/>
    <xf numFmtId="0" fontId="2" fillId="18" borderId="7" xfId="0" applyFont="1" applyFill="1" applyBorder="1"/>
    <xf numFmtId="0" fontId="2" fillId="18" borderId="8" xfId="0" applyFont="1" applyFill="1" applyBorder="1"/>
    <xf numFmtId="0" fontId="2" fillId="18" borderId="0" xfId="0" applyFont="1" applyFill="1"/>
    <xf numFmtId="0" fontId="2" fillId="18" borderId="0" xfId="0" applyFont="1" applyFill="1" applyAlignment="1">
      <alignment vertical="center"/>
    </xf>
    <xf numFmtId="0" fontId="2" fillId="18" borderId="9" xfId="0" applyFont="1" applyFill="1" applyBorder="1"/>
    <xf numFmtId="0" fontId="2" fillId="18" borderId="8" xfId="0" applyFont="1" applyFill="1" applyBorder="1" applyAlignment="1">
      <alignment vertical="center"/>
    </xf>
    <xf numFmtId="0" fontId="2" fillId="18" borderId="9" xfId="0" applyFont="1" applyFill="1" applyBorder="1" applyAlignment="1">
      <alignment vertical="center"/>
    </xf>
    <xf numFmtId="0" fontId="2" fillId="18" borderId="24" xfId="0" applyFont="1" applyFill="1" applyBorder="1"/>
    <xf numFmtId="0" fontId="2" fillId="18" borderId="25" xfId="0" applyFont="1" applyFill="1" applyBorder="1"/>
    <xf numFmtId="0" fontId="2" fillId="18" borderId="26" xfId="0" applyFont="1" applyFill="1" applyBorder="1"/>
    <xf numFmtId="0" fontId="16" fillId="18" borderId="0" xfId="0" applyFont="1" applyFill="1"/>
    <xf numFmtId="165" fontId="13" fillId="12" borderId="28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12" borderId="0" xfId="0" applyFill="1"/>
    <xf numFmtId="0" fontId="0" fillId="0" borderId="28" xfId="0" applyBorder="1"/>
    <xf numFmtId="41" fontId="17" fillId="12" borderId="28" xfId="1" applyFont="1" applyFill="1" applyBorder="1" applyAlignment="1">
      <alignment horizontal="center" vertical="center"/>
    </xf>
    <xf numFmtId="0" fontId="9" fillId="19" borderId="30" xfId="0" applyFont="1" applyFill="1" applyBorder="1"/>
    <xf numFmtId="9" fontId="0" fillId="0" borderId="0" xfId="2" applyFont="1"/>
    <xf numFmtId="0" fontId="0" fillId="0" borderId="32" xfId="0" applyBorder="1" applyAlignment="1">
      <alignment horizontal="left"/>
    </xf>
    <xf numFmtId="0" fontId="9" fillId="0" borderId="31" xfId="0" applyFont="1" applyBorder="1" applyAlignment="1">
      <alignment horizontal="left"/>
    </xf>
    <xf numFmtId="0" fontId="19" fillId="20" borderId="33" xfId="0" applyFont="1" applyFill="1" applyBorder="1"/>
    <xf numFmtId="0" fontId="19" fillId="20" borderId="34" xfId="0" applyFont="1" applyFill="1" applyBorder="1" applyAlignment="1">
      <alignment horizontal="center"/>
    </xf>
    <xf numFmtId="0" fontId="0" fillId="0" borderId="32" xfId="0" applyBorder="1"/>
    <xf numFmtId="0" fontId="9" fillId="0" borderId="31" xfId="0" applyFont="1" applyBorder="1"/>
    <xf numFmtId="0" fontId="0" fillId="0" borderId="33" xfId="0" applyBorder="1"/>
    <xf numFmtId="0" fontId="19" fillId="20" borderId="35" xfId="0" applyFont="1" applyFill="1" applyBorder="1" applyAlignment="1">
      <alignment horizontal="center"/>
    </xf>
    <xf numFmtId="166" fontId="0" fillId="0" borderId="0" xfId="0" applyNumberFormat="1"/>
    <xf numFmtId="166" fontId="0" fillId="0" borderId="32" xfId="0" applyNumberFormat="1" applyBorder="1" applyAlignment="1">
      <alignment horizontal="left"/>
    </xf>
    <xf numFmtId="166" fontId="0" fillId="0" borderId="33" xfId="0" applyNumberFormat="1" applyBorder="1"/>
    <xf numFmtId="166" fontId="0" fillId="0" borderId="32" xfId="0" applyNumberFormat="1" applyBorder="1"/>
    <xf numFmtId="166" fontId="9" fillId="0" borderId="31" xfId="0" applyNumberFormat="1" applyFont="1" applyBorder="1"/>
    <xf numFmtId="166" fontId="0" fillId="0" borderId="32" xfId="0" applyNumberFormat="1" applyBorder="1" applyAlignment="1">
      <alignment horizontal="right"/>
    </xf>
    <xf numFmtId="166" fontId="0" fillId="0" borderId="33" xfId="0" applyNumberFormat="1" applyBorder="1" applyAlignment="1">
      <alignment horizontal="right"/>
    </xf>
    <xf numFmtId="166" fontId="9" fillId="0" borderId="31" xfId="0" applyNumberFormat="1" applyFont="1" applyBorder="1" applyAlignment="1">
      <alignment horizontal="right"/>
    </xf>
    <xf numFmtId="0" fontId="0" fillId="0" borderId="0" xfId="0" applyAlignment="1">
      <alignment horizontal="left" indent="1"/>
    </xf>
    <xf numFmtId="0" fontId="10" fillId="17" borderId="27" xfId="0" applyFont="1" applyFill="1" applyBorder="1" applyAlignment="1">
      <alignment horizontal="center" vertical="center" wrapText="1"/>
    </xf>
    <xf numFmtId="0" fontId="0" fillId="12" borderId="2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19" fillId="22" borderId="28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9" fillId="22" borderId="28" xfId="0" applyFont="1" applyFill="1" applyBorder="1" applyAlignment="1">
      <alignment horizontal="center"/>
    </xf>
    <xf numFmtId="41" fontId="10" fillId="17" borderId="27" xfId="1" applyFont="1" applyFill="1" applyBorder="1" applyAlignment="1">
      <alignment horizontal="center" vertical="center"/>
    </xf>
    <xf numFmtId="9" fontId="10" fillId="17" borderId="27" xfId="2" applyFont="1" applyFill="1" applyBorder="1" applyAlignment="1">
      <alignment horizontal="center" vertical="center"/>
    </xf>
    <xf numFmtId="41" fontId="10" fillId="17" borderId="27" xfId="1" applyFont="1" applyFill="1" applyBorder="1" applyAlignment="1">
      <alignment horizontal="center" vertical="center" wrapText="1"/>
    </xf>
    <xf numFmtId="17" fontId="10" fillId="17" borderId="27" xfId="0" applyNumberFormat="1" applyFont="1" applyFill="1" applyBorder="1" applyAlignment="1">
      <alignment horizontal="center" vertical="center" wrapText="1"/>
    </xf>
    <xf numFmtId="41" fontId="13" fillId="12" borderId="0" xfId="1" applyFont="1" applyFill="1" applyBorder="1" applyAlignment="1">
      <alignment horizontal="center" vertical="center"/>
    </xf>
    <xf numFmtId="41" fontId="14" fillId="12" borderId="0" xfId="1" applyFont="1" applyFill="1" applyBorder="1" applyAlignment="1">
      <alignment horizontal="center" vertical="center"/>
    </xf>
    <xf numFmtId="0" fontId="10" fillId="16" borderId="28" xfId="0" applyFont="1" applyFill="1" applyBorder="1" applyAlignment="1">
      <alignment horizontal="center" vertical="center" wrapText="1" readingOrder="1"/>
    </xf>
    <xf numFmtId="0" fontId="0" fillId="0" borderId="36" xfId="0" applyBorder="1"/>
    <xf numFmtId="0" fontId="0" fillId="0" borderId="38" xfId="0" applyBorder="1"/>
    <xf numFmtId="3" fontId="13" fillId="12" borderId="28" xfId="1" applyNumberFormat="1" applyFont="1" applyFill="1" applyBorder="1" applyAlignment="1">
      <alignment horizontal="center" vertical="center"/>
    </xf>
    <xf numFmtId="0" fontId="10" fillId="17" borderId="27" xfId="1" applyNumberFormat="1" applyFont="1" applyFill="1" applyBorder="1" applyAlignment="1">
      <alignment horizontal="center" vertical="center" wrapText="1"/>
    </xf>
    <xf numFmtId="0" fontId="13" fillId="12" borderId="28" xfId="1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3" xfId="0" applyBorder="1"/>
    <xf numFmtId="0" fontId="0" fillId="0" borderId="44" xfId="0" applyBorder="1" applyAlignment="1">
      <alignment horizontal="center" vertical="center"/>
    </xf>
    <xf numFmtId="0" fontId="0" fillId="9" borderId="43" xfId="0" applyFill="1" applyBorder="1"/>
    <xf numFmtId="0" fontId="0" fillId="9" borderId="44" xfId="0" applyFill="1" applyBorder="1" applyAlignment="1">
      <alignment horizontal="center" vertical="center"/>
    </xf>
    <xf numFmtId="0" fontId="0" fillId="9" borderId="38" xfId="0" applyFill="1" applyBorder="1"/>
    <xf numFmtId="0" fontId="0" fillId="9" borderId="40" xfId="0" applyFill="1" applyBorder="1" applyAlignment="1">
      <alignment horizontal="center" vertical="center"/>
    </xf>
    <xf numFmtId="0" fontId="0" fillId="9" borderId="28" xfId="0" applyFill="1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9" fillId="0" borderId="45" xfId="0" applyFont="1" applyBorder="1"/>
    <xf numFmtId="0" fontId="0" fillId="9" borderId="28" xfId="0" applyFill="1" applyBorder="1"/>
    <xf numFmtId="0" fontId="9" fillId="0" borderId="28" xfId="0" applyFont="1" applyBorder="1"/>
    <xf numFmtId="0" fontId="19" fillId="23" borderId="28" xfId="0" applyFont="1" applyFill="1" applyBorder="1"/>
    <xf numFmtId="3" fontId="13" fillId="14" borderId="28" xfId="1" applyNumberFormat="1" applyFont="1" applyFill="1" applyBorder="1" applyAlignment="1">
      <alignment horizontal="center" vertical="center"/>
    </xf>
    <xf numFmtId="0" fontId="13" fillId="12" borderId="28" xfId="0" applyFont="1" applyFill="1" applyBorder="1" applyAlignment="1">
      <alignment horizontal="center"/>
    </xf>
    <xf numFmtId="0" fontId="13" fillId="12" borderId="0" xfId="0" applyFont="1" applyFill="1"/>
    <xf numFmtId="0" fontId="13" fillId="0" borderId="0" xfId="0" applyFont="1"/>
    <xf numFmtId="0" fontId="18" fillId="12" borderId="28" xfId="0" applyFont="1" applyFill="1" applyBorder="1" applyAlignment="1">
      <alignment horizontal="center"/>
    </xf>
    <xf numFmtId="0" fontId="18" fillId="12" borderId="28" xfId="0" applyFont="1" applyFill="1" applyBorder="1" applyAlignment="1">
      <alignment horizontal="center" vertical="center"/>
    </xf>
    <xf numFmtId="0" fontId="18" fillId="12" borderId="28" xfId="1" applyNumberFormat="1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/>
    </xf>
    <xf numFmtId="0" fontId="13" fillId="0" borderId="28" xfId="0" applyFont="1" applyBorder="1" applyAlignment="1">
      <alignment horizontal="center" vertical="center"/>
    </xf>
    <xf numFmtId="0" fontId="13" fillId="0" borderId="28" xfId="0" applyFont="1" applyBorder="1"/>
    <xf numFmtId="165" fontId="13" fillId="0" borderId="28" xfId="0" applyNumberFormat="1" applyFont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3" fontId="5" fillId="8" borderId="0" xfId="0" applyNumberFormat="1" applyFont="1" applyFill="1" applyAlignment="1">
      <alignment horizontal="left" vertical="center" wrapText="1"/>
    </xf>
    <xf numFmtId="14" fontId="5" fillId="8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9" fontId="2" fillId="0" borderId="0" xfId="4" applyFont="1" applyBorder="1" applyAlignment="1">
      <alignment horizontal="left" vertical="center"/>
    </xf>
    <xf numFmtId="3" fontId="2" fillId="0" borderId="0" xfId="5" applyNumberFormat="1" applyFont="1" applyBorder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14" fontId="21" fillId="25" borderId="0" xfId="3" applyNumberForma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9" fontId="2" fillId="0" borderId="0" xfId="4" applyFont="1" applyAlignment="1">
      <alignment horizontal="left" vertical="center"/>
    </xf>
    <xf numFmtId="1" fontId="2" fillId="0" borderId="28" xfId="0" applyNumberFormat="1" applyFont="1" applyBorder="1" applyAlignment="1">
      <alignment horizontal="center"/>
    </xf>
    <xf numFmtId="3" fontId="5" fillId="8" borderId="28" xfId="0" applyNumberFormat="1" applyFont="1" applyFill="1" applyBorder="1" applyAlignment="1">
      <alignment horizontal="center" vertical="center" wrapText="1"/>
    </xf>
    <xf numFmtId="41" fontId="2" fillId="0" borderId="28" xfId="1" applyFont="1" applyBorder="1" applyAlignment="1">
      <alignment horizontal="center" vertical="center"/>
    </xf>
    <xf numFmtId="0" fontId="2" fillId="14" borderId="12" xfId="0" applyFont="1" applyFill="1" applyBorder="1" applyAlignment="1">
      <alignment horizontal="center"/>
    </xf>
    <xf numFmtId="41" fontId="6" fillId="26" borderId="0" xfId="1" applyFont="1" applyFill="1" applyAlignment="1">
      <alignment horizontal="center"/>
    </xf>
    <xf numFmtId="0" fontId="8" fillId="0" borderId="12" xfId="0" applyFont="1" applyBorder="1" applyAlignment="1">
      <alignment horizontal="left"/>
    </xf>
    <xf numFmtId="17" fontId="5" fillId="8" borderId="1" xfId="0" applyNumberFormat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/>
    </xf>
    <xf numFmtId="41" fontId="2" fillId="0" borderId="28" xfId="1" applyFont="1" applyBorder="1" applyAlignment="1">
      <alignment horizontal="left" vertical="center"/>
    </xf>
    <xf numFmtId="41" fontId="2" fillId="0" borderId="0" xfId="1" applyFont="1" applyAlignment="1">
      <alignment horizontal="center" vertical="center"/>
    </xf>
    <xf numFmtId="41" fontId="2" fillId="0" borderId="0" xfId="1" applyFont="1" applyBorder="1" applyAlignment="1">
      <alignment horizontal="center" vertical="center"/>
    </xf>
    <xf numFmtId="3" fontId="5" fillId="8" borderId="49" xfId="0" applyNumberFormat="1" applyFont="1" applyFill="1" applyBorder="1" applyAlignment="1">
      <alignment horizontal="center" vertical="center" wrapText="1"/>
    </xf>
    <xf numFmtId="17" fontId="10" fillId="17" borderId="50" xfId="0" applyNumberFormat="1" applyFont="1" applyFill="1" applyBorder="1" applyAlignment="1">
      <alignment horizontal="center" vertical="center"/>
    </xf>
    <xf numFmtId="0" fontId="2" fillId="0" borderId="51" xfId="0" applyFont="1" applyBorder="1" applyAlignment="1">
      <alignment horizontal="left" vertical="center"/>
    </xf>
    <xf numFmtId="41" fontId="2" fillId="0" borderId="29" xfId="1" applyFont="1" applyBorder="1" applyAlignment="1">
      <alignment horizontal="left" vertical="center"/>
    </xf>
    <xf numFmtId="3" fontId="5" fillId="8" borderId="41" xfId="0" applyNumberFormat="1" applyFont="1" applyFill="1" applyBorder="1" applyAlignment="1">
      <alignment horizontal="center" vertical="center" wrapText="1"/>
    </xf>
    <xf numFmtId="17" fontId="10" fillId="17" borderId="52" xfId="0" applyNumberFormat="1" applyFont="1" applyFill="1" applyBorder="1" applyAlignment="1">
      <alignment horizontal="center" vertical="center"/>
    </xf>
    <xf numFmtId="17" fontId="12" fillId="17" borderId="52" xfId="0" applyNumberFormat="1" applyFont="1" applyFill="1" applyBorder="1" applyAlignment="1">
      <alignment horizontal="center" vertical="center"/>
    </xf>
    <xf numFmtId="17" fontId="10" fillId="17" borderId="53" xfId="0" applyNumberFormat="1" applyFont="1" applyFill="1" applyBorder="1" applyAlignment="1">
      <alignment horizontal="center" vertical="center"/>
    </xf>
    <xf numFmtId="41" fontId="2" fillId="0" borderId="12" xfId="1" applyFont="1" applyBorder="1" applyAlignment="1">
      <alignment horizontal="center" vertical="center"/>
    </xf>
    <xf numFmtId="41" fontId="2" fillId="0" borderId="37" xfId="1" applyFont="1" applyBorder="1" applyAlignment="1">
      <alignment horizontal="left" vertical="center"/>
    </xf>
    <xf numFmtId="41" fontId="2" fillId="0" borderId="18" xfId="1" applyFont="1" applyBorder="1" applyAlignment="1">
      <alignment horizontal="center" vertical="center"/>
    </xf>
    <xf numFmtId="41" fontId="2" fillId="0" borderId="39" xfId="1" applyFont="1" applyBorder="1" applyAlignment="1">
      <alignment horizontal="left" vertical="center"/>
    </xf>
    <xf numFmtId="41" fontId="2" fillId="0" borderId="40" xfId="1" applyFont="1" applyBorder="1" applyAlignment="1">
      <alignment horizontal="left" vertical="center"/>
    </xf>
    <xf numFmtId="3" fontId="5" fillId="8" borderId="25" xfId="0" applyNumberFormat="1" applyFont="1" applyFill="1" applyBorder="1" applyAlignment="1">
      <alignment horizontal="center" vertical="center" wrapText="1"/>
    </xf>
    <xf numFmtId="0" fontId="20" fillId="24" borderId="54" xfId="0" applyFont="1" applyFill="1" applyBorder="1" applyAlignment="1">
      <alignment horizontal="center" vertical="center" wrapText="1" readingOrder="1"/>
    </xf>
    <xf numFmtId="0" fontId="2" fillId="9" borderId="43" xfId="0" applyFont="1" applyFill="1" applyBorder="1"/>
    <xf numFmtId="0" fontId="2" fillId="9" borderId="38" xfId="0" applyFont="1" applyFill="1" applyBorder="1"/>
    <xf numFmtId="0" fontId="2" fillId="9" borderId="41" xfId="0" applyFont="1" applyFill="1" applyBorder="1"/>
    <xf numFmtId="0" fontId="2" fillId="9" borderId="47" xfId="0" applyFont="1" applyFill="1" applyBorder="1"/>
    <xf numFmtId="0" fontId="0" fillId="0" borderId="49" xfId="0" applyBorder="1"/>
    <xf numFmtId="167" fontId="0" fillId="0" borderId="28" xfId="0" applyNumberFormat="1" applyBorder="1" applyAlignment="1">
      <alignment horizontal="center" vertical="center"/>
    </xf>
    <xf numFmtId="3" fontId="23" fillId="12" borderId="0" xfId="0" applyNumberFormat="1" applyFont="1" applyFill="1" applyAlignment="1">
      <alignment horizontal="center" vertical="center"/>
    </xf>
    <xf numFmtId="3" fontId="24" fillId="12" borderId="0" xfId="0" applyNumberFormat="1" applyFont="1" applyFill="1" applyAlignment="1">
      <alignment horizontal="center" vertical="center"/>
    </xf>
    <xf numFmtId="9" fontId="24" fillId="0" borderId="0" xfId="2" applyFont="1" applyFill="1" applyBorder="1" applyAlignment="1">
      <alignment horizontal="center" vertical="center"/>
    </xf>
    <xf numFmtId="9" fontId="23" fillId="12" borderId="0" xfId="2" applyFont="1" applyFill="1" applyBorder="1" applyAlignment="1">
      <alignment horizontal="center" vertical="center"/>
    </xf>
    <xf numFmtId="167" fontId="9" fillId="12" borderId="0" xfId="0" applyNumberFormat="1" applyFont="1" applyFill="1" applyAlignment="1">
      <alignment horizontal="center" vertical="center"/>
    </xf>
    <xf numFmtId="9" fontId="24" fillId="12" borderId="0" xfId="2" applyFont="1" applyFill="1" applyBorder="1" applyAlignment="1">
      <alignment horizontal="center" vertical="center"/>
    </xf>
    <xf numFmtId="167" fontId="25" fillId="12" borderId="0" xfId="0" applyNumberFormat="1" applyFont="1" applyFill="1" applyAlignment="1">
      <alignment horizontal="center" vertical="center"/>
    </xf>
    <xf numFmtId="3" fontId="9" fillId="12" borderId="0" xfId="0" applyNumberFormat="1" applyFont="1" applyFill="1" applyAlignment="1">
      <alignment horizontal="left"/>
    </xf>
    <xf numFmtId="9" fontId="0" fillId="0" borderId="28" xfId="0" applyNumberFormat="1" applyBorder="1" applyAlignment="1">
      <alignment horizontal="center" vertical="center"/>
    </xf>
    <xf numFmtId="41" fontId="13" fillId="27" borderId="28" xfId="1" applyFont="1" applyFill="1" applyBorder="1" applyAlignment="1">
      <alignment horizontal="center" vertical="center"/>
    </xf>
    <xf numFmtId="41" fontId="13" fillId="28" borderId="28" xfId="1" applyFont="1" applyFill="1" applyBorder="1" applyAlignment="1">
      <alignment horizontal="center" vertical="center"/>
    </xf>
    <xf numFmtId="41" fontId="13" fillId="10" borderId="28" xfId="1" applyFont="1" applyFill="1" applyBorder="1" applyAlignment="1">
      <alignment horizontal="center" vertical="center"/>
    </xf>
    <xf numFmtId="3" fontId="9" fillId="0" borderId="28" xfId="0" applyNumberFormat="1" applyFont="1" applyBorder="1" applyAlignment="1">
      <alignment horizontal="center" vertical="center"/>
    </xf>
    <xf numFmtId="0" fontId="13" fillId="9" borderId="28" xfId="0" applyFont="1" applyFill="1" applyBorder="1" applyAlignment="1">
      <alignment horizontal="left" vertical="center"/>
    </xf>
    <xf numFmtId="3" fontId="13" fillId="9" borderId="28" xfId="1" applyNumberFormat="1" applyFont="1" applyFill="1" applyBorder="1" applyAlignment="1">
      <alignment horizontal="center" vertical="center"/>
    </xf>
    <xf numFmtId="165" fontId="13" fillId="0" borderId="28" xfId="0" applyNumberFormat="1" applyFont="1" applyBorder="1" applyAlignment="1">
      <alignment horizontal="center"/>
    </xf>
    <xf numFmtId="0" fontId="9" fillId="0" borderId="45" xfId="0" applyFont="1" applyBorder="1" applyAlignment="1">
      <alignment horizontal="left" vertical="center"/>
    </xf>
    <xf numFmtId="167" fontId="0" fillId="9" borderId="44" xfId="0" applyNumberFormat="1" applyFill="1" applyBorder="1" applyAlignment="1">
      <alignment horizontal="center" vertical="center"/>
    </xf>
    <xf numFmtId="167" fontId="0" fillId="9" borderId="40" xfId="0" applyNumberFormat="1" applyFill="1" applyBorder="1" applyAlignment="1">
      <alignment horizontal="center" vertical="center"/>
    </xf>
    <xf numFmtId="167" fontId="0" fillId="0" borderId="37" xfId="0" applyNumberFormat="1" applyBorder="1" applyAlignment="1">
      <alignment horizontal="center" vertical="center"/>
    </xf>
    <xf numFmtId="167" fontId="0" fillId="0" borderId="40" xfId="0" applyNumberFormat="1" applyBorder="1" applyAlignment="1">
      <alignment horizontal="center" vertical="center"/>
    </xf>
    <xf numFmtId="167" fontId="9" fillId="0" borderId="4" xfId="0" applyNumberFormat="1" applyFont="1" applyBorder="1" applyAlignment="1">
      <alignment horizontal="center" vertical="center"/>
    </xf>
    <xf numFmtId="167" fontId="2" fillId="9" borderId="44" xfId="0" applyNumberFormat="1" applyFont="1" applyFill="1" applyBorder="1" applyAlignment="1">
      <alignment horizontal="center" vertical="center"/>
    </xf>
    <xf numFmtId="167" fontId="2" fillId="9" borderId="40" xfId="0" applyNumberFormat="1" applyFont="1" applyFill="1" applyBorder="1" applyAlignment="1">
      <alignment horizontal="center" vertical="center"/>
    </xf>
    <xf numFmtId="167" fontId="3" fillId="9" borderId="44" xfId="0" applyNumberFormat="1" applyFont="1" applyFill="1" applyBorder="1" applyAlignment="1">
      <alignment horizontal="center" vertical="center"/>
    </xf>
    <xf numFmtId="167" fontId="3" fillId="9" borderId="48" xfId="0" applyNumberFormat="1" applyFont="1" applyFill="1" applyBorder="1" applyAlignment="1">
      <alignment horizontal="center" vertical="center"/>
    </xf>
    <xf numFmtId="167" fontId="3" fillId="0" borderId="46" xfId="0" applyNumberFormat="1" applyFont="1" applyBorder="1" applyAlignment="1">
      <alignment horizontal="center" vertical="center"/>
    </xf>
    <xf numFmtId="167" fontId="3" fillId="9" borderId="40" xfId="0" applyNumberFormat="1" applyFont="1" applyFill="1" applyBorder="1" applyAlignment="1">
      <alignment horizontal="center" vertical="center"/>
    </xf>
    <xf numFmtId="0" fontId="0" fillId="0" borderId="57" xfId="0" applyBorder="1"/>
    <xf numFmtId="167" fontId="0" fillId="0" borderId="58" xfId="0" applyNumberFormat="1" applyBorder="1" applyAlignment="1">
      <alignment horizontal="center" vertical="center"/>
    </xf>
    <xf numFmtId="0" fontId="0" fillId="0" borderId="41" xfId="0" applyBorder="1"/>
    <xf numFmtId="167" fontId="0" fillId="0" borderId="42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45" xfId="0" applyFont="1" applyBorder="1" applyAlignment="1">
      <alignment vertical="center"/>
    </xf>
    <xf numFmtId="0" fontId="19" fillId="23" borderId="9" xfId="0" applyFont="1" applyFill="1" applyBorder="1"/>
    <xf numFmtId="9" fontId="0" fillId="0" borderId="0" xfId="2" applyFont="1" applyAlignment="1">
      <alignment horizontal="center" vertical="center"/>
    </xf>
    <xf numFmtId="0" fontId="0" fillId="9" borderId="36" xfId="0" applyFill="1" applyBorder="1"/>
    <xf numFmtId="0" fontId="0" fillId="9" borderId="37" xfId="0" applyFill="1" applyBorder="1" applyAlignment="1">
      <alignment horizontal="center" vertical="center"/>
    </xf>
    <xf numFmtId="0" fontId="9" fillId="0" borderId="38" xfId="0" applyFont="1" applyBorder="1"/>
    <xf numFmtId="0" fontId="9" fillId="0" borderId="40" xfId="0" applyFont="1" applyBorder="1" applyAlignment="1">
      <alignment horizontal="center"/>
    </xf>
    <xf numFmtId="167" fontId="9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left" vertical="center"/>
    </xf>
    <xf numFmtId="167" fontId="19" fillId="0" borderId="0" xfId="0" applyNumberFormat="1" applyFont="1" applyAlignment="1">
      <alignment horizontal="left" vertical="center"/>
    </xf>
    <xf numFmtId="0" fontId="0" fillId="9" borderId="59" xfId="0" applyFill="1" applyBorder="1"/>
    <xf numFmtId="167" fontId="0" fillId="9" borderId="60" xfId="0" applyNumberFormat="1" applyFill="1" applyBorder="1" applyAlignment="1">
      <alignment horizontal="center" vertical="center"/>
    </xf>
    <xf numFmtId="0" fontId="9" fillId="9" borderId="45" xfId="0" applyFont="1" applyFill="1" applyBorder="1"/>
    <xf numFmtId="167" fontId="9" fillId="9" borderId="46" xfId="0" applyNumberFormat="1" applyFont="1" applyFill="1" applyBorder="1" applyAlignment="1">
      <alignment horizontal="center" vertical="center"/>
    </xf>
    <xf numFmtId="167" fontId="9" fillId="0" borderId="28" xfId="0" applyNumberFormat="1" applyFont="1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0" borderId="38" xfId="0" applyBorder="1" applyAlignment="1">
      <alignment vertical="center"/>
    </xf>
    <xf numFmtId="165" fontId="0" fillId="0" borderId="28" xfId="0" applyNumberFormat="1" applyBorder="1"/>
    <xf numFmtId="165" fontId="0" fillId="0" borderId="28" xfId="0" applyNumberFormat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165" fontId="0" fillId="0" borderId="28" xfId="0" applyNumberFormat="1" applyBorder="1" applyAlignment="1">
      <alignment horizontal="center"/>
    </xf>
    <xf numFmtId="0" fontId="0" fillId="0" borderId="28" xfId="0" applyBorder="1" applyAlignment="1">
      <alignment horizontal="left" vertical="center"/>
    </xf>
    <xf numFmtId="41" fontId="13" fillId="14" borderId="28" xfId="1" applyFont="1" applyFill="1" applyBorder="1" applyAlignment="1">
      <alignment horizontal="center" vertical="center"/>
    </xf>
    <xf numFmtId="0" fontId="13" fillId="14" borderId="28" xfId="0" applyFont="1" applyFill="1" applyBorder="1" applyAlignment="1">
      <alignment horizontal="center" vertical="center"/>
    </xf>
    <xf numFmtId="0" fontId="13" fillId="14" borderId="28" xfId="0" applyFont="1" applyFill="1" applyBorder="1" applyAlignment="1">
      <alignment horizontal="left" vertical="center"/>
    </xf>
    <xf numFmtId="41" fontId="13" fillId="12" borderId="28" xfId="1" applyFont="1" applyFill="1" applyBorder="1" applyAlignment="1">
      <alignment horizontal="left" vertical="center"/>
    </xf>
    <xf numFmtId="0" fontId="0" fillId="0" borderId="28" xfId="0" applyBorder="1" applyAlignment="1">
      <alignment horizontal="left"/>
    </xf>
    <xf numFmtId="3" fontId="13" fillId="12" borderId="28" xfId="0" applyNumberFormat="1" applyFont="1" applyFill="1" applyBorder="1" applyAlignment="1">
      <alignment horizontal="center" vertical="center"/>
    </xf>
    <xf numFmtId="0" fontId="13" fillId="14" borderId="28" xfId="0" applyFont="1" applyFill="1" applyBorder="1" applyAlignment="1">
      <alignment horizontal="center"/>
    </xf>
    <xf numFmtId="165" fontId="13" fillId="14" borderId="28" xfId="0" applyNumberFormat="1" applyFont="1" applyFill="1" applyBorder="1" applyAlignment="1">
      <alignment horizontal="center" vertical="center"/>
    </xf>
    <xf numFmtId="0" fontId="0" fillId="31" borderId="28" xfId="0" applyFill="1" applyBorder="1" applyAlignment="1">
      <alignment horizontal="center"/>
    </xf>
    <xf numFmtId="0" fontId="13" fillId="31" borderId="28" xfId="0" applyFont="1" applyFill="1" applyBorder="1" applyAlignment="1">
      <alignment horizontal="center" vertical="center"/>
    </xf>
    <xf numFmtId="0" fontId="0" fillId="14" borderId="28" xfId="0" applyFill="1" applyBorder="1" applyAlignment="1">
      <alignment horizontal="center"/>
    </xf>
    <xf numFmtId="0" fontId="0" fillId="31" borderId="28" xfId="0" applyFill="1" applyBorder="1" applyAlignment="1">
      <alignment horizontal="center" vertical="center"/>
    </xf>
    <xf numFmtId="0" fontId="0" fillId="31" borderId="28" xfId="0" applyFill="1" applyBorder="1" applyAlignment="1">
      <alignment horizontal="left"/>
    </xf>
    <xf numFmtId="0" fontId="0" fillId="31" borderId="28" xfId="0" applyFill="1" applyBorder="1"/>
    <xf numFmtId="14" fontId="0" fillId="31" borderId="28" xfId="0" applyNumberFormat="1" applyFill="1" applyBorder="1" applyAlignment="1">
      <alignment horizontal="center"/>
    </xf>
    <xf numFmtId="0" fontId="13" fillId="31" borderId="28" xfId="0" applyFont="1" applyFill="1" applyBorder="1" applyAlignment="1">
      <alignment horizontal="center"/>
    </xf>
    <xf numFmtId="14" fontId="0" fillId="31" borderId="28" xfId="0" applyNumberFormat="1" applyFill="1" applyBorder="1" applyAlignment="1">
      <alignment horizontal="center" vertical="center"/>
    </xf>
    <xf numFmtId="3" fontId="13" fillId="31" borderId="28" xfId="1" applyNumberFormat="1" applyFont="1" applyFill="1" applyBorder="1" applyAlignment="1">
      <alignment horizontal="center" vertical="center"/>
    </xf>
    <xf numFmtId="9" fontId="0" fillId="0" borderId="0" xfId="0" applyNumberFormat="1"/>
    <xf numFmtId="0" fontId="0" fillId="14" borderId="0" xfId="0" applyFill="1"/>
    <xf numFmtId="0" fontId="0" fillId="31" borderId="28" xfId="0" applyFill="1" applyBorder="1" applyAlignment="1">
      <alignment horizontal="left" vertical="center"/>
    </xf>
    <xf numFmtId="0" fontId="0" fillId="31" borderId="63" xfId="0" applyFill="1" applyBorder="1" applyAlignment="1">
      <alignment horizontal="center"/>
    </xf>
    <xf numFmtId="14" fontId="0" fillId="31" borderId="63" xfId="0" applyNumberFormat="1" applyFill="1" applyBorder="1" applyAlignment="1">
      <alignment horizontal="center"/>
    </xf>
    <xf numFmtId="0" fontId="0" fillId="31" borderId="49" xfId="0" applyFill="1" applyBorder="1" applyAlignment="1">
      <alignment horizontal="center" vertical="center"/>
    </xf>
    <xf numFmtId="0" fontId="0" fillId="31" borderId="49" xfId="0" applyFill="1" applyBorder="1" applyAlignment="1">
      <alignment horizontal="center"/>
    </xf>
    <xf numFmtId="0" fontId="0" fillId="29" borderId="49" xfId="0" applyFill="1" applyBorder="1" applyAlignment="1">
      <alignment horizontal="center"/>
    </xf>
    <xf numFmtId="0" fontId="0" fillId="31" borderId="41" xfId="0" applyFill="1" applyBorder="1" applyAlignment="1">
      <alignment horizontal="center"/>
    </xf>
    <xf numFmtId="0" fontId="0" fillId="31" borderId="63" xfId="0" applyFill="1" applyBorder="1" applyAlignment="1">
      <alignment horizontal="center" vertical="center"/>
    </xf>
    <xf numFmtId="0" fontId="0" fillId="31" borderId="63" xfId="0" applyFill="1" applyBorder="1"/>
    <xf numFmtId="0" fontId="0" fillId="31" borderId="36" xfId="0" applyFill="1" applyBorder="1" applyAlignment="1">
      <alignment horizontal="center"/>
    </xf>
    <xf numFmtId="0" fontId="0" fillId="31" borderId="36" xfId="0" applyFill="1" applyBorder="1"/>
    <xf numFmtId="0" fontId="0" fillId="31" borderId="36" xfId="0" applyFill="1" applyBorder="1" applyAlignment="1">
      <alignment horizontal="center" vertical="center"/>
    </xf>
    <xf numFmtId="0" fontId="13" fillId="31" borderId="28" xfId="0" applyFont="1" applyFill="1" applyBorder="1" applyAlignment="1">
      <alignment horizontal="left"/>
    </xf>
    <xf numFmtId="14" fontId="13" fillId="31" borderId="28" xfId="2" applyNumberFormat="1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/>
    <xf numFmtId="0" fontId="0" fillId="0" borderId="51" xfId="0" applyBorder="1" applyAlignment="1">
      <alignment horizontal="center"/>
    </xf>
    <xf numFmtId="3" fontId="13" fillId="12" borderId="51" xfId="1" applyNumberFormat="1" applyFont="1" applyFill="1" applyBorder="1" applyAlignment="1">
      <alignment horizontal="center" vertical="center"/>
    </xf>
    <xf numFmtId="0" fontId="0" fillId="31" borderId="55" xfId="0" applyFill="1" applyBorder="1" applyAlignment="1">
      <alignment horizontal="center" vertical="center"/>
    </xf>
    <xf numFmtId="0" fontId="0" fillId="31" borderId="55" xfId="0" applyFill="1" applyBorder="1" applyAlignment="1">
      <alignment horizontal="left" vertical="center"/>
    </xf>
    <xf numFmtId="14" fontId="0" fillId="31" borderId="55" xfId="0" applyNumberFormat="1" applyFill="1" applyBorder="1" applyAlignment="1">
      <alignment horizontal="center" vertical="center"/>
    </xf>
    <xf numFmtId="0" fontId="0" fillId="32" borderId="41" xfId="0" applyFill="1" applyBorder="1" applyAlignment="1">
      <alignment horizontal="center" vertical="center"/>
    </xf>
    <xf numFmtId="0" fontId="0" fillId="32" borderId="63" xfId="0" applyFill="1" applyBorder="1" applyAlignment="1">
      <alignment horizontal="center" vertical="center"/>
    </xf>
    <xf numFmtId="0" fontId="0" fillId="32" borderId="63" xfId="0" applyFill="1" applyBorder="1" applyAlignment="1">
      <alignment horizontal="left" vertical="center"/>
    </xf>
    <xf numFmtId="14" fontId="0" fillId="32" borderId="42" xfId="0" applyNumberFormat="1" applyFill="1" applyBorder="1" applyAlignment="1">
      <alignment horizontal="center" vertical="center"/>
    </xf>
    <xf numFmtId="0" fontId="0" fillId="32" borderId="36" xfId="0" applyFill="1" applyBorder="1" applyAlignment="1">
      <alignment horizontal="center" vertical="center"/>
    </xf>
    <xf numFmtId="0" fontId="0" fillId="32" borderId="28" xfId="0" applyFill="1" applyBorder="1" applyAlignment="1">
      <alignment horizontal="center" vertical="center"/>
    </xf>
    <xf numFmtId="14" fontId="0" fillId="32" borderId="37" xfId="0" applyNumberFormat="1" applyFill="1" applyBorder="1" applyAlignment="1">
      <alignment horizontal="center" vertical="center"/>
    </xf>
    <xf numFmtId="0" fontId="13" fillId="32" borderId="36" xfId="0" applyFont="1" applyFill="1" applyBorder="1" applyAlignment="1">
      <alignment horizontal="center" vertical="center"/>
    </xf>
    <xf numFmtId="0" fontId="0" fillId="12" borderId="28" xfId="0" applyFill="1" applyBorder="1"/>
    <xf numFmtId="0" fontId="0" fillId="0" borderId="16" xfId="0" applyBorder="1"/>
    <xf numFmtId="0" fontId="13" fillId="12" borderId="28" xfId="0" applyFont="1" applyFill="1" applyBorder="1" applyAlignment="1">
      <alignment horizontal="left" vertical="center" wrapText="1"/>
    </xf>
    <xf numFmtId="0" fontId="0" fillId="32" borderId="28" xfId="0" applyFill="1" applyBorder="1" applyAlignment="1">
      <alignment horizontal="left" vertical="center"/>
    </xf>
    <xf numFmtId="14" fontId="0" fillId="32" borderId="28" xfId="0" applyNumberFormat="1" applyFill="1" applyBorder="1" applyAlignment="1">
      <alignment horizontal="center" vertical="center"/>
    </xf>
    <xf numFmtId="0" fontId="13" fillId="14" borderId="28" xfId="1" applyNumberFormat="1" applyFont="1" applyFill="1" applyBorder="1" applyAlignment="1">
      <alignment horizontal="center" vertical="center"/>
    </xf>
    <xf numFmtId="0" fontId="13" fillId="31" borderId="28" xfId="0" applyFont="1" applyFill="1" applyBorder="1" applyAlignment="1">
      <alignment horizontal="left" vertical="center"/>
    </xf>
    <xf numFmtId="0" fontId="0" fillId="12" borderId="28" xfId="0" applyFill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19" fillId="4" borderId="45" xfId="0" applyFont="1" applyFill="1" applyBorder="1" applyAlignment="1">
      <alignment horizontal="center" vertical="center"/>
    </xf>
    <xf numFmtId="0" fontId="19" fillId="4" borderId="67" xfId="0" applyFont="1" applyFill="1" applyBorder="1" applyAlignment="1">
      <alignment horizontal="center" vertical="center"/>
    </xf>
    <xf numFmtId="0" fontId="19" fillId="4" borderId="67" xfId="0" applyFont="1" applyFill="1" applyBorder="1" applyAlignment="1">
      <alignment vertical="center"/>
    </xf>
    <xf numFmtId="0" fontId="19" fillId="4" borderId="46" xfId="0" applyFont="1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30" borderId="41" xfId="0" applyFill="1" applyBorder="1" applyAlignment="1">
      <alignment horizontal="center"/>
    </xf>
    <xf numFmtId="0" fontId="0" fillId="30" borderId="63" xfId="0" applyFill="1" applyBorder="1" applyAlignment="1">
      <alignment horizontal="center"/>
    </xf>
    <xf numFmtId="0" fontId="0" fillId="30" borderId="63" xfId="0" applyFill="1" applyBorder="1"/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30" borderId="41" xfId="0" applyFill="1" applyBorder="1" applyAlignment="1">
      <alignment horizontal="center" vertical="center"/>
    </xf>
    <xf numFmtId="0" fontId="0" fillId="30" borderId="63" xfId="0" applyFill="1" applyBorder="1" applyAlignment="1">
      <alignment horizontal="center" vertical="center"/>
    </xf>
    <xf numFmtId="0" fontId="0" fillId="30" borderId="42" xfId="0" applyFill="1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40" xfId="0" applyFill="1" applyBorder="1" applyAlignment="1">
      <alignment horizontal="center" vertical="center"/>
    </xf>
    <xf numFmtId="0" fontId="19" fillId="4" borderId="21" xfId="0" applyFont="1" applyFill="1" applyBorder="1" applyAlignment="1">
      <alignment horizontal="center" vertical="center"/>
    </xf>
    <xf numFmtId="0" fontId="0" fillId="30" borderId="69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3" xfId="0" applyBorder="1"/>
    <xf numFmtId="0" fontId="0" fillId="30" borderId="70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30" borderId="42" xfId="0" applyFill="1" applyBorder="1"/>
    <xf numFmtId="0" fontId="0" fillId="0" borderId="37" xfId="0" applyBorder="1"/>
    <xf numFmtId="0" fontId="0" fillId="30" borderId="64" xfId="0" applyFill="1" applyBorder="1" applyAlignment="1">
      <alignment horizontal="center"/>
    </xf>
    <xf numFmtId="0" fontId="0" fillId="30" borderId="65" xfId="0" applyFill="1" applyBorder="1" applyAlignment="1">
      <alignment horizontal="center"/>
    </xf>
    <xf numFmtId="0" fontId="0" fillId="30" borderId="65" xfId="0" applyFill="1" applyBorder="1"/>
    <xf numFmtId="0" fontId="0" fillId="30" borderId="66" xfId="0" applyFill="1" applyBorder="1"/>
    <xf numFmtId="0" fontId="0" fillId="0" borderId="47" xfId="0" applyBorder="1" applyAlignment="1">
      <alignment horizontal="center" vertical="center"/>
    </xf>
    <xf numFmtId="0" fontId="0" fillId="0" borderId="55" xfId="0" applyBorder="1"/>
    <xf numFmtId="0" fontId="0" fillId="0" borderId="55" xfId="0" applyBorder="1" applyAlignment="1">
      <alignment horizontal="center"/>
    </xf>
    <xf numFmtId="0" fontId="0" fillId="0" borderId="48" xfId="0" applyBorder="1"/>
    <xf numFmtId="0" fontId="0" fillId="12" borderId="7" xfId="0" applyFill="1" applyBorder="1" applyAlignment="1">
      <alignment horizontal="center" vertical="center"/>
    </xf>
    <xf numFmtId="0" fontId="0" fillId="12" borderId="55" xfId="0" applyFill="1" applyBorder="1" applyAlignment="1">
      <alignment horizontal="center" vertical="center"/>
    </xf>
    <xf numFmtId="0" fontId="0" fillId="12" borderId="48" xfId="0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30" borderId="6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14" borderId="28" xfId="0" applyFill="1" applyBorder="1"/>
    <xf numFmtId="0" fontId="0" fillId="14" borderId="39" xfId="0" applyFill="1" applyBorder="1"/>
    <xf numFmtId="0" fontId="0" fillId="0" borderId="7" xfId="0" applyBorder="1"/>
    <xf numFmtId="0" fontId="0" fillId="10" borderId="28" xfId="0" applyFill="1" applyBorder="1" applyAlignment="1">
      <alignment horizontal="center"/>
    </xf>
    <xf numFmtId="0" fontId="0" fillId="12" borderId="55" xfId="0" applyFill="1" applyBorder="1" applyAlignment="1">
      <alignment horizontal="center"/>
    </xf>
    <xf numFmtId="0" fontId="0" fillId="12" borderId="55" xfId="0" applyFill="1" applyBorder="1"/>
    <xf numFmtId="0" fontId="0" fillId="14" borderId="55" xfId="0" applyFill="1" applyBorder="1"/>
    <xf numFmtId="3" fontId="13" fillId="0" borderId="28" xfId="1" applyNumberFormat="1" applyFont="1" applyFill="1" applyBorder="1" applyAlignment="1">
      <alignment horizontal="center" vertical="center"/>
    </xf>
    <xf numFmtId="0" fontId="0" fillId="14" borderId="37" xfId="0" applyFill="1" applyBorder="1"/>
    <xf numFmtId="0" fontId="0" fillId="10" borderId="55" xfId="0" applyFill="1" applyBorder="1" applyAlignment="1">
      <alignment horizontal="center" vertical="center"/>
    </xf>
    <xf numFmtId="0" fontId="10" fillId="17" borderId="27" xfId="0" applyFont="1" applyFill="1" applyBorder="1" applyAlignment="1">
      <alignment horizontal="left" vertical="center"/>
    </xf>
    <xf numFmtId="0" fontId="26" fillId="32" borderId="28" xfId="0" applyFont="1" applyFill="1" applyBorder="1" applyAlignment="1">
      <alignment horizontal="left" vertical="center" readingOrder="1"/>
    </xf>
    <xf numFmtId="0" fontId="0" fillId="31" borderId="63" xfId="0" applyFill="1" applyBorder="1" applyAlignment="1">
      <alignment horizontal="left" vertical="center"/>
    </xf>
    <xf numFmtId="0" fontId="0" fillId="12" borderId="28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12" borderId="28" xfId="0" applyNumberFormat="1" applyFill="1" applyBorder="1"/>
    <xf numFmtId="14" fontId="0" fillId="12" borderId="28" xfId="0" applyNumberFormat="1" applyFill="1" applyBorder="1" applyAlignment="1">
      <alignment horizontal="center"/>
    </xf>
    <xf numFmtId="0" fontId="0" fillId="32" borderId="47" xfId="0" applyFill="1" applyBorder="1" applyAlignment="1">
      <alignment horizontal="center" vertical="center"/>
    </xf>
    <xf numFmtId="0" fontId="0" fillId="32" borderId="55" xfId="0" applyFill="1" applyBorder="1" applyAlignment="1">
      <alignment horizontal="center" vertical="center"/>
    </xf>
    <xf numFmtId="0" fontId="0" fillId="32" borderId="55" xfId="0" applyFill="1" applyBorder="1" applyAlignment="1">
      <alignment horizontal="left" vertical="center"/>
    </xf>
    <xf numFmtId="0" fontId="0" fillId="31" borderId="28" xfId="0" applyFill="1" applyBorder="1" applyAlignment="1">
      <alignment vertical="center"/>
    </xf>
    <xf numFmtId="0" fontId="0" fillId="31" borderId="55" xfId="0" applyFill="1" applyBorder="1" applyAlignment="1">
      <alignment vertical="center"/>
    </xf>
    <xf numFmtId="0" fontId="0" fillId="32" borderId="63" xfId="0" applyFill="1" applyBorder="1" applyAlignment="1">
      <alignment vertical="center"/>
    </xf>
    <xf numFmtId="0" fontId="0" fillId="32" borderId="28" xfId="0" applyFill="1" applyBorder="1" applyAlignment="1">
      <alignment vertical="center"/>
    </xf>
    <xf numFmtId="0" fontId="0" fillId="12" borderId="28" xfId="0" applyFill="1" applyBorder="1" applyAlignment="1">
      <alignment vertical="center"/>
    </xf>
    <xf numFmtId="14" fontId="0" fillId="12" borderId="28" xfId="0" applyNumberFormat="1" applyFill="1" applyBorder="1" applyAlignment="1">
      <alignment horizontal="center" vertical="center"/>
    </xf>
    <xf numFmtId="0" fontId="0" fillId="14" borderId="28" xfId="0" applyFill="1" applyBorder="1" applyAlignment="1">
      <alignment horizontal="left" vertical="center"/>
    </xf>
    <xf numFmtId="14" fontId="0" fillId="0" borderId="28" xfId="0" applyNumberFormat="1" applyBorder="1" applyAlignment="1">
      <alignment horizontal="center"/>
    </xf>
    <xf numFmtId="0" fontId="0" fillId="32" borderId="28" xfId="0" applyFill="1" applyBorder="1" applyAlignment="1">
      <alignment horizontal="center"/>
    </xf>
    <xf numFmtId="0" fontId="0" fillId="32" borderId="55" xfId="0" applyFill="1" applyBorder="1" applyAlignment="1">
      <alignment vertical="center"/>
    </xf>
    <xf numFmtId="0" fontId="0" fillId="32" borderId="28" xfId="0" applyFill="1" applyBorder="1"/>
    <xf numFmtId="14" fontId="0" fillId="32" borderId="48" xfId="0" applyNumberFormat="1" applyFill="1" applyBorder="1" applyAlignment="1">
      <alignment horizontal="center" vertical="center"/>
    </xf>
    <xf numFmtId="14" fontId="0" fillId="32" borderId="28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3" fillId="32" borderId="28" xfId="0" applyFont="1" applyFill="1" applyBorder="1" applyAlignment="1">
      <alignment horizontal="center" vertical="center"/>
    </xf>
    <xf numFmtId="0" fontId="13" fillId="29" borderId="28" xfId="0" applyFont="1" applyFill="1" applyBorder="1" applyAlignment="1">
      <alignment horizontal="center" vertical="center"/>
    </xf>
    <xf numFmtId="0" fontId="0" fillId="29" borderId="28" xfId="0" applyFill="1" applyBorder="1" applyAlignment="1">
      <alignment horizontal="center"/>
    </xf>
    <xf numFmtId="0" fontId="0" fillId="29" borderId="28" xfId="0" applyFill="1" applyBorder="1" applyAlignment="1">
      <alignment horizontal="center" vertical="center"/>
    </xf>
    <xf numFmtId="0" fontId="0" fillId="29" borderId="28" xfId="0" applyFill="1" applyBorder="1" applyAlignment="1">
      <alignment horizontal="left" vertical="center"/>
    </xf>
    <xf numFmtId="0" fontId="0" fillId="29" borderId="28" xfId="0" applyFill="1" applyBorder="1"/>
    <xf numFmtId="14" fontId="0" fillId="29" borderId="28" xfId="0" applyNumberFormat="1" applyFill="1" applyBorder="1" applyAlignment="1">
      <alignment horizontal="center"/>
    </xf>
    <xf numFmtId="0" fontId="28" fillId="33" borderId="71" xfId="0" applyFont="1" applyFill="1" applyBorder="1" applyAlignment="1">
      <alignment horizontal="center" vertical="center" wrapText="1" readingOrder="1"/>
    </xf>
    <xf numFmtId="1" fontId="0" fillId="0" borderId="0" xfId="0" applyNumberFormat="1"/>
    <xf numFmtId="0" fontId="29" fillId="0" borderId="0" xfId="0" applyFont="1"/>
    <xf numFmtId="41" fontId="18" fillId="12" borderId="28" xfId="1" applyFont="1" applyFill="1" applyBorder="1" applyAlignment="1">
      <alignment horizontal="center" vertical="center"/>
    </xf>
    <xf numFmtId="41" fontId="18" fillId="12" borderId="28" xfId="1" applyFont="1" applyFill="1" applyBorder="1" applyAlignment="1">
      <alignment horizontal="left" vertical="center"/>
    </xf>
    <xf numFmtId="3" fontId="18" fillId="12" borderId="28" xfId="1" applyNumberFormat="1" applyFont="1" applyFill="1" applyBorder="1" applyAlignment="1">
      <alignment horizontal="center" vertical="center"/>
    </xf>
    <xf numFmtId="165" fontId="30" fillId="0" borderId="28" xfId="0" applyNumberFormat="1" applyFont="1" applyBorder="1" applyAlignment="1">
      <alignment horizontal="center" vertical="center"/>
    </xf>
    <xf numFmtId="0" fontId="26" fillId="34" borderId="72" xfId="0" applyFont="1" applyFill="1" applyBorder="1" applyAlignment="1">
      <alignment horizontal="center" vertical="center" wrapText="1" readingOrder="1"/>
    </xf>
    <xf numFmtId="0" fontId="26" fillId="35" borderId="73" xfId="0" applyFont="1" applyFill="1" applyBorder="1" applyAlignment="1">
      <alignment horizontal="center" vertical="center" wrapText="1" readingOrder="1"/>
    </xf>
    <xf numFmtId="0" fontId="26" fillId="34" borderId="73" xfId="0" applyFont="1" applyFill="1" applyBorder="1" applyAlignment="1">
      <alignment horizontal="center" vertical="center" wrapText="1" readingOrder="1"/>
    </xf>
    <xf numFmtId="0" fontId="0" fillId="0" borderId="49" xfId="0" applyBorder="1" applyAlignment="1">
      <alignment horizontal="center"/>
    </xf>
    <xf numFmtId="0" fontId="31" fillId="33" borderId="71" xfId="0" applyFont="1" applyFill="1" applyBorder="1" applyAlignment="1">
      <alignment horizontal="center" vertical="center" readingOrder="1"/>
    </xf>
    <xf numFmtId="0" fontId="31" fillId="33" borderId="71" xfId="0" applyFont="1" applyFill="1" applyBorder="1" applyAlignment="1">
      <alignment horizontal="left" vertical="center" readingOrder="1"/>
    </xf>
    <xf numFmtId="0" fontId="26" fillId="34" borderId="72" xfId="0" applyFont="1" applyFill="1" applyBorder="1" applyAlignment="1">
      <alignment horizontal="left" vertical="center" readingOrder="1"/>
    </xf>
    <xf numFmtId="0" fontId="26" fillId="34" borderId="72" xfId="0" applyFont="1" applyFill="1" applyBorder="1" applyAlignment="1">
      <alignment horizontal="center" vertical="center" readingOrder="1"/>
    </xf>
    <xf numFmtId="0" fontId="27" fillId="34" borderId="72" xfId="0" applyFont="1" applyFill="1" applyBorder="1" applyAlignment="1">
      <alignment horizontal="center" vertical="center"/>
    </xf>
    <xf numFmtId="0" fontId="32" fillId="35" borderId="73" xfId="0" applyFont="1" applyFill="1" applyBorder="1" applyAlignment="1">
      <alignment horizontal="left" vertical="center" readingOrder="1"/>
    </xf>
    <xf numFmtId="0" fontId="32" fillId="35" borderId="73" xfId="0" applyFont="1" applyFill="1" applyBorder="1" applyAlignment="1">
      <alignment horizontal="center" vertical="center" readingOrder="1"/>
    </xf>
    <xf numFmtId="0" fontId="27" fillId="35" borderId="73" xfId="0" applyFont="1" applyFill="1" applyBorder="1" applyAlignment="1">
      <alignment horizontal="center" vertical="center"/>
    </xf>
    <xf numFmtId="0" fontId="26" fillId="34" borderId="73" xfId="0" applyFont="1" applyFill="1" applyBorder="1" applyAlignment="1">
      <alignment horizontal="left" vertical="center" readingOrder="1"/>
    </xf>
    <xf numFmtId="0" fontId="26" fillId="34" borderId="73" xfId="0" applyFont="1" applyFill="1" applyBorder="1" applyAlignment="1">
      <alignment horizontal="center" vertical="center" readingOrder="1"/>
    </xf>
    <xf numFmtId="0" fontId="27" fillId="34" borderId="73" xfId="0" applyFont="1" applyFill="1" applyBorder="1" applyAlignment="1">
      <alignment horizontal="center" vertical="center"/>
    </xf>
    <xf numFmtId="0" fontId="26" fillId="35" borderId="73" xfId="0" applyFont="1" applyFill="1" applyBorder="1" applyAlignment="1">
      <alignment horizontal="left" vertical="center" readingOrder="1"/>
    </xf>
    <xf numFmtId="0" fontId="26" fillId="35" borderId="73" xfId="0" applyFont="1" applyFill="1" applyBorder="1" applyAlignment="1">
      <alignment horizontal="center" vertical="center" readingOrder="1"/>
    </xf>
    <xf numFmtId="0" fontId="31" fillId="33" borderId="0" xfId="0" applyFont="1" applyFill="1" applyAlignment="1">
      <alignment horizontal="left" vertical="center" readingOrder="1"/>
    </xf>
    <xf numFmtId="0" fontId="27" fillId="34" borderId="0" xfId="0" applyFont="1" applyFill="1" applyAlignment="1">
      <alignment horizontal="center" vertical="center"/>
    </xf>
    <xf numFmtId="42" fontId="26" fillId="35" borderId="73" xfId="6" applyFont="1" applyFill="1" applyBorder="1" applyAlignment="1">
      <alignment horizontal="center" vertical="center" readingOrder="1"/>
    </xf>
    <xf numFmtId="3" fontId="13" fillId="12" borderId="28" xfId="1" applyNumberFormat="1" applyFont="1" applyFill="1" applyBorder="1" applyAlignment="1">
      <alignment horizontal="center"/>
    </xf>
    <xf numFmtId="41" fontId="0" fillId="0" borderId="0" xfId="1" applyFont="1"/>
    <xf numFmtId="41" fontId="0" fillId="0" borderId="0" xfId="0" applyNumberFormat="1"/>
    <xf numFmtId="3" fontId="13" fillId="12" borderId="28" xfId="0" applyNumberFormat="1" applyFont="1" applyFill="1" applyBorder="1" applyAlignment="1">
      <alignment horizontal="center"/>
    </xf>
    <xf numFmtId="3" fontId="18" fillId="12" borderId="28" xfId="0" applyNumberFormat="1" applyFont="1" applyFill="1" applyBorder="1" applyAlignment="1">
      <alignment horizontal="center"/>
    </xf>
    <xf numFmtId="0" fontId="19" fillId="36" borderId="28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9" fillId="36" borderId="28" xfId="0" applyFont="1" applyFill="1" applyBorder="1" applyAlignment="1">
      <alignment horizontal="center" vertical="center" wrapText="1"/>
    </xf>
    <xf numFmtId="9" fontId="0" fillId="0" borderId="28" xfId="2" applyFont="1" applyBorder="1" applyAlignment="1">
      <alignment horizontal="center" vertical="center"/>
    </xf>
    <xf numFmtId="9" fontId="9" fillId="0" borderId="28" xfId="2" applyFont="1" applyBorder="1" applyAlignment="1">
      <alignment horizontal="center" vertical="center"/>
    </xf>
    <xf numFmtId="3" fontId="0" fillId="0" borderId="28" xfId="0" applyNumberFormat="1" applyBorder="1" applyAlignment="1">
      <alignment horizontal="center"/>
    </xf>
    <xf numFmtId="0" fontId="9" fillId="0" borderId="28" xfId="0" applyFont="1" applyBorder="1" applyAlignment="1">
      <alignment horizontal="center"/>
    </xf>
    <xf numFmtId="3" fontId="0" fillId="0" borderId="28" xfId="0" applyNumberFormat="1" applyBorder="1"/>
    <xf numFmtId="3" fontId="0" fillId="0" borderId="28" xfId="0" applyNumberFormat="1" applyBorder="1" applyAlignment="1">
      <alignment vertical="center"/>
    </xf>
    <xf numFmtId="3" fontId="19" fillId="36" borderId="28" xfId="0" applyNumberFormat="1" applyFont="1" applyFill="1" applyBorder="1" applyAlignment="1">
      <alignment horizontal="center" vertical="center"/>
    </xf>
    <xf numFmtId="3" fontId="19" fillId="36" borderId="28" xfId="1" applyNumberFormat="1" applyFont="1" applyFill="1" applyBorder="1" applyAlignment="1">
      <alignment horizontal="center" vertical="center"/>
    </xf>
    <xf numFmtId="3" fontId="33" fillId="37" borderId="61" xfId="0" applyNumberFormat="1" applyFont="1" applyFill="1" applyBorder="1" applyAlignment="1">
      <alignment horizontal="center" vertical="center" wrapText="1" readingOrder="1"/>
    </xf>
    <xf numFmtId="3" fontId="33" fillId="37" borderId="62" xfId="0" applyNumberFormat="1" applyFont="1" applyFill="1" applyBorder="1" applyAlignment="1">
      <alignment horizontal="center" vertical="center" wrapText="1" readingOrder="1"/>
    </xf>
    <xf numFmtId="3" fontId="19" fillId="21" borderId="0" xfId="0" applyNumberFormat="1" applyFont="1" applyFill="1" applyAlignment="1">
      <alignment horizontal="center" vertical="center"/>
    </xf>
    <xf numFmtId="41" fontId="13" fillId="12" borderId="0" xfId="1" applyFont="1" applyFill="1" applyAlignment="1">
      <alignment horizontal="center" vertical="center"/>
    </xf>
    <xf numFmtId="0" fontId="20" fillId="24" borderId="54" xfId="0" applyFont="1" applyFill="1" applyBorder="1" applyAlignment="1">
      <alignment horizontal="center" vertical="center" wrapText="1" readingOrder="1"/>
    </xf>
    <xf numFmtId="0" fontId="20" fillId="24" borderId="56" xfId="0" applyFont="1" applyFill="1" applyBorder="1" applyAlignment="1">
      <alignment horizontal="center" vertical="center" wrapText="1" readingOrder="1"/>
    </xf>
    <xf numFmtId="0" fontId="19" fillId="23" borderId="3" xfId="0" applyFont="1" applyFill="1" applyBorder="1" applyAlignment="1">
      <alignment horizontal="center" vertical="center"/>
    </xf>
    <xf numFmtId="0" fontId="19" fillId="23" borderId="4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top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9" fillId="23" borderId="41" xfId="0" applyFont="1" applyFill="1" applyBorder="1" applyAlignment="1">
      <alignment horizontal="center" vertical="center"/>
    </xf>
    <xf numFmtId="0" fontId="19" fillId="23" borderId="42" xfId="0" applyFont="1" applyFill="1" applyBorder="1" applyAlignment="1">
      <alignment horizontal="center" vertical="center"/>
    </xf>
    <xf numFmtId="0" fontId="19" fillId="23" borderId="45" xfId="0" applyFont="1" applyFill="1" applyBorder="1" applyAlignment="1">
      <alignment horizontal="center" vertical="center"/>
    </xf>
    <xf numFmtId="0" fontId="19" fillId="23" borderId="46" xfId="0" applyFont="1" applyFill="1" applyBorder="1" applyAlignment="1">
      <alignment horizontal="center" vertical="center"/>
    </xf>
    <xf numFmtId="0" fontId="19" fillId="4" borderId="28" xfId="0" applyFont="1" applyFill="1" applyBorder="1" applyAlignment="1">
      <alignment horizontal="center"/>
    </xf>
    <xf numFmtId="0" fontId="19" fillId="4" borderId="55" xfId="0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2" fillId="23" borderId="3" xfId="0" applyFont="1" applyFill="1" applyBorder="1" applyAlignment="1">
      <alignment horizontal="center" vertical="center"/>
    </xf>
    <xf numFmtId="0" fontId="22" fillId="23" borderId="11" xfId="0" applyFont="1" applyFill="1" applyBorder="1" applyAlignment="1">
      <alignment horizontal="center" vertical="center"/>
    </xf>
    <xf numFmtId="0" fontId="22" fillId="23" borderId="4" xfId="0" applyFont="1" applyFill="1" applyBorder="1" applyAlignment="1">
      <alignment horizontal="center" vertical="center"/>
    </xf>
    <xf numFmtId="0" fontId="0" fillId="14" borderId="28" xfId="0" applyFill="1" applyBorder="1" applyAlignment="1">
      <alignment horizontal="center"/>
    </xf>
    <xf numFmtId="0" fontId="19" fillId="4" borderId="64" xfId="0" applyFont="1" applyFill="1" applyBorder="1" applyAlignment="1">
      <alignment horizontal="center"/>
    </xf>
    <xf numFmtId="0" fontId="19" fillId="4" borderId="65" xfId="0" applyFont="1" applyFill="1" applyBorder="1" applyAlignment="1">
      <alignment horizontal="center"/>
    </xf>
    <xf numFmtId="0" fontId="19" fillId="4" borderId="66" xfId="0" applyFont="1" applyFill="1" applyBorder="1" applyAlignment="1">
      <alignment horizontal="center"/>
    </xf>
    <xf numFmtId="0" fontId="19" fillId="21" borderId="28" xfId="0" applyFont="1" applyFill="1" applyBorder="1" applyAlignment="1">
      <alignment horizontal="center"/>
    </xf>
    <xf numFmtId="0" fontId="19" fillId="20" borderId="35" xfId="0" applyFont="1" applyFill="1" applyBorder="1" applyAlignment="1">
      <alignment horizontal="center"/>
    </xf>
    <xf numFmtId="165" fontId="0" fillId="0" borderId="55" xfId="0" applyNumberFormat="1" applyBorder="1" applyAlignment="1">
      <alignment horizontal="center" vertical="center"/>
    </xf>
    <xf numFmtId="0" fontId="0" fillId="0" borderId="0" xfId="0" applyNumberFormat="1"/>
    <xf numFmtId="3" fontId="0" fillId="0" borderId="0" xfId="0" applyNumberFormat="1" applyFont="1"/>
  </cellXfs>
  <cellStyles count="7">
    <cellStyle name="Millares [0]" xfId="1" builtinId="6"/>
    <cellStyle name="Millares [0] 2" xfId="5" xr:uid="{7067F935-646E-494A-8EB8-3A5FB329A4FA}"/>
    <cellStyle name="Moneda [0]" xfId="6" builtinId="7"/>
    <cellStyle name="Neutral" xfId="3" builtinId="28"/>
    <cellStyle name="Normal" xfId="0" builtinId="0"/>
    <cellStyle name="Porcentaje" xfId="2" builtinId="5"/>
    <cellStyle name="Porcentaje 2" xfId="4" xr:uid="{B0DD269F-1A5D-4110-8CA3-88AE918768B5}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6" formatCode="#,##0,\K"/>
    </dxf>
    <dxf>
      <numFmt numFmtId="33" formatCode="_ * #,##0_ ;_ * \-#,##0_ ;_ * &quot;-&quot;_ ;_ @_ "/>
    </dxf>
    <dxf>
      <numFmt numFmtId="3" formatCode="#,##0"/>
    </dxf>
    <dxf>
      <numFmt numFmtId="33" formatCode="_ * #,##0_ ;_ * \-#,##0_ ;_ * &quot;-&quot;_ ;_ @_ "/>
    </dxf>
  </dxfs>
  <tableStyles count="0" defaultTableStyle="TableStyleMedium2" defaultPivotStyle="PivotStyleLight16"/>
  <colors>
    <mruColors>
      <color rgb="FFEFA539"/>
      <color rgb="FFDF69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Venta REDCO (&gt;</a:t>
            </a:r>
            <a:r>
              <a:rPr lang="es-CL" sz="1200" b="1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10%)</a:t>
            </a:r>
            <a:r>
              <a:rPr lang="es-CL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CL" sz="1200" b="1" i="0" u="none" strike="noStrike" baseline="0">
                <a:solidFill>
                  <a:schemeClr val="tx1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2024</a:t>
            </a:r>
            <a:endParaRPr lang="es-CL" sz="12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81-4C7F-B417-DDD9A375CC57}"/>
              </c:ext>
            </c:extLst>
          </c:dPt>
          <c:dPt>
            <c:idx val="1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212-42CE-B650-C309F408A4C1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12-42CE-B650-C309F408A4C1}"/>
              </c:ext>
            </c:extLst>
          </c:dPt>
          <c:dLbls>
            <c:dLbl>
              <c:idx val="2"/>
              <c:layout>
                <c:manualLayout>
                  <c:x val="0.26275872874028772"/>
                  <c:y val="-0.16680436605415039"/>
                </c:manualLayout>
              </c:layout>
              <c:tx>
                <c:rich>
                  <a:bodyPr/>
                  <a:lstStyle/>
                  <a:p>
                    <a:fld id="{BC9970BD-F628-4C15-9534-3E0216EBF8DD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212-42CE-B650-C309F408A4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Reportabilidad!$L$2:$L$4</c:f>
              <c:strCache>
                <c:ptCount val="3"/>
                <c:pt idx="0">
                  <c:v>Pipeline REDCO 2024</c:v>
                </c:pt>
                <c:pt idx="1">
                  <c:v>Iniciativas</c:v>
                </c:pt>
                <c:pt idx="2">
                  <c:v>Propuestas</c:v>
                </c:pt>
              </c:strCache>
            </c:strRef>
          </c:cat>
          <c:val>
            <c:numRef>
              <c:f>Reportabilidad!$P$2:$P$4</c:f>
              <c:numCache>
                <c:formatCode>#,##0.0</c:formatCode>
                <c:ptCount val="3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2-42CE-B650-C309F408A4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Ventas &amp; Ingresos 2024</a:t>
            </a:r>
          </a:p>
        </c:rich>
      </c:tx>
      <c:layout>
        <c:manualLayout>
          <c:xMode val="edge"/>
          <c:yMode val="edge"/>
          <c:x val="0.38056111529677178"/>
          <c:y val="1.4895922075170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1820204310976831"/>
          <c:y val="0.13451017633878565"/>
          <c:w val="0.86461560837098317"/>
          <c:h val="0.647123425420887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Reportabilidad!$X$3</c:f>
              <c:strCache>
                <c:ptCount val="1"/>
                <c:pt idx="0">
                  <c:v>Iniciativas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Reportabilidad!$Y$2:$AB$2</c:f>
              <c:strCache>
                <c:ptCount val="4"/>
                <c:pt idx="0">
                  <c:v>Venta Total Posible (&gt;10%)</c:v>
                </c:pt>
                <c:pt idx="1">
                  <c:v>Ingresos Totales Posibles (&gt;10%)</c:v>
                </c:pt>
                <c:pt idx="2">
                  <c:v>Proyección Venta</c:v>
                </c:pt>
                <c:pt idx="3">
                  <c:v>Proyección Ingreso</c:v>
                </c:pt>
              </c:strCache>
            </c:strRef>
          </c:cat>
          <c:val>
            <c:numRef>
              <c:f>Reportabilidad!$Y$3:$AB$3</c:f>
              <c:numCache>
                <c:formatCode>#,##0.0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9-4625-ACC3-AA30A057D0E0}"/>
            </c:ext>
          </c:extLst>
        </c:ser>
        <c:ser>
          <c:idx val="1"/>
          <c:order val="1"/>
          <c:tx>
            <c:strRef>
              <c:f>Reportabilidad!$X$4</c:f>
              <c:strCache>
                <c:ptCount val="1"/>
                <c:pt idx="0">
                  <c:v>Propuestas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Reportabilidad!$Y$2:$AB$2</c:f>
              <c:strCache>
                <c:ptCount val="4"/>
                <c:pt idx="0">
                  <c:v>Venta Total Posible (&gt;10%)</c:v>
                </c:pt>
                <c:pt idx="1">
                  <c:v>Ingresos Totales Posibles (&gt;10%)</c:v>
                </c:pt>
                <c:pt idx="2">
                  <c:v>Proyección Venta</c:v>
                </c:pt>
                <c:pt idx="3">
                  <c:v>Proyección Ingreso</c:v>
                </c:pt>
              </c:strCache>
            </c:strRef>
          </c:cat>
          <c:val>
            <c:numRef>
              <c:f>Reportabilidad!$Y$4:$AB$4</c:f>
              <c:numCache>
                <c:formatCode>#,##0.0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9-4625-ACC3-AA30A057D0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679656832"/>
        <c:axId val="772795903"/>
      </c:barChart>
      <c:lineChart>
        <c:grouping val="standard"/>
        <c:varyColors val="0"/>
        <c:ser>
          <c:idx val="2"/>
          <c:order val="2"/>
          <c:tx>
            <c:strRef>
              <c:f>Reportabilidad!$X$5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FA53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2.017171199484941E-2"/>
                  <c:y val="-0.148217508562043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86-4A40-96E6-DB4CAC48A342}"/>
                </c:ext>
              </c:extLst>
            </c:dLbl>
            <c:dLbl>
              <c:idx val="3"/>
              <c:layout>
                <c:manualLayout>
                  <c:x val="-3.0683162990855297E-2"/>
                  <c:y val="-0.113774857921406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86-4A40-96E6-DB4CAC48A3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Reportabilidad!$Y$2:$AB$2</c:f>
              <c:strCache>
                <c:ptCount val="4"/>
                <c:pt idx="0">
                  <c:v>Venta Total Posible (&gt;10%)</c:v>
                </c:pt>
                <c:pt idx="1">
                  <c:v>Ingresos Totales Posibles (&gt;10%)</c:v>
                </c:pt>
                <c:pt idx="2">
                  <c:v>Proyección Venta</c:v>
                </c:pt>
                <c:pt idx="3">
                  <c:v>Proyección Ingreso</c:v>
                </c:pt>
              </c:strCache>
            </c:strRef>
          </c:cat>
          <c:val>
            <c:numRef>
              <c:f>Reportabilidad!$Y$5:$AB$5</c:f>
              <c:numCache>
                <c:formatCode>#,##0.0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49-4625-ACC3-AA30A057D0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9652032"/>
        <c:axId val="772792431"/>
      </c:lineChart>
      <c:catAx>
        <c:axId val="67965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2795903"/>
        <c:crosses val="autoZero"/>
        <c:auto val="1"/>
        <c:lblAlgn val="ctr"/>
        <c:lblOffset val="100"/>
        <c:noMultiLvlLbl val="0"/>
      </c:catAx>
      <c:valAx>
        <c:axId val="772795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79656832"/>
        <c:crosses val="autoZero"/>
        <c:crossBetween val="between"/>
      </c:valAx>
      <c:valAx>
        <c:axId val="772792431"/>
        <c:scaling>
          <c:orientation val="minMax"/>
        </c:scaling>
        <c:delete val="1"/>
        <c:axPos val="r"/>
        <c:numFmt formatCode="#,##0.0" sourceLinked="1"/>
        <c:majorTickMark val="out"/>
        <c:minorTickMark val="none"/>
        <c:tickLblPos val="nextTo"/>
        <c:crossAx val="679652032"/>
        <c:crosses val="max"/>
        <c:crossBetween val="between"/>
      </c:valAx>
      <c:catAx>
        <c:axId val="679652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2792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200" b="1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Ingresos REDCO (&gt;10%)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tx2">
                <a:lumMod val="90000"/>
                <a:lumOff val="10000"/>
              </a:schemeClr>
            </a:solidFill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21-46C2-8370-069CB13D1D8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150E3DA-2D6A-4813-96C3-5ACA379ED807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4633242754952268"/>
                      <c:h val="0.1164143814954743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421-46C2-8370-069CB13D1D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Reportabilidad!$U$3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Reportabilidad!$V$3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1-46C2-8370-069CB13D1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Ingresos por País 2024 (&gt;10%)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70-47CA-B3CC-512DECC0D137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970-47CA-B3CC-512DECC0D137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70-47CA-B3CC-512DECC0D137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970-47CA-B3CC-512DECC0D137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70-47CA-B3CC-512DECC0D1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Reportabilidad!$R$28:$R$32</c:f>
              <c:strCache>
                <c:ptCount val="5"/>
                <c:pt idx="0">
                  <c:v>Chile</c:v>
                </c:pt>
                <c:pt idx="1">
                  <c:v>EEUU</c:v>
                </c:pt>
                <c:pt idx="2">
                  <c:v>Brasil</c:v>
                </c:pt>
                <c:pt idx="3">
                  <c:v>Perú</c:v>
                </c:pt>
                <c:pt idx="4">
                  <c:v>Rusia</c:v>
                </c:pt>
              </c:strCache>
            </c:strRef>
          </c:cat>
          <c:val>
            <c:numRef>
              <c:f>Reportabilidad!$S$28:$S$32</c:f>
              <c:numCache>
                <c:formatCode>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7CA-B3CC-512DECC0D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293359"/>
        <c:axId val="538079407"/>
      </c:barChart>
      <c:catAx>
        <c:axId val="5242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8079407"/>
        <c:crosses val="autoZero"/>
        <c:auto val="1"/>
        <c:lblAlgn val="ctr"/>
        <c:lblOffset val="100"/>
        <c:noMultiLvlLbl val="0"/>
      </c:catAx>
      <c:valAx>
        <c:axId val="538079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429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Ventas 2024</a:t>
            </a:r>
          </a:p>
        </c:rich>
      </c:tx>
      <c:layout>
        <c:manualLayout>
          <c:xMode val="edge"/>
          <c:yMode val="edge"/>
          <c:x val="0.45593683075568658"/>
          <c:y val="6.2302186470571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3285836049465757"/>
          <c:y val="0.13451002715590851"/>
          <c:w val="0.86461560837098317"/>
          <c:h val="0.647123425420887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Reportabilidad!$X$3</c:f>
              <c:strCache>
                <c:ptCount val="1"/>
                <c:pt idx="0">
                  <c:v>Iniciativas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Reportabilidad!$Y$2:$AB$2</c15:sqref>
                  </c15:fullRef>
                </c:ext>
              </c:extLst>
              <c:f>(Reportabilidad!$Y$2,Reportabilidad!$AA$2)</c:f>
              <c:strCache>
                <c:ptCount val="2"/>
                <c:pt idx="0">
                  <c:v>Venta Total Posible (&gt;10%)</c:v>
                </c:pt>
                <c:pt idx="1">
                  <c:v>Proyección Venta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Reportabilidad!$Y$3:$AB$3</c15:sqref>
                  </c15:fullRef>
                </c:ext>
              </c:extLst>
              <c:f>(Reportabilidad!$Y$3,Reportabilidad!$AA$3)</c:f>
              <c:numCache>
                <c:formatCode>#,##0.0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5-4A38-8AB5-94884F384F18}"/>
            </c:ext>
          </c:extLst>
        </c:ser>
        <c:ser>
          <c:idx val="1"/>
          <c:order val="1"/>
          <c:tx>
            <c:strRef>
              <c:f>Reportabilidad!$X$4</c:f>
              <c:strCache>
                <c:ptCount val="1"/>
                <c:pt idx="0">
                  <c:v>Propuestas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Reportabilidad!$Y$2:$AB$2</c15:sqref>
                  </c15:fullRef>
                </c:ext>
              </c:extLst>
              <c:f>(Reportabilidad!$Y$2,Reportabilidad!$AA$2)</c:f>
              <c:strCache>
                <c:ptCount val="2"/>
                <c:pt idx="0">
                  <c:v>Venta Total Posible (&gt;10%)</c:v>
                </c:pt>
                <c:pt idx="1">
                  <c:v>Proyección Venta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Reportabilidad!$Y$4:$AB$4</c15:sqref>
                  </c15:fullRef>
                </c:ext>
              </c:extLst>
              <c:f>(Reportabilidad!$Y$4,Reportabilidad!$AA$4)</c:f>
              <c:numCache>
                <c:formatCode>#,##0.0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5-4A38-8AB5-94884F384F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679656832"/>
        <c:axId val="772795903"/>
      </c:barChart>
      <c:lineChart>
        <c:grouping val="standard"/>
        <c:varyColors val="0"/>
        <c:ser>
          <c:idx val="2"/>
          <c:order val="2"/>
          <c:tx>
            <c:strRef>
              <c:f>Reportabilidad!$X$5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FA53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0693945044274198E-2"/>
                  <c:y val="-7.11092862008790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55-4A38-8AB5-94884F384F18}"/>
                </c:ext>
              </c:extLst>
            </c:dLbl>
            <c:dLbl>
              <c:idx val="1"/>
              <c:layout>
                <c:manualLayout>
                  <c:x val="2.017171199484941E-2"/>
                  <c:y val="-0.148217508562043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55-4A38-8AB5-94884F384F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Reportabilidad!$Y$2:$AB$2</c15:sqref>
                  </c15:fullRef>
                </c:ext>
              </c:extLst>
              <c:f>(Reportabilidad!$Y$2,Reportabilidad!$AA$2)</c:f>
              <c:strCache>
                <c:ptCount val="2"/>
                <c:pt idx="0">
                  <c:v>Venta Total Posible (&gt;10%)</c:v>
                </c:pt>
                <c:pt idx="1">
                  <c:v>Proyección Venta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Reportabilidad!$Y$5:$AB$5</c15:sqref>
                  </c15:fullRef>
                </c:ext>
              </c:extLst>
              <c:f>(Reportabilidad!$Y$5,Reportabilidad!$AA$5)</c:f>
              <c:numCache>
                <c:formatCode>#,##0.0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Reportabilidad!$AB$5</c15:sqref>
                  <c15:dLbl>
                    <c:idx val="1"/>
                    <c:layout>
                      <c:manualLayout>
                        <c:x val="-3.0683162990855297E-2"/>
                        <c:y val="-0.11377485792140651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01FF-EA40-9AE5-229C2D98ACBC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C355-4A38-8AB5-94884F384F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9652032"/>
        <c:axId val="772792431"/>
      </c:lineChart>
      <c:catAx>
        <c:axId val="67965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2795903"/>
        <c:crosses val="autoZero"/>
        <c:auto val="1"/>
        <c:lblAlgn val="ctr"/>
        <c:lblOffset val="100"/>
        <c:noMultiLvlLbl val="0"/>
      </c:catAx>
      <c:valAx>
        <c:axId val="772795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79656832"/>
        <c:crosses val="autoZero"/>
        <c:crossBetween val="between"/>
      </c:valAx>
      <c:valAx>
        <c:axId val="772792431"/>
        <c:scaling>
          <c:orientation val="minMax"/>
        </c:scaling>
        <c:delete val="1"/>
        <c:axPos val="r"/>
        <c:numFmt formatCode="#,##0.0" sourceLinked="1"/>
        <c:majorTickMark val="out"/>
        <c:minorTickMark val="none"/>
        <c:tickLblPos val="nextTo"/>
        <c:crossAx val="679652032"/>
        <c:crosses val="max"/>
        <c:crossBetween val="between"/>
      </c:valAx>
      <c:catAx>
        <c:axId val="679652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2792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Ingresos 2024</a:t>
            </a:r>
          </a:p>
        </c:rich>
      </c:tx>
      <c:layout>
        <c:manualLayout>
          <c:xMode val="edge"/>
          <c:yMode val="edge"/>
          <c:x val="0.45593683075568658"/>
          <c:y val="6.2302186470571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2867081793916851"/>
          <c:y val="0.13451002715590851"/>
          <c:w val="0.86461560837098317"/>
          <c:h val="0.6471234254208879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Reportabilidad!$X$4</c:f>
              <c:strCache>
                <c:ptCount val="1"/>
                <c:pt idx="0">
                  <c:v>Propuestas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Reportabilidad!$Y$2:$AB$2</c15:sqref>
                  </c15:fullRef>
                </c:ext>
              </c:extLst>
              <c:f>(Reportabilidad!$Z$2,Reportabilidad!$AB$2)</c:f>
              <c:strCache>
                <c:ptCount val="2"/>
                <c:pt idx="0">
                  <c:v>Ingresos Totales Posibles (&gt;10%)</c:v>
                </c:pt>
                <c:pt idx="1">
                  <c:v>Proyección Ingreso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Reportabilidad!$Y$4:$AB$4</c15:sqref>
                  </c15:fullRef>
                </c:ext>
              </c:extLst>
              <c:f>(Reportabilidad!$Z$4,Reportabilidad!$AB$4)</c:f>
              <c:numCache>
                <c:formatCode>#,##0.0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F-41A9-8FAD-FB2C7A39CD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679656832"/>
        <c:axId val="7727959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Reportabilidad!$X$3</c15:sqref>
                        </c15:formulaRef>
                      </c:ext>
                    </c:extLst>
                    <c:strCache>
                      <c:ptCount val="1"/>
                      <c:pt idx="0">
                        <c:v>Iniciativas</c:v>
                      </c:pt>
                    </c:strCache>
                  </c:strRef>
                </c:tx>
                <c:spPr>
                  <a:solidFill>
                    <a:srgbClr val="00206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Reportabilidad!$Y$2:$AB$2</c15:sqref>
                        </c15:fullRef>
                        <c15:formulaRef>
                          <c15:sqref>(Reportabilidad!$Z$2,Reportabilidad!$AB$2)</c15:sqref>
                        </c15:formulaRef>
                      </c:ext>
                    </c:extLst>
                    <c:strCache>
                      <c:ptCount val="2"/>
                      <c:pt idx="0">
                        <c:v>Ingresos Totales Posibles (&gt;10%)</c:v>
                      </c:pt>
                      <c:pt idx="1">
                        <c:v>Proyección Ingreso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Reportabilidad!$Y$3:$AB$3</c15:sqref>
                        </c15:fullRef>
                        <c15:formulaRef>
                          <c15:sqref>(Reportabilidad!$Z$3,Reportabilidad!$AB$3)</c15:sqref>
                        </c15:formulaRef>
                      </c:ext>
                    </c:extLst>
                    <c:numCache>
                      <c:formatCode>#,##0.0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56F-41A9-8FAD-FB2C7A39CD8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9652032"/>
        <c:axId val="7727924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Reportabilidad!$X$5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rgbClr val="EFA539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9.0576545475228379E-2"/>
                        <c:y val="-0.11377485792140651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656F-41A9-8FAD-FB2C7A39CD82}"/>
                      </c:ext>
                    </c:extLst>
                  </c:dLbl>
                  <c:dLbl>
                    <c:idx val="1"/>
                    <c:layout>
                      <c:manualLayout>
                        <c:x val="-3.0683162990855297E-2"/>
                        <c:y val="-0.11377485792140651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56F-41A9-8FAD-FB2C7A39CD8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Reportabilidad!$Y$2:$AB$2</c15:sqref>
                        </c15:fullRef>
                        <c15:formulaRef>
                          <c15:sqref>(Reportabilidad!$Z$2,Reportabilidad!$AB$2)</c15:sqref>
                        </c15:formulaRef>
                      </c:ext>
                    </c:extLst>
                    <c:strCache>
                      <c:ptCount val="2"/>
                      <c:pt idx="0">
                        <c:v>Ingresos Totales Posibles (&gt;10%)</c:v>
                      </c:pt>
                      <c:pt idx="1">
                        <c:v>Proyección Ingreso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Reportabilidad!$Y$5:$AB$5</c15:sqref>
                        </c15:fullRef>
                        <c15:formulaRef>
                          <c15:sqref>(Reportabilidad!$Z$5,Reportabilidad!$AB$5)</c15:sqref>
                        </c15:formulaRef>
                      </c:ext>
                    </c:extLst>
                    <c:numCache>
                      <c:formatCode>#,##0.0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Reportabilidad!$Y$5</c15:sqref>
                        <c15:dLbl>
                          <c:idx val="-1"/>
                          <c:layout>
                            <c:manualLayout>
                              <c:x val="-8.0693945044274198E-2"/>
                              <c:y val="-7.1109286200879071E-2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0-5E67-9146-9310-68882C1FCEB1}"/>
                            </c:ext>
                          </c:extLst>
                        </c15:dLbl>
                      </c15:categoryFilterException>
                      <c15:categoryFilterException>
                        <c15:sqref>Reportabilidad!$AA$5</c15:sqref>
                        <c15:dLbl>
                          <c:idx val="0"/>
                          <c:layout>
                            <c:manualLayout>
                              <c:x val="2.017171199484941E-2"/>
                              <c:y val="-0.14821750856204333"/>
                            </c:manualLayout>
                          </c:layout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1-5E67-9146-9310-68882C1FCEB1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4-656F-41A9-8FAD-FB2C7A39CD82}"/>
                  </c:ext>
                </c:extLst>
              </c15:ser>
            </c15:filteredLineSeries>
          </c:ext>
        </c:extLst>
      </c:lineChart>
      <c:catAx>
        <c:axId val="67965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2795903"/>
        <c:crosses val="autoZero"/>
        <c:auto val="1"/>
        <c:lblAlgn val="ctr"/>
        <c:lblOffset val="100"/>
        <c:noMultiLvlLbl val="0"/>
      </c:catAx>
      <c:valAx>
        <c:axId val="772795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79656832"/>
        <c:crosses val="autoZero"/>
        <c:crossBetween val="between"/>
      </c:valAx>
      <c:valAx>
        <c:axId val="772792431"/>
        <c:scaling>
          <c:orientation val="minMax"/>
        </c:scaling>
        <c:delete val="1"/>
        <c:axPos val="r"/>
        <c:numFmt formatCode="#,##0.0" sourceLinked="1"/>
        <c:majorTickMark val="out"/>
        <c:minorTickMark val="none"/>
        <c:tickLblPos val="nextTo"/>
        <c:crossAx val="679652032"/>
        <c:crosses val="max"/>
        <c:crossBetween val="between"/>
      </c:valAx>
      <c:catAx>
        <c:axId val="679652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2792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Gen N°'!$X$3</c:f>
              <c:strCache>
                <c:ptCount val="1"/>
                <c:pt idx="0">
                  <c:v>Tasa Adjudicación [%]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'Resumen Gen N°'!$I$4:$I$7</c:f>
              <c:strCache>
                <c:ptCount val="4"/>
                <c:pt idx="0">
                  <c:v>Brasil</c:v>
                </c:pt>
                <c:pt idx="1">
                  <c:v>Chile</c:v>
                </c:pt>
                <c:pt idx="2">
                  <c:v>EEUU</c:v>
                </c:pt>
                <c:pt idx="3">
                  <c:v>Perú</c:v>
                </c:pt>
              </c:strCache>
            </c:strRef>
          </c:cat>
          <c:val>
            <c:numRef>
              <c:f>'Resumen Gen N°'!$X$4:$X$7</c:f>
              <c:numCache>
                <c:formatCode>0%</c:formatCode>
                <c:ptCount val="4"/>
                <c:pt idx="0">
                  <c:v>0.9</c:v>
                </c:pt>
                <c:pt idx="1">
                  <c:v>0.61538461538461542</c:v>
                </c:pt>
                <c:pt idx="2">
                  <c:v>0.35294117647058826</c:v>
                </c:pt>
                <c:pt idx="3">
                  <c:v>0.41935483870967744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E-4EE9-8CB4-B415ACEE4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287055"/>
        <c:axId val="576298575"/>
      </c:barChart>
      <c:catAx>
        <c:axId val="576287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6298575"/>
        <c:crosses val="autoZero"/>
        <c:auto val="1"/>
        <c:lblAlgn val="ctr"/>
        <c:lblOffset val="100"/>
        <c:noMultiLvlLbl val="0"/>
      </c:catAx>
      <c:valAx>
        <c:axId val="57629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628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'Resumen Gen N°'!$Y$3</c:f>
              <c:strCache>
                <c:ptCount val="1"/>
                <c:pt idx="0">
                  <c:v>Propuestas Construidas [%]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7-483F-B52E-190CC4503013}"/>
              </c:ext>
            </c:extLst>
          </c:dPt>
          <c:dPt>
            <c:idx val="1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52-4B76-AAE8-3561FF8892CA}"/>
              </c:ext>
            </c:extLst>
          </c:dPt>
          <c:dPt>
            <c:idx val="2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52-4B76-AAE8-3561FF8892CA}"/>
              </c:ext>
            </c:extLst>
          </c:dPt>
          <c:dPt>
            <c:idx val="3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52-4B76-AAE8-3561FF8892CA}"/>
              </c:ext>
            </c:extLst>
          </c:dPt>
          <c:dLbls>
            <c:dLbl>
              <c:idx val="0"/>
              <c:layout>
                <c:manualLayout>
                  <c:x val="7.4537074993905647E-2"/>
                  <c:y val="6.80065350460860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57-483F-B52E-190CC450301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'Resumen Gen N°'!$I$4:$I$7</c:f>
              <c:strCache>
                <c:ptCount val="4"/>
                <c:pt idx="0">
                  <c:v>Brasil</c:v>
                </c:pt>
                <c:pt idx="1">
                  <c:v>Chile</c:v>
                </c:pt>
                <c:pt idx="2">
                  <c:v>EEUU</c:v>
                </c:pt>
                <c:pt idx="3">
                  <c:v>Perú</c:v>
                </c:pt>
              </c:strCache>
            </c:strRef>
          </c:cat>
          <c:val>
            <c:numRef>
              <c:f>'Resumen Gen N°'!$Y$4:$Y$7</c:f>
              <c:numCache>
                <c:formatCode>0%</c:formatCode>
                <c:ptCount val="4"/>
                <c:pt idx="0">
                  <c:v>9.5238095238095233E-2</c:v>
                </c:pt>
                <c:pt idx="1">
                  <c:v>0.47619047619047616</c:v>
                </c:pt>
                <c:pt idx="2">
                  <c:v>0.15079365079365079</c:v>
                </c:pt>
                <c:pt idx="3">
                  <c:v>0.27777777777777779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7-483F-B52E-190CC4503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'Resumen Gen N°'!$S$3</c:f>
              <c:strCache>
                <c:ptCount val="1"/>
                <c:pt idx="0">
                  <c:v>Total Construidas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'Resumen Gen N°'!$R$4:$R$7</c:f>
              <c:strCache>
                <c:ptCount val="4"/>
                <c:pt idx="0">
                  <c:v>Brasil</c:v>
                </c:pt>
                <c:pt idx="1">
                  <c:v>Chile</c:v>
                </c:pt>
                <c:pt idx="2">
                  <c:v>EEUU</c:v>
                </c:pt>
                <c:pt idx="3">
                  <c:v>Perú</c:v>
                </c:pt>
              </c:strCache>
            </c:strRef>
          </c:cat>
          <c:val>
            <c:numRef>
              <c:f>'Resumen Gen N°'!$S$4:$S$7</c:f>
              <c:numCache>
                <c:formatCode>#,##0</c:formatCode>
                <c:ptCount val="4"/>
                <c:pt idx="0">
                  <c:v>12</c:v>
                </c:pt>
                <c:pt idx="1">
                  <c:v>60</c:v>
                </c:pt>
                <c:pt idx="2">
                  <c:v>19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9-4B4D-BD5E-FE8F04FC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6277455"/>
        <c:axId val="576285615"/>
        <c:axId val="0"/>
      </c:bar3DChart>
      <c:catAx>
        <c:axId val="57627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6285615"/>
        <c:crosses val="autoZero"/>
        <c:auto val="1"/>
        <c:lblAlgn val="ctr"/>
        <c:lblOffset val="100"/>
        <c:noMultiLvlLbl val="0"/>
      </c:catAx>
      <c:valAx>
        <c:axId val="57628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7627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Gen Monto'!$O$5</c:f>
              <c:strCache>
                <c:ptCount val="1"/>
                <c:pt idx="0">
                  <c:v>Tasa Adjudicación [%]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'Resumen Gen Monto'!$I$6:$I$9</c:f>
              <c:strCache>
                <c:ptCount val="4"/>
                <c:pt idx="0">
                  <c:v>Brasil</c:v>
                </c:pt>
                <c:pt idx="1">
                  <c:v>Chile</c:v>
                </c:pt>
                <c:pt idx="2">
                  <c:v>EEUU</c:v>
                </c:pt>
                <c:pt idx="3">
                  <c:v>Perú</c:v>
                </c:pt>
              </c:strCache>
            </c:strRef>
          </c:cat>
          <c:val>
            <c:numRef>
              <c:f>'Resumen Gen Monto'!$O$6:$O$9</c:f>
              <c:numCache>
                <c:formatCode>0%</c:formatCode>
                <c:ptCount val="4"/>
                <c:pt idx="0">
                  <c:v>0.92513444297431224</c:v>
                </c:pt>
                <c:pt idx="1">
                  <c:v>0.56228899767073737</c:v>
                </c:pt>
                <c:pt idx="2">
                  <c:v>0.2136911577403543</c:v>
                </c:pt>
                <c:pt idx="3">
                  <c:v>0.28591398478843949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B-4B34-B037-BCC67274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551215"/>
        <c:axId val="1525552655"/>
      </c:barChart>
      <c:catAx>
        <c:axId val="1525551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5552655"/>
        <c:crosses val="autoZero"/>
        <c:auto val="1"/>
        <c:lblAlgn val="ctr"/>
        <c:lblOffset val="100"/>
        <c:noMultiLvlLbl val="0"/>
      </c:catAx>
      <c:valAx>
        <c:axId val="152555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2555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'Resumen Gen Monto'!$P$5</c:f>
              <c:strCache>
                <c:ptCount val="1"/>
                <c:pt idx="0">
                  <c:v>Propuestas Construidas [%]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55-496F-A959-E0B541261DED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55-496F-A959-E0B541261DED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55-496F-A959-E0B541261DED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55-496F-A959-E0B541261DE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'Resumen Gen Monto'!$I$6:$I$9</c:f>
              <c:strCache>
                <c:ptCount val="4"/>
                <c:pt idx="0">
                  <c:v>Brasil</c:v>
                </c:pt>
                <c:pt idx="1">
                  <c:v>Chile</c:v>
                </c:pt>
                <c:pt idx="2">
                  <c:v>EEUU</c:v>
                </c:pt>
                <c:pt idx="3">
                  <c:v>Perú</c:v>
                </c:pt>
              </c:strCache>
            </c:strRef>
          </c:cat>
          <c:val>
            <c:numRef>
              <c:f>'Resumen Gen Monto'!$P$6:$P$9</c:f>
              <c:numCache>
                <c:formatCode>0%</c:formatCode>
                <c:ptCount val="4"/>
                <c:pt idx="0">
                  <c:v>0.10894067293750274</c:v>
                </c:pt>
                <c:pt idx="1">
                  <c:v>0.37166472812191009</c:v>
                </c:pt>
                <c:pt idx="2">
                  <c:v>0.30508527722127421</c:v>
                </c:pt>
                <c:pt idx="3">
                  <c:v>0.21430932171931297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8-4A90-9E56-01F3235D9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'Resumen Gen Monto'!$K$5</c:f>
              <c:strCache>
                <c:ptCount val="1"/>
                <c:pt idx="0">
                  <c:v>Adjudicadas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'Resumen Gen Monto'!$I$6:$I$9</c:f>
              <c:strCache>
                <c:ptCount val="4"/>
                <c:pt idx="0">
                  <c:v>Brasil</c:v>
                </c:pt>
                <c:pt idx="1">
                  <c:v>Chile</c:v>
                </c:pt>
                <c:pt idx="2">
                  <c:v>EEUU</c:v>
                </c:pt>
                <c:pt idx="3">
                  <c:v>Perú</c:v>
                </c:pt>
              </c:strCache>
            </c:strRef>
          </c:cat>
          <c:val>
            <c:numRef>
              <c:f>'Resumen Gen Monto'!$K$17:$K$20</c:f>
              <c:numCache>
                <c:formatCode>#,##0.0</c:formatCode>
                <c:ptCount val="4"/>
                <c:pt idx="0">
                  <c:v>1.2480850000000001</c:v>
                </c:pt>
                <c:pt idx="1">
                  <c:v>4.7614159999999996</c:v>
                </c:pt>
                <c:pt idx="2">
                  <c:v>1.661</c:v>
                </c:pt>
                <c:pt idx="3">
                  <c:v>1.2456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A-4862-8B9F-1A3CDE0B1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0814783"/>
        <c:axId val="1530813823"/>
        <c:axId val="0"/>
      </c:bar3DChart>
      <c:catAx>
        <c:axId val="153081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30813823"/>
        <c:crosses val="autoZero"/>
        <c:auto val="1"/>
        <c:lblAlgn val="ctr"/>
        <c:lblOffset val="100"/>
        <c:noMultiLvlLbl val="0"/>
      </c:catAx>
      <c:valAx>
        <c:axId val="153081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3081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[REDCO_Pipeline_2024.xlsx]Charts New!TablaDinámica7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735536381015572E-2"/>
              <c:y val="1.88862469077560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875534695009701E-2"/>
              <c:y val="-2.70167594586809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'Charts New'!$B$6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C5-4916-8A4A-354F0039A2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C5-4916-8A4A-354F0039A2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CC5-4916-8A4A-354F0039A2D1}"/>
              </c:ext>
            </c:extLst>
          </c:dPt>
          <c:dLbls>
            <c:dLbl>
              <c:idx val="0"/>
              <c:layout>
                <c:manualLayout>
                  <c:x val="6.4875534695009701E-2"/>
                  <c:y val="-2.7016759458680984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C5-4916-8A4A-354F0039A2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'Charts New'!$A$7:$A$9</c:f>
              <c:strCache>
                <c:ptCount val="2"/>
                <c:pt idx="0">
                  <c:v>En Construccion (Word)</c:v>
                </c:pt>
                <c:pt idx="1">
                  <c:v>Enviada / Seguimiento</c:v>
                </c:pt>
              </c:strCache>
            </c:strRef>
          </c:cat>
          <c:val>
            <c:numRef>
              <c:f>'Charts New'!$B$7:$B$9</c:f>
              <c:numCache>
                <c:formatCode>#,##0,\K</c:formatCode>
                <c:ptCount val="2"/>
                <c:pt idx="0">
                  <c:v>501283</c:v>
                </c:pt>
                <c:pt idx="1">
                  <c:v>4801193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5-4916-8A4A-354F0039A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[REDCO_Pipeline_2024.xlsx]Charts New!TablaDinámica8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3.4539412721731583E-2"/>
              <c:y val="7.52426354891508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9.4816019312270721E-3"/>
              <c:y val="-2.79348862173421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'Charts New'!$B$46</c:f>
              <c:strCache>
                <c:ptCount val="1"/>
                <c:pt idx="0">
                  <c:v>Proyección 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C88-41AF-B079-A62A246B35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88-41AF-B079-A62A246B35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'Charts New'!$A$47:$A$49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New'!$B$47:$B$49</c:f>
              <c:numCache>
                <c:formatCode>#,##0,\K</c:formatCode>
                <c:ptCount val="2"/>
                <c:pt idx="0">
                  <c:v>8548297.6190476194</c:v>
                </c:pt>
                <c:pt idx="1">
                  <c:v>5302476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8-41AF-B079-A62A246B35C3}"/>
            </c:ext>
          </c:extLst>
        </c:ser>
        <c:ser>
          <c:idx val="1"/>
          <c:order val="1"/>
          <c:tx>
            <c:strRef>
              <c:f>'Charts New'!$C$46</c:f>
              <c:strCache>
                <c:ptCount val="1"/>
                <c:pt idx="0">
                  <c:v>Nro de Oportunidades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44-48B0-9B2C-0D04F30A73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44-48B0-9B2C-0D04F30A7362}"/>
              </c:ext>
            </c:extLst>
          </c:dPt>
          <c:cat>
            <c:strRef>
              <c:f>'Charts New'!$A$47:$A$49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New'!$C$47:$C$49</c:f>
              <c:numCache>
                <c:formatCode>General</c:formatCode>
                <c:ptCount val="2"/>
                <c:pt idx="0">
                  <c:v>67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8B-4850-A2D2-6B02B9884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[REDCO_Pipeline_2024.xlsx]Charts New!TablaDinámica9</c:name>
    <c:fmtId val="6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810853733358272E-2"/>
              <c:y val="5.61017194899634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'Charts New'!$B$65</c:f>
              <c:strCache>
                <c:ptCount val="1"/>
                <c:pt idx="0">
                  <c:v>Proyeccion Ingreso 2024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522-41AF-95E3-444128D948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22-41AF-95E3-444128D94841}"/>
              </c:ext>
            </c:extLst>
          </c:dPt>
          <c:dLbls>
            <c:dLbl>
              <c:idx val="0"/>
              <c:layout>
                <c:manualLayout>
                  <c:x val="-7.2810853733358272E-2"/>
                  <c:y val="5.610171948996343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22-41AF-95E3-444128D94841}"/>
                </c:ext>
              </c:extLst>
            </c:dLbl>
            <c:dLbl>
              <c:idx val="1"/>
              <c:layout>
                <c:manualLayout>
                  <c:x val="-7.2810853733358272E-2"/>
                  <c:y val="5.610171948996343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22-41AF-95E3-444128D948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'Charts New'!$A$66:$A$68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New'!$B$66:$B$68</c:f>
              <c:numCache>
                <c:formatCode>#,##0</c:formatCode>
                <c:ptCount val="2"/>
                <c:pt idx="0">
                  <c:v>573333.33333333326</c:v>
                </c:pt>
                <c:pt idx="1">
                  <c:v>839238.39999999991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2-41AF-95E3-444128D94841}"/>
            </c:ext>
          </c:extLst>
        </c:ser>
        <c:ser>
          <c:idx val="1"/>
          <c:order val="1"/>
          <c:tx>
            <c:strRef>
              <c:f>'Charts New'!$C$65</c:f>
              <c:strCache>
                <c:ptCount val="1"/>
                <c:pt idx="0">
                  <c:v>Nro de Oportunidades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2D-439A-8813-0F401AA171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2D-439A-8813-0F401AA17150}"/>
              </c:ext>
            </c:extLst>
          </c:dPt>
          <c:cat>
            <c:strRef>
              <c:f>'Charts New'!$A$66:$A$68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New'!$C$66:$C$68</c:f>
              <c:numCache>
                <c:formatCode>General</c:formatCode>
                <c:ptCount val="2"/>
                <c:pt idx="0">
                  <c:v>6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2-41AF-95E3-444128D94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[REDCO_Pipeline_2024.xlsx]Charts New!TablaDinámica10</c:name>
    <c:fmtId val="6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265599974185189E-2"/>
              <c:y val="8.93820710843490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'Charts New'!$B$83</c:f>
              <c:strCache>
                <c:ptCount val="1"/>
                <c:pt idx="0">
                  <c:v>Proyeccion Ingreso 2024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4-D05A-495E-B1A1-9019A30E82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5A-495E-B1A1-9019A30E828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5A-495E-B1A1-9019A30E8287}"/>
                </c:ext>
              </c:extLst>
            </c:dLbl>
            <c:dLbl>
              <c:idx val="1"/>
              <c:layout>
                <c:manualLayout>
                  <c:x val="-2.3265599974185189E-2"/>
                  <c:y val="8.938207108434906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5A-495E-B1A1-9019A30E82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'Charts New'!$A$84:$A$86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New'!$B$84:$B$86</c:f>
              <c:numCache>
                <c:formatCode>#,##0</c:formatCode>
                <c:ptCount val="2"/>
                <c:pt idx="0">
                  <c:v>4519250</c:v>
                </c:pt>
                <c:pt idx="1">
                  <c:v>1463495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A-495E-B1A1-9019A30E8287}"/>
            </c:ext>
          </c:extLst>
        </c:ser>
        <c:ser>
          <c:idx val="1"/>
          <c:order val="1"/>
          <c:tx>
            <c:strRef>
              <c:f>'Charts New'!$C$83</c:f>
              <c:strCache>
                <c:ptCount val="1"/>
                <c:pt idx="0">
                  <c:v>Nro de Oportunidades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3B-4EEE-85D2-F10A9E0F12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3B-4EEE-85D2-F10A9E0F1264}"/>
              </c:ext>
            </c:extLst>
          </c:dPt>
          <c:cat>
            <c:strRef>
              <c:f>'Charts New'!$A$84:$A$86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New'!$C$84:$C$86</c:f>
              <c:numCache>
                <c:formatCode>General</c:formatCode>
                <c:ptCount val="2"/>
                <c:pt idx="0">
                  <c:v>39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A-495E-B1A1-9019A30E8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[REDCO_Pipeline_2024.xlsx]Charts New!TablaDinámica11</c:name>
    <c:fmtId val="6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220909886264217E-2"/>
              <c:y val="7.54057305336832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'Charts New'!$B$100</c:f>
              <c:strCache>
                <c:ptCount val="1"/>
                <c:pt idx="0">
                  <c:v>Proyeccion Ingreso 2024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051-4E3F-8FCE-6A14F4D979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51-4E3F-8FCE-6A14F4D97993}"/>
              </c:ext>
            </c:extLst>
          </c:dPt>
          <c:dLbls>
            <c:dLbl>
              <c:idx val="0"/>
              <c:layout>
                <c:manualLayout>
                  <c:x val="-4.3220909886264217E-2"/>
                  <c:y val="7.540573053368329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51-4E3F-8FCE-6A14F4D97993}"/>
                </c:ext>
              </c:extLst>
            </c:dLbl>
            <c:dLbl>
              <c:idx val="1"/>
              <c:layout>
                <c:manualLayout>
                  <c:x val="-4.3220909886264217E-2"/>
                  <c:y val="7.540573053368329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51-4E3F-8FCE-6A14F4D979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'Charts New'!$A$101:$A$103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New'!$B$101:$B$103</c:f>
              <c:numCache>
                <c:formatCode>#,##0</c:formatCode>
                <c:ptCount val="2"/>
                <c:pt idx="0">
                  <c:v>825000</c:v>
                </c:pt>
                <c:pt idx="1">
                  <c:v>187620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1-4E3F-8FCE-6A14F4D97993}"/>
            </c:ext>
          </c:extLst>
        </c:ser>
        <c:ser>
          <c:idx val="1"/>
          <c:order val="1"/>
          <c:tx>
            <c:strRef>
              <c:f>'Charts New'!$C$100</c:f>
              <c:strCache>
                <c:ptCount val="1"/>
                <c:pt idx="0">
                  <c:v>Nro de Oportunidades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97-4BA9-A0FF-2797D93790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97-4BA9-A0FF-2797D937909E}"/>
              </c:ext>
            </c:extLst>
          </c:dPt>
          <c:cat>
            <c:strRef>
              <c:f>'Charts New'!$A$101:$A$103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New'!$C$101:$C$103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1-4E3F-8FCE-6A14F4D97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[REDCO_Pipeline_2024.xlsx]Charts New!TablaDinámica12</c:name>
    <c:fmtId val="6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249781277340303E-2"/>
              <c:y val="0.120430883639545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'Charts New'!$B$119</c:f>
              <c:strCache>
                <c:ptCount val="1"/>
                <c:pt idx="0">
                  <c:v>Proyeccion Ingreso 2024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577-4BA6-B8EB-5997777877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77-4BA6-B8EB-59977778773F}"/>
              </c:ext>
            </c:extLst>
          </c:dPt>
          <c:dLbls>
            <c:dLbl>
              <c:idx val="0"/>
              <c:layout>
                <c:manualLayout>
                  <c:x val="-7.2249781277340303E-2"/>
                  <c:y val="0.1204308836395450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77-4BA6-B8EB-59977778773F}"/>
                </c:ext>
              </c:extLst>
            </c:dLbl>
            <c:dLbl>
              <c:idx val="1"/>
              <c:layout>
                <c:manualLayout>
                  <c:x val="-7.2249781277340303E-2"/>
                  <c:y val="0.1204308836395450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77-4BA6-B8EB-5997777877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'Charts New'!$A$120:$A$122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New'!$B$120:$B$122</c:f>
              <c:numCache>
                <c:formatCode>#,##0</c:formatCode>
                <c:ptCount val="2"/>
                <c:pt idx="0">
                  <c:v>2630714.2857142859</c:v>
                </c:pt>
                <c:pt idx="1">
                  <c:v>712283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7-4BA6-B8EB-59977778773F}"/>
            </c:ext>
          </c:extLst>
        </c:ser>
        <c:ser>
          <c:idx val="1"/>
          <c:order val="1"/>
          <c:tx>
            <c:strRef>
              <c:f>'Charts New'!$C$119</c:f>
              <c:strCache>
                <c:ptCount val="1"/>
                <c:pt idx="0">
                  <c:v>Nro de Oportunidades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26-4830-9223-1379278949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26-4830-9223-1379278949A7}"/>
              </c:ext>
            </c:extLst>
          </c:dPt>
          <c:cat>
            <c:strRef>
              <c:f>'Charts New'!$A$120:$A$122</c:f>
              <c:strCache>
                <c:ptCount val="2"/>
                <c:pt idx="0">
                  <c:v>Iniciativa</c:v>
                </c:pt>
                <c:pt idx="1">
                  <c:v>Propuesta</c:v>
                </c:pt>
              </c:strCache>
            </c:strRef>
          </c:cat>
          <c:val>
            <c:numRef>
              <c:f>'Charts New'!$C$120:$C$122</c:f>
              <c:numCache>
                <c:formatCode>General</c:formatCode>
                <c:ptCount val="2"/>
                <c:pt idx="0">
                  <c:v>17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7-4BA6-B8EB-59977778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[REDCO_Pipeline_2024.xlsx]Charts New!TablaDinámica13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5636093119959952"/>
              <c:y val="-0.23353598471084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'Charts New'!$B$138</c:f>
              <c:strCache>
                <c:ptCount val="1"/>
                <c:pt idx="0">
                  <c:v>Proyeccion Ingreso 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BF-4221-8346-0A01FDF8CF9D}"/>
              </c:ext>
            </c:extLst>
          </c:dPt>
          <c:dLbls>
            <c:dLbl>
              <c:idx val="0"/>
              <c:layout>
                <c:manualLayout>
                  <c:x val="-0.25636093119959952"/>
                  <c:y val="-0.233535984710842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BF-4221-8346-0A01FDF8CF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New'!$A$139:$A$140</c:f>
              <c:strCache>
                <c:ptCount val="1"/>
                <c:pt idx="0">
                  <c:v>Propuesta</c:v>
                </c:pt>
              </c:strCache>
            </c:strRef>
          </c:cat>
          <c:val>
            <c:numRef>
              <c:f>'Charts New'!$B$139:$B$140</c:f>
              <c:numCache>
                <c:formatCode>#,##0</c:formatCode>
                <c:ptCount val="1"/>
                <c:pt idx="0">
                  <c:v>1838125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F-4221-8346-0A01FDF8CF9D}"/>
            </c:ext>
          </c:extLst>
        </c:ser>
        <c:ser>
          <c:idx val="1"/>
          <c:order val="1"/>
          <c:tx>
            <c:strRef>
              <c:f>'Charts New'!$C$138</c:f>
              <c:strCache>
                <c:ptCount val="1"/>
                <c:pt idx="0">
                  <c:v>Nro de Oportunidades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E2-4FA2-8FD1-2202FB613FFD}"/>
              </c:ext>
            </c:extLst>
          </c:dPt>
          <c:cat>
            <c:strRef>
              <c:f>'Charts New'!$A$139:$A$140</c:f>
              <c:strCache>
                <c:ptCount val="1"/>
                <c:pt idx="0">
                  <c:v>Propuesta</c:v>
                </c:pt>
              </c:strCache>
            </c:strRef>
          </c:cat>
          <c:val>
            <c:numRef>
              <c:f>'Charts New'!$C$139:$C$140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F-4221-8346-0A01FDF8C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[REDCO_Pipeline_2024.xlsx]Charts New!TablaDinámica14</c:name>
    <c:fmtId val="5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New'!$B$152:$B$153</c:f>
              <c:strCache>
                <c:ptCount val="1"/>
                <c:pt idx="0">
                  <c:v>Iniciativa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'Charts New'!$A$154:$A$159</c:f>
              <c:strCache>
                <c:ptCount val="5"/>
                <c:pt idx="0">
                  <c:v>Brasil</c:v>
                </c:pt>
                <c:pt idx="1">
                  <c:v>Chile</c:v>
                </c:pt>
                <c:pt idx="2">
                  <c:v>EEUU</c:v>
                </c:pt>
                <c:pt idx="3">
                  <c:v>Perú</c:v>
                </c:pt>
                <c:pt idx="4">
                  <c:v>Rusia</c:v>
                </c:pt>
              </c:strCache>
            </c:strRef>
          </c:cat>
          <c:val>
            <c:numRef>
              <c:f>'Charts New'!$B$154:$B$159</c:f>
              <c:numCache>
                <c:formatCode>#,##0,\K</c:formatCode>
                <c:ptCount val="5"/>
                <c:pt idx="0">
                  <c:v>573333.33333333326</c:v>
                </c:pt>
                <c:pt idx="1">
                  <c:v>4519250</c:v>
                </c:pt>
                <c:pt idx="2">
                  <c:v>825000</c:v>
                </c:pt>
                <c:pt idx="3">
                  <c:v>2630714.2857142854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8-480E-BE37-87BD5A8B515A}"/>
            </c:ext>
          </c:extLst>
        </c:ser>
        <c:ser>
          <c:idx val="1"/>
          <c:order val="1"/>
          <c:tx>
            <c:strRef>
              <c:f>'Charts New'!$C$152:$C$153</c:f>
              <c:strCache>
                <c:ptCount val="1"/>
                <c:pt idx="0">
                  <c:v>Propuesta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'Charts New'!$A$154:$A$159</c:f>
              <c:strCache>
                <c:ptCount val="5"/>
                <c:pt idx="0">
                  <c:v>Brasil</c:v>
                </c:pt>
                <c:pt idx="1">
                  <c:v>Chile</c:v>
                </c:pt>
                <c:pt idx="2">
                  <c:v>EEUU</c:v>
                </c:pt>
                <c:pt idx="3">
                  <c:v>Perú</c:v>
                </c:pt>
                <c:pt idx="4">
                  <c:v>Rusia</c:v>
                </c:pt>
              </c:strCache>
            </c:strRef>
          </c:cat>
          <c:val>
            <c:numRef>
              <c:f>'Charts New'!$C$154:$C$159</c:f>
              <c:numCache>
                <c:formatCode>#,##0,\K</c:formatCode>
                <c:ptCount val="5"/>
                <c:pt idx="0">
                  <c:v>839238.39999999991</c:v>
                </c:pt>
                <c:pt idx="1">
                  <c:v>1725209.6000000001</c:v>
                </c:pt>
                <c:pt idx="2">
                  <c:v>187620</c:v>
                </c:pt>
                <c:pt idx="3">
                  <c:v>712283</c:v>
                </c:pt>
                <c:pt idx="4">
                  <c:v>1838125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B8-480E-BE37-87BD5A8B5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122175"/>
        <c:axId val="1291217631"/>
      </c:barChart>
      <c:catAx>
        <c:axId val="103312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91217631"/>
        <c:crosses val="autoZero"/>
        <c:auto val="1"/>
        <c:lblAlgn val="ctr"/>
        <c:lblOffset val="100"/>
        <c:noMultiLvlLbl val="0"/>
      </c:catAx>
      <c:valAx>
        <c:axId val="129121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\K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3312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Ingresos Proyectado por</a:t>
            </a:r>
            <a:r>
              <a:rPr lang="es-CL" b="1" baseline="0"/>
              <a:t> País</a:t>
            </a:r>
            <a:endParaRPr lang="es-CL" b="1"/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2242472416782998"/>
          <c:y val="0.11282227363582718"/>
          <c:w val="0.87757527583216999"/>
          <c:h val="0.73420233590535167"/>
        </c:manualLayout>
      </c:layout>
      <c:areaChart>
        <c:grouping val="stacked"/>
        <c:varyColors val="0"/>
        <c:ser>
          <c:idx val="1"/>
          <c:order val="1"/>
          <c:tx>
            <c:strRef>
              <c:f>'PBI_Flujo Caja (+Pipeline) 2023'!$D$15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2023'!$T$15:$AE$15</c:f>
              <c:numCache>
                <c:formatCode>#,##0</c:formatCode>
                <c:ptCount val="12"/>
                <c:pt idx="0">
                  <c:v>214537</c:v>
                </c:pt>
                <c:pt idx="1">
                  <c:v>536950.75</c:v>
                </c:pt>
                <c:pt idx="2">
                  <c:v>261642</c:v>
                </c:pt>
                <c:pt idx="3">
                  <c:v>126052</c:v>
                </c:pt>
                <c:pt idx="4">
                  <c:v>166842</c:v>
                </c:pt>
                <c:pt idx="5">
                  <c:v>384861.55</c:v>
                </c:pt>
                <c:pt idx="6">
                  <c:v>316200</c:v>
                </c:pt>
                <c:pt idx="7">
                  <c:v>182063</c:v>
                </c:pt>
                <c:pt idx="8">
                  <c:v>498320.5</c:v>
                </c:pt>
                <c:pt idx="9">
                  <c:v>277050.5</c:v>
                </c:pt>
                <c:pt idx="10">
                  <c:v>278552.5</c:v>
                </c:pt>
                <c:pt idx="11">
                  <c:v>238552.5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6-4EDB-9232-6C0C4365E54E}"/>
            </c:ext>
          </c:extLst>
        </c:ser>
        <c:ser>
          <c:idx val="2"/>
          <c:order val="2"/>
          <c:tx>
            <c:strRef>
              <c:f>'PBI_Flujo Caja (+Pipeline) 2023'!$D$16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2023'!$T$16:$AE$16</c:f>
              <c:numCache>
                <c:formatCode>#,##0</c:formatCode>
                <c:ptCount val="12"/>
                <c:pt idx="0">
                  <c:v>228228.4</c:v>
                </c:pt>
                <c:pt idx="1">
                  <c:v>175279.95</c:v>
                </c:pt>
                <c:pt idx="2">
                  <c:v>102408.9249999999</c:v>
                </c:pt>
                <c:pt idx="3">
                  <c:v>79564.69</c:v>
                </c:pt>
                <c:pt idx="4">
                  <c:v>0</c:v>
                </c:pt>
                <c:pt idx="5">
                  <c:v>71718</c:v>
                </c:pt>
                <c:pt idx="6">
                  <c:v>183145</c:v>
                </c:pt>
                <c:pt idx="7">
                  <c:v>212603</c:v>
                </c:pt>
                <c:pt idx="8">
                  <c:v>289214.26666666666</c:v>
                </c:pt>
                <c:pt idx="9">
                  <c:v>252194.46666666667</c:v>
                </c:pt>
                <c:pt idx="10">
                  <c:v>220886.46666666667</c:v>
                </c:pt>
                <c:pt idx="11">
                  <c:v>171344.80000000002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6-4EDB-9232-6C0C4365E54E}"/>
            </c:ext>
          </c:extLst>
        </c:ser>
        <c:ser>
          <c:idx val="3"/>
          <c:order val="3"/>
          <c:tx>
            <c:strRef>
              <c:f>'PBI_Flujo Caja (+Pipeline) 2023'!$D$17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2023'!$T$17:$AE$17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70821</c:v>
                </c:pt>
                <c:pt idx="3">
                  <c:v>15596</c:v>
                </c:pt>
                <c:pt idx="4">
                  <c:v>40919</c:v>
                </c:pt>
                <c:pt idx="5">
                  <c:v>39419</c:v>
                </c:pt>
                <c:pt idx="6">
                  <c:v>0</c:v>
                </c:pt>
                <c:pt idx="7">
                  <c:v>75017</c:v>
                </c:pt>
                <c:pt idx="8">
                  <c:v>106361</c:v>
                </c:pt>
                <c:pt idx="9">
                  <c:v>302736.5</c:v>
                </c:pt>
                <c:pt idx="10">
                  <c:v>256082.66666666666</c:v>
                </c:pt>
                <c:pt idx="11">
                  <c:v>94917.166666666657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A6-4EDB-9232-6C0C4365E54E}"/>
            </c:ext>
          </c:extLst>
        </c:ser>
        <c:ser>
          <c:idx val="4"/>
          <c:order val="4"/>
          <c:tx>
            <c:strRef>
              <c:f>'PBI_Flujo Caja (+Pipeline) 2023'!$D$18</c:f>
              <c:strCache>
                <c:ptCount val="1"/>
                <c:pt idx="0">
                  <c:v>Rusia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2023'!$T$18:$AE$18</c:f>
              <c:numCache>
                <c:formatCode>#,##0</c:formatCode>
                <c:ptCount val="12"/>
                <c:pt idx="0">
                  <c:v>0</c:v>
                </c:pt>
                <c:pt idx="1">
                  <c:v>46805</c:v>
                </c:pt>
                <c:pt idx="2">
                  <c:v>66887</c:v>
                </c:pt>
                <c:pt idx="3">
                  <c:v>86940</c:v>
                </c:pt>
                <c:pt idx="4">
                  <c:v>46805</c:v>
                </c:pt>
                <c:pt idx="5">
                  <c:v>43371</c:v>
                </c:pt>
                <c:pt idx="6">
                  <c:v>0</c:v>
                </c:pt>
                <c:pt idx="7">
                  <c:v>29854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A6-4EDB-9232-6C0C4365E54E}"/>
            </c:ext>
          </c:extLst>
        </c:ser>
        <c:ser>
          <c:idx val="5"/>
          <c:order val="5"/>
          <c:tx>
            <c:strRef>
              <c:f>'PBI_Flujo Caja (+Pipeline) 2023'!$D$19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2023'!$T$19:$AE$19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A6-4EDB-9232-6C0C4365E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581647"/>
        <c:axId val="1868585007"/>
      </c:areaChart>
      <c:lineChart>
        <c:grouping val="standard"/>
        <c:varyColors val="0"/>
        <c:ser>
          <c:idx val="0"/>
          <c:order val="0"/>
          <c:tx>
            <c:strRef>
              <c:f>'PBI_Flujo Caja (+Pipeline) 2023'!$D$11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2023'!$T$11:$AE$11</c:f>
              <c:numCache>
                <c:formatCode>#,##0</c:formatCode>
                <c:ptCount val="12"/>
                <c:pt idx="0">
                  <c:v>442765.4</c:v>
                </c:pt>
                <c:pt idx="1">
                  <c:v>759035.7</c:v>
                </c:pt>
                <c:pt idx="2">
                  <c:v>501758.92499999993</c:v>
                </c:pt>
                <c:pt idx="3">
                  <c:v>308152.69</c:v>
                </c:pt>
                <c:pt idx="4">
                  <c:v>254566</c:v>
                </c:pt>
                <c:pt idx="5">
                  <c:v>539369.55000000005</c:v>
                </c:pt>
                <c:pt idx="6">
                  <c:v>499345</c:v>
                </c:pt>
                <c:pt idx="7">
                  <c:v>499537</c:v>
                </c:pt>
                <c:pt idx="8">
                  <c:v>893895.7666666666</c:v>
                </c:pt>
                <c:pt idx="9">
                  <c:v>831981.46666666667</c:v>
                </c:pt>
                <c:pt idx="10">
                  <c:v>755521.6333333333</c:v>
                </c:pt>
                <c:pt idx="11">
                  <c:v>504814.46666666667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A6-4EDB-9232-6C0C4365E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552063"/>
        <c:axId val="839542943"/>
      </c:lineChart>
      <c:dateAx>
        <c:axId val="186858164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585007"/>
        <c:crosses val="autoZero"/>
        <c:auto val="1"/>
        <c:lblOffset val="100"/>
        <c:baseTimeUnit val="months"/>
      </c:dateAx>
      <c:valAx>
        <c:axId val="1868585007"/>
        <c:scaling>
          <c:orientation val="minMax"/>
          <c:max val="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581647"/>
        <c:crosses val="autoZero"/>
        <c:crossBetween val="between"/>
        <c:majorUnit val="100000"/>
      </c:valAx>
      <c:valAx>
        <c:axId val="839542943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839552063"/>
        <c:crosses val="max"/>
        <c:crossBetween val="between"/>
      </c:valAx>
      <c:dateAx>
        <c:axId val="8395520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3954294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Flujo de Caja Proyectado</a:t>
            </a:r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'PBI_Flujo Caja (+Pipeline) 2023'!$D$16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12700">
              <a:solidFill>
                <a:schemeClr val="tx2"/>
              </a:solidFill>
              <a:prstDash val="sysDash"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2023'!$T$16:$AE$16</c:f>
              <c:numCache>
                <c:formatCode>#,##0</c:formatCode>
                <c:ptCount val="12"/>
                <c:pt idx="0">
                  <c:v>228228.4</c:v>
                </c:pt>
                <c:pt idx="1">
                  <c:v>175279.95</c:v>
                </c:pt>
                <c:pt idx="2">
                  <c:v>102408.9249999999</c:v>
                </c:pt>
                <c:pt idx="3">
                  <c:v>79564.69</c:v>
                </c:pt>
                <c:pt idx="4">
                  <c:v>0</c:v>
                </c:pt>
                <c:pt idx="5">
                  <c:v>71718</c:v>
                </c:pt>
                <c:pt idx="6">
                  <c:v>183145</c:v>
                </c:pt>
                <c:pt idx="7">
                  <c:v>212603</c:v>
                </c:pt>
                <c:pt idx="8">
                  <c:v>289214.26666666666</c:v>
                </c:pt>
                <c:pt idx="9">
                  <c:v>252194.46666666667</c:v>
                </c:pt>
                <c:pt idx="10">
                  <c:v>220886.46666666667</c:v>
                </c:pt>
                <c:pt idx="11">
                  <c:v>171344.80000000002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D-4C2B-81F2-B2A9050E1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52063"/>
        <c:axId val="839542943"/>
      </c:areaChart>
      <c:lineChart>
        <c:grouping val="standard"/>
        <c:varyColors val="0"/>
        <c:ser>
          <c:idx val="1"/>
          <c:order val="1"/>
          <c:tx>
            <c:strRef>
              <c:f>'PBI_Flujo Caja (+Pipeline) 2023'!$D$16</c:f>
              <c:strCache>
                <c:ptCount val="1"/>
                <c:pt idx="0">
                  <c:v>Perú</c:v>
                </c:pt>
              </c:strCache>
            </c:strRef>
          </c:tx>
          <c:spPr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diamond"/>
            <c:size val="3"/>
            <c:spPr>
              <a:solidFill>
                <a:schemeClr val="tx2"/>
              </a:solidFill>
              <a:ln w="9525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'PBI_Flujo Caja (+Pipeline) 2023'!$T$16:$AE$16</c:f>
              <c:numCache>
                <c:formatCode>#,##0</c:formatCode>
                <c:ptCount val="12"/>
                <c:pt idx="0">
                  <c:v>228228.4</c:v>
                </c:pt>
                <c:pt idx="1">
                  <c:v>175279.95</c:v>
                </c:pt>
                <c:pt idx="2">
                  <c:v>102408.9249999999</c:v>
                </c:pt>
                <c:pt idx="3">
                  <c:v>79564.69</c:v>
                </c:pt>
                <c:pt idx="4">
                  <c:v>0</c:v>
                </c:pt>
                <c:pt idx="5">
                  <c:v>71718</c:v>
                </c:pt>
                <c:pt idx="6">
                  <c:v>183145</c:v>
                </c:pt>
                <c:pt idx="7">
                  <c:v>212603</c:v>
                </c:pt>
                <c:pt idx="8">
                  <c:v>289214.26666666666</c:v>
                </c:pt>
                <c:pt idx="9">
                  <c:v>252194.46666666667</c:v>
                </c:pt>
                <c:pt idx="10">
                  <c:v>220886.46666666667</c:v>
                </c:pt>
                <c:pt idx="11">
                  <c:v>171344.80000000002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D-4C2B-81F2-B2A9050E1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81167"/>
        <c:axId val="871387887"/>
      </c:lineChart>
      <c:valAx>
        <c:axId val="839542943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autoZero"/>
        <c:crossBetween val="between"/>
        <c:majorUnit val="100000"/>
      </c:valAx>
      <c:dateAx>
        <c:axId val="83955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42943"/>
        <c:crosses val="autoZero"/>
        <c:auto val="1"/>
        <c:lblOffset val="100"/>
        <c:baseTimeUnit val="months"/>
      </c:dateAx>
      <c:valAx>
        <c:axId val="871387887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871381167"/>
        <c:crosses val="max"/>
        <c:crossBetween val="between"/>
      </c:valAx>
      <c:catAx>
        <c:axId val="871381167"/>
        <c:scaling>
          <c:orientation val="minMax"/>
        </c:scaling>
        <c:delete val="1"/>
        <c:axPos val="b"/>
        <c:majorTickMark val="out"/>
        <c:minorTickMark val="none"/>
        <c:tickLblPos val="nextTo"/>
        <c:crossAx val="871387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Flujo de Caja Proyectado</a:t>
            </a:r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'PBI_Flujo Caja (+Pipeline) 2023'!$D$17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2023'!$T$17:$AE$17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70821</c:v>
                </c:pt>
                <c:pt idx="3">
                  <c:v>15596</c:v>
                </c:pt>
                <c:pt idx="4">
                  <c:v>40919</c:v>
                </c:pt>
                <c:pt idx="5">
                  <c:v>39419</c:v>
                </c:pt>
                <c:pt idx="6">
                  <c:v>0</c:v>
                </c:pt>
                <c:pt idx="7">
                  <c:v>75017</c:v>
                </c:pt>
                <c:pt idx="8">
                  <c:v>106361</c:v>
                </c:pt>
                <c:pt idx="9">
                  <c:v>302736.5</c:v>
                </c:pt>
                <c:pt idx="10">
                  <c:v>256082.66666666666</c:v>
                </c:pt>
                <c:pt idx="11">
                  <c:v>94917.166666666657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7-4ABB-A95F-B9641BED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52063"/>
        <c:axId val="839542943"/>
      </c:areaChart>
      <c:lineChart>
        <c:grouping val="standard"/>
        <c:varyColors val="0"/>
        <c:ser>
          <c:idx val="1"/>
          <c:order val="1"/>
          <c:tx>
            <c:strRef>
              <c:f>'PBI_Flujo Caja (+Pipeline) 2023'!$D$17</c:f>
              <c:strCache>
                <c:ptCount val="1"/>
                <c:pt idx="0">
                  <c:v>Brasil</c:v>
                </c:pt>
              </c:strCache>
            </c:strRef>
          </c:tx>
          <c:spPr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diamond"/>
            <c:size val="3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'PBI_Flujo Caja (+Pipeline) 2023'!$T$17:$AE$17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70821</c:v>
                </c:pt>
                <c:pt idx="3">
                  <c:v>15596</c:v>
                </c:pt>
                <c:pt idx="4">
                  <c:v>40919</c:v>
                </c:pt>
                <c:pt idx="5">
                  <c:v>39419</c:v>
                </c:pt>
                <c:pt idx="6">
                  <c:v>0</c:v>
                </c:pt>
                <c:pt idx="7">
                  <c:v>75017</c:v>
                </c:pt>
                <c:pt idx="8">
                  <c:v>106361</c:v>
                </c:pt>
                <c:pt idx="9">
                  <c:v>302736.5</c:v>
                </c:pt>
                <c:pt idx="10">
                  <c:v>256082.66666666666</c:v>
                </c:pt>
                <c:pt idx="11">
                  <c:v>94917.166666666657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7-4ABB-A95F-B9641BED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81167"/>
        <c:axId val="871387887"/>
      </c:lineChart>
      <c:valAx>
        <c:axId val="839542943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autoZero"/>
        <c:crossBetween val="between"/>
        <c:majorUnit val="20000"/>
      </c:valAx>
      <c:dateAx>
        <c:axId val="83955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42943"/>
        <c:crosses val="autoZero"/>
        <c:auto val="1"/>
        <c:lblOffset val="100"/>
        <c:baseTimeUnit val="months"/>
      </c:dateAx>
      <c:valAx>
        <c:axId val="871387887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871381167"/>
        <c:crosses val="max"/>
        <c:crossBetween val="between"/>
      </c:valAx>
      <c:catAx>
        <c:axId val="871381167"/>
        <c:scaling>
          <c:orientation val="minMax"/>
        </c:scaling>
        <c:delete val="1"/>
        <c:axPos val="b"/>
        <c:majorTickMark val="out"/>
        <c:minorTickMark val="none"/>
        <c:tickLblPos val="nextTo"/>
        <c:crossAx val="871387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Flujo de Caja Proyectado</a:t>
            </a:r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'PBI_Flujo Caja (+Pipeline) 2023'!$D$18</c:f>
              <c:strCache>
                <c:ptCount val="1"/>
                <c:pt idx="0">
                  <c:v>Rusia</c:v>
                </c:pt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2023'!$T$18:$AE$18</c:f>
              <c:numCache>
                <c:formatCode>#,##0</c:formatCode>
                <c:ptCount val="12"/>
                <c:pt idx="0">
                  <c:v>0</c:v>
                </c:pt>
                <c:pt idx="1">
                  <c:v>46805</c:v>
                </c:pt>
                <c:pt idx="2">
                  <c:v>66887</c:v>
                </c:pt>
                <c:pt idx="3">
                  <c:v>86940</c:v>
                </c:pt>
                <c:pt idx="4">
                  <c:v>46805</c:v>
                </c:pt>
                <c:pt idx="5">
                  <c:v>43371</c:v>
                </c:pt>
                <c:pt idx="6">
                  <c:v>0</c:v>
                </c:pt>
                <c:pt idx="7">
                  <c:v>29854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5-430F-92FB-C5E155A65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52063"/>
        <c:axId val="839542943"/>
      </c:areaChart>
      <c:lineChart>
        <c:grouping val="standard"/>
        <c:varyColors val="0"/>
        <c:ser>
          <c:idx val="1"/>
          <c:order val="1"/>
          <c:tx>
            <c:strRef>
              <c:f>'PBI_Flujo Caja (+Pipeline) 2023'!$D$18</c:f>
              <c:strCache>
                <c:ptCount val="1"/>
                <c:pt idx="0">
                  <c:v>Rusia</c:v>
                </c:pt>
              </c:strCache>
            </c:strRef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diamond"/>
            <c:size val="3"/>
            <c:spPr>
              <a:solidFill>
                <a:schemeClr val="tx2"/>
              </a:solidFill>
              <a:ln w="9525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'PBI_Flujo Caja (+Pipeline) 2023'!$P$10:$AA$10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'PBI_Flujo Caja (+Pipeline) 2023'!$T$18:$AE$18</c:f>
              <c:numCache>
                <c:formatCode>#,##0</c:formatCode>
                <c:ptCount val="12"/>
                <c:pt idx="0">
                  <c:v>0</c:v>
                </c:pt>
                <c:pt idx="1">
                  <c:v>46805</c:v>
                </c:pt>
                <c:pt idx="2">
                  <c:v>66887</c:v>
                </c:pt>
                <c:pt idx="3">
                  <c:v>86940</c:v>
                </c:pt>
                <c:pt idx="4">
                  <c:v>46805</c:v>
                </c:pt>
                <c:pt idx="5">
                  <c:v>43371</c:v>
                </c:pt>
                <c:pt idx="6">
                  <c:v>0</c:v>
                </c:pt>
                <c:pt idx="7">
                  <c:v>29854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5-430F-92FB-C5E155A65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81167"/>
        <c:axId val="871387887"/>
      </c:lineChart>
      <c:valAx>
        <c:axId val="839542943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autoZero"/>
        <c:crossBetween val="between"/>
        <c:majorUnit val="20000"/>
      </c:valAx>
      <c:dateAx>
        <c:axId val="83955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42943"/>
        <c:crosses val="autoZero"/>
        <c:auto val="1"/>
        <c:lblOffset val="100"/>
        <c:baseTimeUnit val="months"/>
      </c:dateAx>
      <c:valAx>
        <c:axId val="871387887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871381167"/>
        <c:crosses val="max"/>
        <c:crossBetween val="between"/>
      </c:valAx>
      <c:dateAx>
        <c:axId val="8713811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7138788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59974306673159"/>
          <c:y val="0.10694443870021116"/>
          <c:w val="0.62047249907529634"/>
          <c:h val="0.7861111225995777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pattFill prst="dkDnDiag">
                <a:fgClr>
                  <a:schemeClr val="tx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87-443D-986A-77E270321C3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87-443D-986A-77E270321C3F}"/>
              </c:ext>
            </c:extLst>
          </c:dPt>
          <c:dPt>
            <c:idx val="2"/>
            <c:bubble3D val="0"/>
            <c:spPr>
              <a:pattFill prst="wdDnDiag">
                <a:fgClr>
                  <a:schemeClr val="accent4">
                    <a:lumMod val="20000"/>
                    <a:lumOff val="8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87-443D-986A-77E270321C3F}"/>
              </c:ext>
            </c:extLst>
          </c:dPt>
          <c:dLbls>
            <c:dLbl>
              <c:idx val="0"/>
              <c:layout>
                <c:manualLayout>
                  <c:x val="0.10335386807360566"/>
                  <c:y val="9.090911983110469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064022386742325"/>
                      <c:h val="0.219313201085882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F87-443D-986A-77E270321C3F}"/>
                </c:ext>
              </c:extLst>
            </c:dLbl>
            <c:dLbl>
              <c:idx val="1"/>
              <c:layout>
                <c:manualLayout>
                  <c:x val="-8.9452050632326544E-2"/>
                  <c:y val="-1.212121597748062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86105540010605"/>
                      <c:h val="0.219313201085882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F87-443D-986A-77E270321C3F}"/>
                </c:ext>
              </c:extLst>
            </c:dLbl>
            <c:dLbl>
              <c:idx val="2"/>
              <c:layout>
                <c:manualLayout>
                  <c:x val="-0.3147979952575824"/>
                  <c:y val="7.47105940382069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87-443D-986A-77E270321C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bg1"/>
                  </a:solidFill>
                  <a:prstDash val="sysDash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'PBI_Flujo Caja (+Pipeline) 2023'!$BE$18:$BE$20</c:f>
              <c:strCache>
                <c:ptCount val="3"/>
                <c:pt idx="0">
                  <c:v>Total Finalizado</c:v>
                </c:pt>
                <c:pt idx="1">
                  <c:v>Total En Ejecución</c:v>
                </c:pt>
                <c:pt idx="2">
                  <c:v>Total Pipeline</c:v>
                </c:pt>
              </c:strCache>
            </c:strRef>
          </c:cat>
          <c:val>
            <c:numRef>
              <c:f>'PBI_Flujo Caja (+Pipeline) 2023'!$BG$18:$BG$20</c:f>
              <c:numCache>
                <c:formatCode>#,##0_ ;\-#,##0\ </c:formatCode>
                <c:ptCount val="3"/>
                <c:pt idx="0">
                  <c:v>4231873.3149999995</c:v>
                </c:pt>
                <c:pt idx="1">
                  <c:v>1425556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87-443D-986A-77E270321C3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Flujo de Caja Proyectado</a:t>
            </a:r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'PBI_Flujo Caja (+Pipeline) 2023'!$D$15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rgbClr val="002060"/>
            </a:solidFill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2023'!$T$15:$AE$15</c:f>
              <c:numCache>
                <c:formatCode>#,##0</c:formatCode>
                <c:ptCount val="12"/>
                <c:pt idx="0">
                  <c:v>214537</c:v>
                </c:pt>
                <c:pt idx="1">
                  <c:v>536950.75</c:v>
                </c:pt>
                <c:pt idx="2">
                  <c:v>261642</c:v>
                </c:pt>
                <c:pt idx="3">
                  <c:v>126052</c:v>
                </c:pt>
                <c:pt idx="4">
                  <c:v>166842</c:v>
                </c:pt>
                <c:pt idx="5">
                  <c:v>384861.55</c:v>
                </c:pt>
                <c:pt idx="6">
                  <c:v>316200</c:v>
                </c:pt>
                <c:pt idx="7">
                  <c:v>182063</c:v>
                </c:pt>
                <c:pt idx="8">
                  <c:v>498320.5</c:v>
                </c:pt>
                <c:pt idx="9">
                  <c:v>277050.5</c:v>
                </c:pt>
                <c:pt idx="10">
                  <c:v>278552.5</c:v>
                </c:pt>
                <c:pt idx="11">
                  <c:v>238552.5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9-4DB4-BFCB-31F6D92FF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52063"/>
        <c:axId val="839542943"/>
      </c:areaChart>
      <c:lineChart>
        <c:grouping val="standard"/>
        <c:varyColors val="0"/>
        <c:ser>
          <c:idx val="1"/>
          <c:order val="1"/>
          <c:tx>
            <c:strRef>
              <c:f>'PBI_Flujo Caja (+Pipeline) 2023'!$D$15</c:f>
              <c:strCache>
                <c:ptCount val="1"/>
                <c:pt idx="0">
                  <c:v>Chile</c:v>
                </c:pt>
              </c:strCache>
            </c:strRef>
          </c:tx>
          <c:spPr>
            <a:ln w="12700">
              <a:solidFill>
                <a:schemeClr val="tx2"/>
              </a:solidFill>
              <a:prstDash val="dash"/>
            </a:ln>
          </c:spPr>
          <c:marker>
            <c:symbol val="diamond"/>
            <c:size val="3"/>
            <c:spPr>
              <a:solidFill>
                <a:srgbClr val="002060"/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'PBI_Flujo Caja (+Pipeline) 2023'!$T$15:$AE$15</c:f>
              <c:numCache>
                <c:formatCode>#,##0</c:formatCode>
                <c:ptCount val="12"/>
                <c:pt idx="0">
                  <c:v>214537</c:v>
                </c:pt>
                <c:pt idx="1">
                  <c:v>536950.75</c:v>
                </c:pt>
                <c:pt idx="2">
                  <c:v>261642</c:v>
                </c:pt>
                <c:pt idx="3">
                  <c:v>126052</c:v>
                </c:pt>
                <c:pt idx="4">
                  <c:v>166842</c:v>
                </c:pt>
                <c:pt idx="5">
                  <c:v>384861.55</c:v>
                </c:pt>
                <c:pt idx="6">
                  <c:v>316200</c:v>
                </c:pt>
                <c:pt idx="7">
                  <c:v>182063</c:v>
                </c:pt>
                <c:pt idx="8">
                  <c:v>498320.5</c:v>
                </c:pt>
                <c:pt idx="9">
                  <c:v>277050.5</c:v>
                </c:pt>
                <c:pt idx="10">
                  <c:v>278552.5</c:v>
                </c:pt>
                <c:pt idx="11">
                  <c:v>238552.5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9-4DB4-BFCB-31F6D92FF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81167"/>
        <c:axId val="871387887"/>
      </c:lineChart>
      <c:valAx>
        <c:axId val="839542943"/>
        <c:scaling>
          <c:orientation val="minMax"/>
          <c:max val="7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autoZero"/>
        <c:crossBetween val="between"/>
      </c:valAx>
      <c:dateAx>
        <c:axId val="83955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42943"/>
        <c:crosses val="autoZero"/>
        <c:auto val="1"/>
        <c:lblOffset val="100"/>
        <c:baseTimeUnit val="months"/>
      </c:dateAx>
      <c:valAx>
        <c:axId val="871387887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871381167"/>
        <c:crosses val="max"/>
        <c:crossBetween val="between"/>
      </c:valAx>
      <c:catAx>
        <c:axId val="871381167"/>
        <c:scaling>
          <c:orientation val="minMax"/>
        </c:scaling>
        <c:delete val="1"/>
        <c:axPos val="b"/>
        <c:majorTickMark val="out"/>
        <c:minorTickMark val="none"/>
        <c:tickLblPos val="nextTo"/>
        <c:crossAx val="871387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E6-46C0-AD01-78C73F4D126C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E6-46C0-AD01-78C73F4D126C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E6-46C0-AD01-78C73F4D126C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E6-46C0-AD01-78C73F4D12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E6-46C0-AD01-78C73F4D12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E6-46C0-AD01-78C73F4D126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0E6-46C0-AD01-78C73F4D12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0E6-46C0-AD01-78C73F4D126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0E6-46C0-AD01-78C73F4D126C}"/>
              </c:ext>
            </c:extLst>
          </c:dPt>
          <c:dLbls>
            <c:dLbl>
              <c:idx val="0"/>
              <c:layout>
                <c:manualLayout>
                  <c:x val="3.1336052494735839E-2"/>
                  <c:y val="-4.45644863760916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E6-46C0-AD01-78C73F4D126C}"/>
                </c:ext>
              </c:extLst>
            </c:dLbl>
            <c:dLbl>
              <c:idx val="1"/>
              <c:layout>
                <c:manualLayout>
                  <c:x val="-0.11383511459827646"/>
                  <c:y val="0.2693898967677683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E6-46C0-AD01-78C73F4D126C}"/>
                </c:ext>
              </c:extLst>
            </c:dLbl>
            <c:dLbl>
              <c:idx val="2"/>
              <c:layout>
                <c:manualLayout>
                  <c:x val="-0.28134671350801599"/>
                  <c:y val="0.1319437239411078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E6-46C0-AD01-78C73F4D126C}"/>
                </c:ext>
              </c:extLst>
            </c:dLbl>
            <c:dLbl>
              <c:idx val="3"/>
              <c:layout>
                <c:manualLayout>
                  <c:x val="-0.19380909080977454"/>
                  <c:y val="2.36792277639611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E6-46C0-AD01-78C73F4D126C}"/>
                </c:ext>
              </c:extLst>
            </c:dLbl>
            <c:dLbl>
              <c:idx val="4"/>
              <c:layout>
                <c:manualLayout>
                  <c:x val="0.31337836517127304"/>
                  <c:y val="2.039776752675409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0E6-46C0-AD01-78C73F4D12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bg1"/>
                  </a:solidFill>
                  <a:prstDash val="sysDash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('PBI_Flujo Caja (+Pipeline) 2023'!$BE$21:$BE$25,'PBI_Flujo Caja (+Pipeline) 2023'!$BE$26:$BE$32)</c:f>
              <c:strCache>
                <c:ptCount val="5"/>
                <c:pt idx="0">
                  <c:v>Chile</c:v>
                </c:pt>
                <c:pt idx="1">
                  <c:v>Perú</c:v>
                </c:pt>
                <c:pt idx="2">
                  <c:v>Brasil</c:v>
                </c:pt>
                <c:pt idx="3">
                  <c:v>Rusia</c:v>
                </c:pt>
                <c:pt idx="4">
                  <c:v>Otros</c:v>
                </c:pt>
              </c:strCache>
            </c:strRef>
          </c:cat>
          <c:val>
            <c:numRef>
              <c:f>('PBI_Flujo Caja (+Pipeline) 2023'!$BG$21:$BG$25,'PBI_Flujo Caja (+Pipeline) 2023'!$BG$26:$BG$32)</c:f>
              <c:numCache>
                <c:formatCode>#,##0_ ;\-#,##0\ </c:formatCode>
                <c:ptCount val="9"/>
                <c:pt idx="0">
                  <c:v>3751212.9699999997</c:v>
                </c:pt>
                <c:pt idx="1">
                  <c:v>1343782.3449999997</c:v>
                </c:pt>
                <c:pt idx="2">
                  <c:v>241772</c:v>
                </c:pt>
                <c:pt idx="3">
                  <c:v>320662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E6-46C0-AD01-78C73F4D12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Ingresos Proyectado por Estado</a:t>
            </a:r>
            <a:r>
              <a:rPr lang="es-CL" b="1" baseline="0"/>
              <a:t> de Proyecto</a:t>
            </a:r>
            <a:endParaRPr lang="es-CL" b="1"/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'PBI_Flujo Caja (+Pipeline) 2023'!$D$13</c:f>
              <c:strCache>
                <c:ptCount val="1"/>
                <c:pt idx="0">
                  <c:v>Total En Ejecución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2023'!$T$13:$AE$13</c:f>
              <c:numCache>
                <c:formatCode>#,##0</c:formatCode>
                <c:ptCount val="12"/>
                <c:pt idx="0">
                  <c:v>56675</c:v>
                </c:pt>
                <c:pt idx="1">
                  <c:v>90591</c:v>
                </c:pt>
                <c:pt idx="2">
                  <c:v>94263</c:v>
                </c:pt>
                <c:pt idx="3">
                  <c:v>15596</c:v>
                </c:pt>
                <c:pt idx="4">
                  <c:v>82923</c:v>
                </c:pt>
                <c:pt idx="5">
                  <c:v>109171.00000000006</c:v>
                </c:pt>
                <c:pt idx="6">
                  <c:v>139839</c:v>
                </c:pt>
                <c:pt idx="7">
                  <c:v>461884</c:v>
                </c:pt>
                <c:pt idx="8">
                  <c:v>765595.7666666666</c:v>
                </c:pt>
                <c:pt idx="9">
                  <c:v>821981.46666666667</c:v>
                </c:pt>
                <c:pt idx="10">
                  <c:v>755521.6333333333</c:v>
                </c:pt>
                <c:pt idx="11">
                  <c:v>504814.46666666667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3-416B-80DD-D9D31EFC62AA}"/>
            </c:ext>
          </c:extLst>
        </c:ser>
        <c:ser>
          <c:idx val="2"/>
          <c:order val="2"/>
          <c:tx>
            <c:strRef>
              <c:f>'PBI_Flujo Caja (+Pipeline) 2023'!$D$14</c:f>
              <c:strCache>
                <c:ptCount val="1"/>
                <c:pt idx="0">
                  <c:v>Total Pipeline</c:v>
                </c:pt>
              </c:strCache>
            </c:strRef>
          </c:tx>
          <c:spPr>
            <a:pattFill prst="wdDnDiag">
              <a:fgClr>
                <a:schemeClr val="accent4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25400"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2023'!$P$14:$AA$14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3-416B-80DD-D9D31EFC62AA}"/>
            </c:ext>
          </c:extLst>
        </c:ser>
        <c:ser>
          <c:idx val="3"/>
          <c:order val="3"/>
          <c:tx>
            <c:strRef>
              <c:f>'PBI_Flujo Caja (+Pipeline) 2023'!$D$12</c:f>
              <c:strCache>
                <c:ptCount val="1"/>
                <c:pt idx="0">
                  <c:v>Total Finalizado</c:v>
                </c:pt>
              </c:strCache>
            </c:strRef>
          </c:tx>
          <c:spPr>
            <a:pattFill prst="ltDnDiag">
              <a:fgClr>
                <a:schemeClr val="tx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2023'!$T$12:$AE$12</c:f>
              <c:numCache>
                <c:formatCode>#,##0</c:formatCode>
                <c:ptCount val="12"/>
                <c:pt idx="0">
                  <c:v>386090.4</c:v>
                </c:pt>
                <c:pt idx="1">
                  <c:v>668444.69999999995</c:v>
                </c:pt>
                <c:pt idx="2">
                  <c:v>407495.92499999993</c:v>
                </c:pt>
                <c:pt idx="3">
                  <c:v>292556.69</c:v>
                </c:pt>
                <c:pt idx="4">
                  <c:v>171643</c:v>
                </c:pt>
                <c:pt idx="5">
                  <c:v>430198.55</c:v>
                </c:pt>
                <c:pt idx="6">
                  <c:v>359506</c:v>
                </c:pt>
                <c:pt idx="7">
                  <c:v>37653</c:v>
                </c:pt>
                <c:pt idx="8">
                  <c:v>128300</c:v>
                </c:pt>
                <c:pt idx="9">
                  <c:v>10000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3-416B-80DD-D9D31EFC6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581647"/>
        <c:axId val="1868585007"/>
      </c:areaChart>
      <c:lineChart>
        <c:grouping val="standard"/>
        <c:varyColors val="0"/>
        <c:ser>
          <c:idx val="0"/>
          <c:order val="0"/>
          <c:tx>
            <c:strRef>
              <c:f>'PBI_Flujo Caja (+Pipeline) 2023'!$D$11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diamond"/>
            <c:size val="5"/>
            <c:spPr>
              <a:solidFill>
                <a:schemeClr val="tx2"/>
              </a:solidFill>
              <a:ln w="3175">
                <a:solidFill>
                  <a:schemeClr val="tx2">
                    <a:alpha val="93000"/>
                  </a:schemeClr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2023'!$T$11:$AE$11</c:f>
              <c:numCache>
                <c:formatCode>#,##0</c:formatCode>
                <c:ptCount val="12"/>
                <c:pt idx="0">
                  <c:v>442765.4</c:v>
                </c:pt>
                <c:pt idx="1">
                  <c:v>759035.7</c:v>
                </c:pt>
                <c:pt idx="2">
                  <c:v>501758.92499999993</c:v>
                </c:pt>
                <c:pt idx="3">
                  <c:v>308152.69</c:v>
                </c:pt>
                <c:pt idx="4">
                  <c:v>254566</c:v>
                </c:pt>
                <c:pt idx="5">
                  <c:v>539369.55000000005</c:v>
                </c:pt>
                <c:pt idx="6">
                  <c:v>499345</c:v>
                </c:pt>
                <c:pt idx="7">
                  <c:v>499537</c:v>
                </c:pt>
                <c:pt idx="8">
                  <c:v>893895.7666666666</c:v>
                </c:pt>
                <c:pt idx="9">
                  <c:v>831981.46666666667</c:v>
                </c:pt>
                <c:pt idx="10">
                  <c:v>755521.6333333333</c:v>
                </c:pt>
                <c:pt idx="11">
                  <c:v>504814.46666666667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E3-416B-80DD-D9D31EFC6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581647"/>
        <c:axId val="1868585007"/>
      </c:lineChart>
      <c:lineChart>
        <c:grouping val="standard"/>
        <c:varyColors val="0"/>
        <c:ser>
          <c:idx val="4"/>
          <c:order val="4"/>
          <c:tx>
            <c:strRef>
              <c:f>'PBI_Flujo Caja (+Pipeline) 2023'!$D$20</c:f>
              <c:strCache>
                <c:ptCount val="1"/>
                <c:pt idx="0">
                  <c:v>Numero de Proyectos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5"/>
            <c:spPr>
              <a:solidFill>
                <a:schemeClr val="accent6">
                  <a:lumMod val="50000"/>
                </a:schemeClr>
              </a:solidFill>
              <a:ln w="28575">
                <a:solidFill>
                  <a:schemeClr val="accent6">
                    <a:lumMod val="50000"/>
                  </a:schemeClr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'PBI_Flujo Caja (+Pipeline) 2023'!$T$20:$AE$20</c:f>
              <c:numCache>
                <c:formatCode>#,##0</c:formatCode>
                <c:ptCount val="12"/>
                <c:pt idx="0">
                  <c:v>7</c:v>
                </c:pt>
                <c:pt idx="1">
                  <c:v>13</c:v>
                </c:pt>
                <c:pt idx="2">
                  <c:v>12</c:v>
                </c:pt>
                <c:pt idx="3">
                  <c:v>9</c:v>
                </c:pt>
                <c:pt idx="4">
                  <c:v>6</c:v>
                </c:pt>
                <c:pt idx="5">
                  <c:v>13</c:v>
                </c:pt>
                <c:pt idx="6">
                  <c:v>9</c:v>
                </c:pt>
                <c:pt idx="7">
                  <c:v>14</c:v>
                </c:pt>
                <c:pt idx="8">
                  <c:v>22</c:v>
                </c:pt>
                <c:pt idx="9">
                  <c:v>17</c:v>
                </c:pt>
                <c:pt idx="10">
                  <c:v>16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E3-416B-80DD-D9D31EFC6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552063"/>
        <c:axId val="839542943"/>
      </c:lineChart>
      <c:dateAx>
        <c:axId val="186858164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585007"/>
        <c:crosses val="autoZero"/>
        <c:auto val="1"/>
        <c:lblOffset val="100"/>
        <c:baseTimeUnit val="months"/>
      </c:dateAx>
      <c:valAx>
        <c:axId val="1868585007"/>
        <c:scaling>
          <c:orientation val="minMax"/>
          <c:max val="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581647"/>
        <c:crosses val="autoZero"/>
        <c:crossBetween val="between"/>
      </c:valAx>
      <c:valAx>
        <c:axId val="839542943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max"/>
        <c:crossBetween val="between"/>
      </c:valAx>
      <c:catAx>
        <c:axId val="839552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9542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'PBI_Flujo Caja (+Pipeline) 2023'!$BP$8</c:f>
              <c:strCache>
                <c:ptCount val="1"/>
                <c:pt idx="0">
                  <c:v>Total 2023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32-4B23-ABBE-36F0D7D303A2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32-4B23-ABBE-36F0D7D303A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32-4B23-ABBE-36F0D7D303A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32-4B23-ABBE-36F0D7D303A2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32-4B23-ABBE-36F0D7D303A2}"/>
              </c:ext>
            </c:extLst>
          </c:dPt>
          <c:dPt>
            <c:idx val="5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632-4B23-ABBE-36F0D7D303A2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632-4B23-ABBE-36F0D7D303A2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632-4B23-ABBE-36F0D7D303A2}"/>
              </c:ext>
            </c:extLst>
          </c:dPt>
          <c:dPt>
            <c:idx val="8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632-4B23-ABBE-36F0D7D303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'PBI_Flujo Caja (+Pipeline) 2023'!$BO$9:$BO$17</c:f>
              <c:strCache>
                <c:ptCount val="9"/>
                <c:pt idx="0">
                  <c:v>CMP</c:v>
                </c:pt>
                <c:pt idx="1">
                  <c:v>Lundin</c:v>
                </c:pt>
                <c:pt idx="2">
                  <c:v>Glencore</c:v>
                </c:pt>
                <c:pt idx="3">
                  <c:v>AMSA</c:v>
                </c:pt>
                <c:pt idx="4">
                  <c:v>Minsur</c:v>
                </c:pt>
                <c:pt idx="5">
                  <c:v>Mosaic</c:v>
                </c:pt>
                <c:pt idx="6">
                  <c:v>CSH</c:v>
                </c:pt>
                <c:pt idx="7">
                  <c:v>Codelco</c:v>
                </c:pt>
                <c:pt idx="8">
                  <c:v>CEMIN</c:v>
                </c:pt>
              </c:strCache>
            </c:strRef>
          </c:cat>
          <c:val>
            <c:numRef>
              <c:f>'PBI_Flujo Caja (+Pipeline) 2023'!$BP$9:$BP$17</c:f>
              <c:numCache>
                <c:formatCode>_(* #,##0_);_(* \(#,##0\);_(* "-"_);_(@_)</c:formatCode>
                <c:ptCount val="9"/>
                <c:pt idx="0">
                  <c:v>1965776.7100000002</c:v>
                </c:pt>
                <c:pt idx="1">
                  <c:v>395841</c:v>
                </c:pt>
                <c:pt idx="2">
                  <c:v>258445</c:v>
                </c:pt>
                <c:pt idx="3">
                  <c:v>534055</c:v>
                </c:pt>
                <c:pt idx="4">
                  <c:v>1079366.385</c:v>
                </c:pt>
                <c:pt idx="5">
                  <c:v>230128</c:v>
                </c:pt>
                <c:pt idx="6">
                  <c:v>0</c:v>
                </c:pt>
                <c:pt idx="7">
                  <c:v>209300.26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632-4B23-ABBE-36F0D7D303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Ingresos Proyectado por</a:t>
            </a:r>
            <a:r>
              <a:rPr lang="es-CL" b="1" baseline="0"/>
              <a:t> País</a:t>
            </a:r>
            <a:endParaRPr lang="es-CL" b="1"/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2242472416782998"/>
          <c:y val="0.11282227363582718"/>
          <c:w val="0.87757527583216999"/>
          <c:h val="0.73420233590535167"/>
        </c:manualLayout>
      </c:layout>
      <c:areaChart>
        <c:grouping val="stacked"/>
        <c:varyColors val="0"/>
        <c:ser>
          <c:idx val="1"/>
          <c:order val="1"/>
          <c:tx>
            <c:strRef>
              <c:f>'Flujos 23-24 (p. actuales)'!$D$15</c:f>
              <c:strCache>
                <c:ptCount val="1"/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actuales)'!$P$15:$AA$15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BD7-4708-B965-9BBC7DA4E234}"/>
            </c:ext>
          </c:extLst>
        </c:ser>
        <c:ser>
          <c:idx val="2"/>
          <c:order val="2"/>
          <c:tx>
            <c:strRef>
              <c:f>'Flujos 23-24 (p. actuales)'!$D$16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actuales)'!$P$16:$AA$16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2BD7-4708-B965-9BBC7DA4E234}"/>
            </c:ext>
          </c:extLst>
        </c:ser>
        <c:ser>
          <c:idx val="3"/>
          <c:order val="3"/>
          <c:tx>
            <c:strRef>
              <c:f>'Flujos 23-24 (p. actuales)'!$D$17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actuales)'!$P$17:$AA$17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2BD7-4708-B965-9BBC7DA4E234}"/>
            </c:ext>
          </c:extLst>
        </c:ser>
        <c:ser>
          <c:idx val="4"/>
          <c:order val="4"/>
          <c:tx>
            <c:strRef>
              <c:f>'Flujos 23-24 (p. actuales)'!$D$18</c:f>
              <c:strCache>
                <c:ptCount val="1"/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actuales)'!$P$18:$AA$18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2BD7-4708-B965-9BBC7DA4E234}"/>
            </c:ext>
          </c:extLst>
        </c:ser>
        <c:ser>
          <c:idx val="5"/>
          <c:order val="5"/>
          <c:tx>
            <c:strRef>
              <c:f>'Flujos 23-24 (p. actuales)'!$D$19</c:f>
              <c:strCache>
                <c:ptCount val="1"/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actuales)'!$P$19:$AA$19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2BD7-4708-B965-9BBC7DA4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581647"/>
        <c:axId val="1868585007"/>
      </c:areaChart>
      <c:lineChart>
        <c:grouping val="standard"/>
        <c:varyColors val="0"/>
        <c:ser>
          <c:idx val="0"/>
          <c:order val="0"/>
          <c:tx>
            <c:strRef>
              <c:f>'Flujos 23-24 (p. actuales)'!$D$11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actuales)'!$P$11:$AA$11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886424.16666666674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D7-4708-B965-9BBC7DA4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552063"/>
        <c:axId val="839542943"/>
      </c:lineChart>
      <c:dateAx>
        <c:axId val="186858164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585007"/>
        <c:crosses val="autoZero"/>
        <c:auto val="1"/>
        <c:lblOffset val="100"/>
        <c:baseTimeUnit val="months"/>
      </c:dateAx>
      <c:valAx>
        <c:axId val="1868585007"/>
        <c:scaling>
          <c:orientation val="minMax"/>
          <c:max val="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581647"/>
        <c:crosses val="autoZero"/>
        <c:crossBetween val="between"/>
        <c:majorUnit val="100000"/>
      </c:valAx>
      <c:valAx>
        <c:axId val="839542943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839552063"/>
        <c:crosses val="max"/>
        <c:crossBetween val="between"/>
      </c:valAx>
      <c:dateAx>
        <c:axId val="8395520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3954294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Flujo de Caja Proyectado</a:t>
            </a:r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'Flujos 23-24 (p. actuales)'!$D$16</c:f>
              <c:strCache>
                <c:ptCount val="1"/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12700">
              <a:solidFill>
                <a:schemeClr val="tx2"/>
              </a:solidFill>
              <a:prstDash val="sysDash"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actuales)'!$P$16:$AA$16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3041-493F-A8D3-678DBAE42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52063"/>
        <c:axId val="839542943"/>
      </c:areaChart>
      <c:lineChart>
        <c:grouping val="standard"/>
        <c:varyColors val="0"/>
        <c:ser>
          <c:idx val="1"/>
          <c:order val="1"/>
          <c:tx>
            <c:strRef>
              <c:f>'Flujos 23-24 (p. actuales)'!$D$16</c:f>
              <c:strCache>
                <c:ptCount val="1"/>
              </c:strCache>
            </c:strRef>
          </c:tx>
          <c:spPr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diamond"/>
            <c:size val="3"/>
            <c:spPr>
              <a:solidFill>
                <a:schemeClr val="tx2"/>
              </a:solidFill>
              <a:ln w="9525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'Flujos 23-24 (p. actuales)'!$P$16:$AA$16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41-493F-A8D3-678DBAE42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81167"/>
        <c:axId val="871387887"/>
      </c:lineChart>
      <c:valAx>
        <c:axId val="839542943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autoZero"/>
        <c:crossBetween val="between"/>
        <c:majorUnit val="100000"/>
      </c:valAx>
      <c:dateAx>
        <c:axId val="83955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42943"/>
        <c:crosses val="autoZero"/>
        <c:auto val="1"/>
        <c:lblOffset val="100"/>
        <c:baseTimeUnit val="months"/>
      </c:dateAx>
      <c:valAx>
        <c:axId val="87138788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71381167"/>
        <c:crosses val="max"/>
        <c:crossBetween val="between"/>
      </c:valAx>
      <c:catAx>
        <c:axId val="871381167"/>
        <c:scaling>
          <c:orientation val="minMax"/>
        </c:scaling>
        <c:delete val="1"/>
        <c:axPos val="b"/>
        <c:majorTickMark val="out"/>
        <c:minorTickMark val="none"/>
        <c:tickLblPos val="nextTo"/>
        <c:crossAx val="871387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Flujo de Caja Proyectado</a:t>
            </a:r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'Flujos 23-24 (p. actuales)'!$D$17</c:f>
              <c:strCache>
                <c:ptCount val="1"/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actuales)'!$P$17:$AA$17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CD50-465D-80E1-88BD0A497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52063"/>
        <c:axId val="839542943"/>
      </c:areaChart>
      <c:lineChart>
        <c:grouping val="standard"/>
        <c:varyColors val="0"/>
        <c:ser>
          <c:idx val="1"/>
          <c:order val="1"/>
          <c:tx>
            <c:strRef>
              <c:f>'Flujos 23-24 (p. actuales)'!$D$17</c:f>
              <c:strCache>
                <c:ptCount val="1"/>
              </c:strCache>
            </c:strRef>
          </c:tx>
          <c:spPr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diamond"/>
            <c:size val="3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'Flujos 23-24 (p. actuales)'!$P$17:$AA$17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0-465D-80E1-88BD0A497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81167"/>
        <c:axId val="871387887"/>
      </c:lineChart>
      <c:valAx>
        <c:axId val="839542943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autoZero"/>
        <c:crossBetween val="between"/>
        <c:majorUnit val="20000"/>
      </c:valAx>
      <c:dateAx>
        <c:axId val="83955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42943"/>
        <c:crosses val="autoZero"/>
        <c:auto val="1"/>
        <c:lblOffset val="100"/>
        <c:baseTimeUnit val="months"/>
      </c:dateAx>
      <c:valAx>
        <c:axId val="87138788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71381167"/>
        <c:crosses val="max"/>
        <c:crossBetween val="between"/>
      </c:valAx>
      <c:catAx>
        <c:axId val="871381167"/>
        <c:scaling>
          <c:orientation val="minMax"/>
        </c:scaling>
        <c:delete val="1"/>
        <c:axPos val="b"/>
        <c:majorTickMark val="out"/>
        <c:minorTickMark val="none"/>
        <c:tickLblPos val="nextTo"/>
        <c:crossAx val="871387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Flujo de Caja Proyectado</a:t>
            </a:r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'Flujos 23-24 (p. actuales)'!$D$18</c:f>
              <c:strCache>
                <c:ptCount val="1"/>
              </c:strCache>
            </c:strRef>
          </c:tx>
          <c:spPr>
            <a:solidFill>
              <a:srgbClr val="7030A0"/>
            </a:solidFill>
            <a:ln w="25400">
              <a:noFill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actuales)'!$P$18:$AA$18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72D2-4760-9FE1-5A9D8368B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52063"/>
        <c:axId val="839542943"/>
      </c:areaChart>
      <c:lineChart>
        <c:grouping val="standard"/>
        <c:varyColors val="0"/>
        <c:ser>
          <c:idx val="1"/>
          <c:order val="1"/>
          <c:tx>
            <c:strRef>
              <c:f>'Flujos 23-24 (p. actuales)'!$D$18</c:f>
              <c:strCache>
                <c:ptCount val="1"/>
              </c:strCache>
            </c:strRef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diamond"/>
            <c:size val="3"/>
            <c:spPr>
              <a:solidFill>
                <a:schemeClr val="tx2"/>
              </a:solidFill>
              <a:ln w="9525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'PBI_Flujo Caja (+Pipeline) 2023'!$P$10:$AA$10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'Flujos 23-24 (p. actuales)'!$P$18:$AA$18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2-4760-9FE1-5A9D8368B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81167"/>
        <c:axId val="871387887"/>
      </c:lineChart>
      <c:valAx>
        <c:axId val="839542943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autoZero"/>
        <c:crossBetween val="between"/>
        <c:majorUnit val="20000"/>
      </c:valAx>
      <c:dateAx>
        <c:axId val="83955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42943"/>
        <c:crosses val="autoZero"/>
        <c:auto val="1"/>
        <c:lblOffset val="100"/>
        <c:baseTimeUnit val="months"/>
      </c:dateAx>
      <c:valAx>
        <c:axId val="87138788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71381167"/>
        <c:crosses val="max"/>
        <c:crossBetween val="between"/>
      </c:valAx>
      <c:dateAx>
        <c:axId val="8713811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7138788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59974306673159"/>
          <c:y val="0.10694443870021116"/>
          <c:w val="0.62047249907529634"/>
          <c:h val="0.7861111225995777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FF-40A4-8145-D9391C495E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bg1"/>
                  </a:solidFill>
                  <a:prstDash val="sysDash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'Flujos 23-24 (p. actuales)'!$BA$18:$BA$20</c:f>
              <c:numCache>
                <c:formatCode>General</c:formatCode>
                <c:ptCount val="3"/>
              </c:numCache>
            </c:numRef>
          </c:cat>
          <c:val>
            <c:numRef>
              <c:f>'Flujos 23-24 (p. actuales)'!#REF!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FF-40A4-8145-D9391C495E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Flujo de Caja Proyectado</a:t>
            </a:r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'Flujos 23-24 (p. actuales)'!$D$15</c:f>
              <c:strCache>
                <c:ptCount val="1"/>
              </c:strCache>
            </c:strRef>
          </c:tx>
          <c:spPr>
            <a:solidFill>
              <a:srgbClr val="002060"/>
            </a:solidFill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actuales)'!$P$15:$AA$15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316-4FF0-B08D-BC345D0F7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52063"/>
        <c:axId val="839542943"/>
      </c:areaChart>
      <c:lineChart>
        <c:grouping val="standard"/>
        <c:varyColors val="0"/>
        <c:ser>
          <c:idx val="1"/>
          <c:order val="1"/>
          <c:tx>
            <c:strRef>
              <c:f>'Flujos 23-24 (p. actuales)'!$D$15</c:f>
              <c:strCache>
                <c:ptCount val="1"/>
              </c:strCache>
            </c:strRef>
          </c:tx>
          <c:spPr>
            <a:ln w="12700">
              <a:solidFill>
                <a:schemeClr val="tx2"/>
              </a:solidFill>
              <a:prstDash val="dash"/>
            </a:ln>
          </c:spPr>
          <c:marker>
            <c:symbol val="diamond"/>
            <c:size val="3"/>
            <c:spPr>
              <a:solidFill>
                <a:srgbClr val="002060"/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'Flujos 23-24 (p. actuales)'!$P$15:$AA$15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16-4FF0-B08D-BC345D0F7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81167"/>
        <c:axId val="871387887"/>
      </c:lineChart>
      <c:valAx>
        <c:axId val="839542943"/>
        <c:scaling>
          <c:orientation val="minMax"/>
          <c:max val="7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autoZero"/>
        <c:crossBetween val="between"/>
      </c:valAx>
      <c:dateAx>
        <c:axId val="83955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42943"/>
        <c:crosses val="autoZero"/>
        <c:auto val="1"/>
        <c:lblOffset val="100"/>
        <c:baseTimeUnit val="months"/>
      </c:dateAx>
      <c:valAx>
        <c:axId val="87138788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71381167"/>
        <c:crosses val="max"/>
        <c:crossBetween val="between"/>
      </c:valAx>
      <c:catAx>
        <c:axId val="871381167"/>
        <c:scaling>
          <c:orientation val="minMax"/>
        </c:scaling>
        <c:delete val="1"/>
        <c:axPos val="b"/>
        <c:majorTickMark val="out"/>
        <c:minorTickMark val="none"/>
        <c:tickLblPos val="nextTo"/>
        <c:crossAx val="871387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4F-4D79-88F5-FACEE0EF26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bg1"/>
                  </a:solidFill>
                  <a:prstDash val="sysDash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('Flujos 23-24 (p. actuales)'!$BA$21:$BA$25,'Flujos 23-24 (p. actuales)'!$BA$26:$BA$32)</c:f>
              <c:numCache>
                <c:formatCode>General</c:formatCode>
                <c:ptCount val="12"/>
              </c:numCache>
            </c:numRef>
          </c:cat>
          <c:val>
            <c:numRef>
              <c:f>('Flujos 23-24 (p. actuales)'!#REF!,'Flujos 23-24 (p. actuales)'!#REF!)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4F-4D79-88F5-FACEE0EF262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Ingresos Proyectado por Estado</a:t>
            </a:r>
            <a:r>
              <a:rPr lang="es-CL" b="1" baseline="0"/>
              <a:t> de Proyecto</a:t>
            </a:r>
            <a:endParaRPr lang="es-CL" b="1"/>
          </a:p>
        </c:rich>
      </c:tx>
      <c:layout>
        <c:manualLayout>
          <c:xMode val="edge"/>
          <c:yMode val="edge"/>
          <c:x val="3.924999999999998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'Flujos 23-24 (p. actuales)'!$D$13</c:f>
              <c:strCache>
                <c:ptCount val="1"/>
                <c:pt idx="0">
                  <c:v>Total Ejecutado 2023 - Cobrado 2024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actuales)'!$P$13:$AA$13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465991.16666666669</c:v>
                </c:pt>
                <c:pt idx="9">
                  <c:v>763152.56666666665</c:v>
                </c:pt>
                <c:pt idx="10">
                  <c:v>62256.5</c:v>
                </c:pt>
                <c:pt idx="11">
                  <c:v>56369.5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A-4E2B-BD68-5C289B91B63C}"/>
            </c:ext>
          </c:extLst>
        </c:ser>
        <c:ser>
          <c:idx val="2"/>
          <c:order val="2"/>
          <c:tx>
            <c:strRef>
              <c:f>'PBI_Flujo Caja (+Pipeline) 2023'!$D$14</c:f>
              <c:strCache>
                <c:ptCount val="1"/>
                <c:pt idx="0">
                  <c:v>Total Pipeline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'PBI_Flujo Caja (+Pipeline) 2023'!$T$10:$AE$10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'PBI_Flujo Caja (+Pipeline) 2023'!$P$14:$AA$14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A-4E2B-BD68-5C289B91B63C}"/>
            </c:ext>
          </c:extLst>
        </c:ser>
        <c:ser>
          <c:idx val="3"/>
          <c:order val="3"/>
          <c:tx>
            <c:strRef>
              <c:f>'Flujos 23-24 (p. actuales)'!$D$12</c:f>
              <c:strCache>
                <c:ptCount val="1"/>
                <c:pt idx="0">
                  <c:v>Total Finalizado</c:v>
                </c:pt>
              </c:strCache>
            </c:strRef>
          </c:tx>
          <c:spPr>
            <a:pattFill prst="ltDnDiag">
              <a:fgClr>
                <a:schemeClr val="tx2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actuales)'!$P$12:$AA$12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307858</c:v>
                </c:pt>
                <c:pt idx="9">
                  <c:v>10000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2A-4E2B-BD68-5C289B91B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581647"/>
        <c:axId val="1868585007"/>
      </c:areaChart>
      <c:lineChart>
        <c:grouping val="standard"/>
        <c:varyColors val="0"/>
        <c:ser>
          <c:idx val="0"/>
          <c:order val="0"/>
          <c:tx>
            <c:strRef>
              <c:f>'Flujos 23-24 (p. actuales)'!$D$11</c:f>
              <c:strCache>
                <c:ptCount val="1"/>
                <c:pt idx="0">
                  <c:v>Gran Total</c:v>
                </c:pt>
              </c:strCache>
            </c:strRef>
          </c:tx>
          <c:spPr>
            <a:ln w="1587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diamond"/>
            <c:size val="5"/>
            <c:spPr>
              <a:solidFill>
                <a:schemeClr val="tx2"/>
              </a:solidFill>
              <a:ln w="3175">
                <a:solidFill>
                  <a:schemeClr val="tx2">
                    <a:alpha val="93000"/>
                  </a:schemeClr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'Flujos 23-24 (p. actuales)'!$P$10:$AA$10</c:f>
              <c:numCache>
                <c:formatCode>mmm\-yy</c:formatCode>
                <c:ptCount val="12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</c:numCache>
            </c:numRef>
          </c:cat>
          <c:val>
            <c:numRef>
              <c:f>'Flujos 23-24 (p. actuales)'!$P$11:$AA$11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886424.16666666674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A-4E2B-BD68-5C289B91B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581647"/>
        <c:axId val="1868585007"/>
      </c:lineChart>
      <c:lineChart>
        <c:grouping val="standard"/>
        <c:varyColors val="0"/>
        <c:ser>
          <c:idx val="4"/>
          <c:order val="4"/>
          <c:tx>
            <c:strRef>
              <c:f>'Flujos 23-24 (p. actuales)'!$D$20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diamond"/>
            <c:size val="5"/>
            <c:spPr>
              <a:solidFill>
                <a:schemeClr val="accent6">
                  <a:lumMod val="50000"/>
                </a:schemeClr>
              </a:solidFill>
              <a:ln w="28575">
                <a:solidFill>
                  <a:schemeClr val="accent6">
                    <a:lumMod val="50000"/>
                  </a:schemeClr>
                </a:solidFill>
                <a:prstDash val="sys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'Flujos 23-24 (p. actuales)'!$P$20:$AA$20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A-4E2B-BD68-5C289B91B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552063"/>
        <c:axId val="839542943"/>
      </c:lineChart>
      <c:dateAx>
        <c:axId val="186858164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585007"/>
        <c:crosses val="autoZero"/>
        <c:auto val="1"/>
        <c:lblOffset val="100"/>
        <c:baseTimeUnit val="months"/>
      </c:dateAx>
      <c:valAx>
        <c:axId val="1868585007"/>
        <c:scaling>
          <c:orientation val="minMax"/>
          <c:max val="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68581647"/>
        <c:crosses val="autoZero"/>
        <c:crossBetween val="between"/>
      </c:valAx>
      <c:valAx>
        <c:axId val="8395429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9552063"/>
        <c:crosses val="max"/>
        <c:crossBetween val="between"/>
      </c:valAx>
      <c:catAx>
        <c:axId val="839552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95429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72-4906-A759-C7D0EC1ECD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'Flujos 23-24 (p. actuales)'!#REF!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'Flujos 23-24 (p. actuales)'!#REF!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'Flujos 23-24 (p. actuales)'!#REF!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272-4906-A759-C7D0EC1ECD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Ingresos Inicios</a:t>
            </a:r>
            <a:r>
              <a:rPr lang="es-CL" b="1" baseline="0"/>
              <a:t> 2024 (Proyectos actuales y pagos rezagados)</a:t>
            </a:r>
            <a:endParaRPr lang="es-CL" b="1"/>
          </a:p>
        </c:rich>
      </c:tx>
      <c:layout>
        <c:manualLayout>
          <c:xMode val="edge"/>
          <c:yMode val="edge"/>
          <c:x val="2.8206207407930502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'Flujos 23-24 (p. actuales)'!$D$12</c:f>
              <c:strCache>
                <c:ptCount val="1"/>
                <c:pt idx="0">
                  <c:v>Total Finalizado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'Flujos 23-24 (p. actuales)'!$X$10:$AC$10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'Flujos 23-24 (p. actuales)'!$X$12:$AC$12</c:f>
              <c:numCache>
                <c:formatCode>#,##0</c:formatCode>
                <c:ptCount val="6"/>
                <c:pt idx="0">
                  <c:v>307858</c:v>
                </c:pt>
                <c:pt idx="1">
                  <c:v>10000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7-4FA2-8294-DB7DD661F0F7}"/>
            </c:ext>
          </c:extLst>
        </c:ser>
        <c:ser>
          <c:idx val="1"/>
          <c:order val="1"/>
          <c:tx>
            <c:strRef>
              <c:f>'Flujos 23-24 (p. actuales)'!$D$13</c:f>
              <c:strCache>
                <c:ptCount val="1"/>
                <c:pt idx="0">
                  <c:v>Total Ejecutado 2023 - Cobrado 2024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'Flujos 23-24 (p. actuales)'!$X$10:$AC$10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'Flujos 23-24 (p. actuales)'!$X$13:$AC$13</c:f>
              <c:numCache>
                <c:formatCode>#,##0</c:formatCode>
                <c:ptCount val="6"/>
                <c:pt idx="0">
                  <c:v>465991.16666666669</c:v>
                </c:pt>
                <c:pt idx="1">
                  <c:v>763152.56666666665</c:v>
                </c:pt>
                <c:pt idx="2">
                  <c:v>62256.5</c:v>
                </c:pt>
                <c:pt idx="3">
                  <c:v>56369.5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7-4FA2-8294-DB7DD661F0F7}"/>
            </c:ext>
          </c:extLst>
        </c:ser>
        <c:ser>
          <c:idx val="2"/>
          <c:order val="2"/>
          <c:tx>
            <c:strRef>
              <c:f>'Flujos 23-24 (p. actuales)'!$D$14</c:f>
              <c:strCache>
                <c:ptCount val="1"/>
                <c:pt idx="0">
                  <c:v>Total Ejecutado 2024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'Flujos 23-24 (p. actuales)'!$X$10:$AC$10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'Flujos 23-24 (p. actuales)'!$X$14:$AC$14</c:f>
              <c:numCache>
                <c:formatCode>#,##0</c:formatCode>
                <c:ptCount val="6"/>
                <c:pt idx="0">
                  <c:v>112575</c:v>
                </c:pt>
                <c:pt idx="1">
                  <c:v>132239</c:v>
                </c:pt>
                <c:pt idx="2">
                  <c:v>648511.7333333334</c:v>
                </c:pt>
                <c:pt idx="3">
                  <c:v>596826.44166666665</c:v>
                </c:pt>
                <c:pt idx="4">
                  <c:v>434669.19166666665</c:v>
                </c:pt>
                <c:pt idx="5">
                  <c:v>289721.40000000002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7-4FA2-8294-DB7DD661F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783791"/>
        <c:axId val="1246987775"/>
      </c:areaChart>
      <c:dateAx>
        <c:axId val="1126783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46987775"/>
        <c:crosses val="autoZero"/>
        <c:auto val="1"/>
        <c:lblOffset val="100"/>
        <c:baseTimeUnit val="months"/>
      </c:dateAx>
      <c:valAx>
        <c:axId val="124698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US$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2678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b="1"/>
              <a:t>Distribución de 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7B-4126-8D04-D7807FEAD6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7B-4126-8D04-D7807FEAD6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7B-4126-8D04-D7807FEAD6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'Flujos 23-24 (p. actuales)'!$D$12:$D$14</c:f>
              <c:strCache>
                <c:ptCount val="3"/>
                <c:pt idx="0">
                  <c:v>Total Finalizado</c:v>
                </c:pt>
                <c:pt idx="1">
                  <c:v>Total Ejecutado 2023 - Cobrado 2024</c:v>
                </c:pt>
                <c:pt idx="2">
                  <c:v>Total Ejecutado 2024</c:v>
                </c:pt>
              </c:strCache>
            </c:strRef>
          </c:cat>
          <c:val>
            <c:numRef>
              <c:f>'Flujos 23-24 (p. actuales)'!$K$12:$K$14</c:f>
              <c:numCache>
                <c:formatCode>#,##0</c:formatCode>
                <c:ptCount val="3"/>
                <c:pt idx="0">
                  <c:v>317858</c:v>
                </c:pt>
                <c:pt idx="1">
                  <c:v>1347769.7333333334</c:v>
                </c:pt>
                <c:pt idx="2">
                  <c:v>2214542.7666666666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7B-4126-8D04-D7807FEAD6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image" Target="../media/image5.jpeg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image" Target="../media/image4.jpeg"/><Relationship Id="rId5" Type="http://schemas.openxmlformats.org/officeDocument/2006/relationships/chart" Target="../charts/chart25.xml"/><Relationship Id="rId15" Type="http://schemas.openxmlformats.org/officeDocument/2006/relationships/image" Target="../media/image6.png"/><Relationship Id="rId10" Type="http://schemas.openxmlformats.org/officeDocument/2006/relationships/image" Target="../media/image3.png"/><Relationship Id="rId4" Type="http://schemas.openxmlformats.org/officeDocument/2006/relationships/chart" Target="../charts/chart24.xml"/><Relationship Id="rId9" Type="http://schemas.openxmlformats.org/officeDocument/2006/relationships/image" Target="../media/image2.png"/><Relationship Id="rId14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12" Type="http://schemas.openxmlformats.org/officeDocument/2006/relationships/image" Target="../media/image5.jpeg"/><Relationship Id="rId17" Type="http://schemas.openxmlformats.org/officeDocument/2006/relationships/chart" Target="../charts/chart40.xml"/><Relationship Id="rId2" Type="http://schemas.openxmlformats.org/officeDocument/2006/relationships/chart" Target="../charts/chart31.xml"/><Relationship Id="rId16" Type="http://schemas.openxmlformats.org/officeDocument/2006/relationships/chart" Target="../charts/chart39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11" Type="http://schemas.openxmlformats.org/officeDocument/2006/relationships/image" Target="../media/image7.jpeg"/><Relationship Id="rId5" Type="http://schemas.openxmlformats.org/officeDocument/2006/relationships/chart" Target="../charts/chart34.xml"/><Relationship Id="rId15" Type="http://schemas.openxmlformats.org/officeDocument/2006/relationships/image" Target="../media/image6.png"/><Relationship Id="rId10" Type="http://schemas.openxmlformats.org/officeDocument/2006/relationships/image" Target="../media/image3.png"/><Relationship Id="rId4" Type="http://schemas.openxmlformats.org/officeDocument/2006/relationships/chart" Target="../charts/chart33.xml"/><Relationship Id="rId9" Type="http://schemas.openxmlformats.org/officeDocument/2006/relationships/image" Target="../media/image2.png"/><Relationship Id="rId1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128914</xdr:colOff>
      <xdr:row>15</xdr:row>
      <xdr:rowOff>186492</xdr:rowOff>
    </xdr:from>
    <xdr:to>
      <xdr:col>12</xdr:col>
      <xdr:colOff>192149</xdr:colOff>
      <xdr:row>29</xdr:row>
      <xdr:rowOff>32163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7DA9D4-1668-1314-E05D-6B5ECF8AC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590096</xdr:colOff>
      <xdr:row>8</xdr:row>
      <xdr:rowOff>153579</xdr:rowOff>
    </xdr:from>
    <xdr:to>
      <xdr:col>27</xdr:col>
      <xdr:colOff>1448706</xdr:colOff>
      <xdr:row>23</xdr:row>
      <xdr:rowOff>20411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7CC9C1-A949-8F55-8061-4BD880E8C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114300</xdr:colOff>
      <xdr:row>11</xdr:row>
      <xdr:rowOff>80010</xdr:rowOff>
    </xdr:from>
    <xdr:to>
      <xdr:col>21</xdr:col>
      <xdr:colOff>396240</xdr:colOff>
      <xdr:row>26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F84A44B-34BF-4B37-D7FE-94C721EBA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662809</xdr:colOff>
      <xdr:row>34</xdr:row>
      <xdr:rowOff>142556</xdr:rowOff>
    </xdr:from>
    <xdr:to>
      <xdr:col>20</xdr:col>
      <xdr:colOff>1520702</xdr:colOff>
      <xdr:row>51</xdr:row>
      <xdr:rowOff>22267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89D8F73-C78E-2A95-2657-AC8339305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27</xdr:col>
      <xdr:colOff>1647824</xdr:colOff>
      <xdr:row>39</xdr:row>
      <xdr:rowOff>138975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70DBE49-A3D2-48E2-ADCF-5B0527228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0</xdr:colOff>
      <xdr:row>25</xdr:row>
      <xdr:rowOff>0</xdr:rowOff>
    </xdr:from>
    <xdr:to>
      <xdr:col>34</xdr:col>
      <xdr:colOff>1375681</xdr:colOff>
      <xdr:row>39</xdr:row>
      <xdr:rowOff>138975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80BB0E3-FD0C-4F84-967C-3EC05BF19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286099</xdr:colOff>
      <xdr:row>14</xdr:row>
      <xdr:rowOff>6698</xdr:rowOff>
    </xdr:from>
    <xdr:to>
      <xdr:col>19</xdr:col>
      <xdr:colOff>704433</xdr:colOff>
      <xdr:row>28</xdr:row>
      <xdr:rowOff>80289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48AE7B-F3FD-6BD6-6241-2D16A6FA6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274660</xdr:colOff>
      <xdr:row>14</xdr:row>
      <xdr:rowOff>17360</xdr:rowOff>
    </xdr:from>
    <xdr:to>
      <xdr:col>26</xdr:col>
      <xdr:colOff>273390</xdr:colOff>
      <xdr:row>28</xdr:row>
      <xdr:rowOff>66509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0F3655-1740-12FE-1722-11A3DD1B5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835705</xdr:colOff>
      <xdr:row>13</xdr:row>
      <xdr:rowOff>98799</xdr:rowOff>
    </xdr:from>
    <xdr:to>
      <xdr:col>13</xdr:col>
      <xdr:colOff>930285</xdr:colOff>
      <xdr:row>28</xdr:row>
      <xdr:rowOff>23643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95FA9A-0335-8C34-D046-0F53C9553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523876</xdr:colOff>
      <xdr:row>4</xdr:row>
      <xdr:rowOff>329559</xdr:rowOff>
    </xdr:from>
    <xdr:to>
      <xdr:col>28</xdr:col>
      <xdr:colOff>522190</xdr:colOff>
      <xdr:row>17</xdr:row>
      <xdr:rowOff>46984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FF7449-3296-F476-6433-DF6BBBA8F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356356</xdr:colOff>
      <xdr:row>4</xdr:row>
      <xdr:rowOff>415372</xdr:rowOff>
    </xdr:from>
    <xdr:to>
      <xdr:col>22</xdr:col>
      <xdr:colOff>352776</xdr:colOff>
      <xdr:row>17</xdr:row>
      <xdr:rowOff>125177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2654CC-D371-D97C-A2EC-6CE19F118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57215</xdr:colOff>
      <xdr:row>23</xdr:row>
      <xdr:rowOff>62121</xdr:rowOff>
    </xdr:from>
    <xdr:to>
      <xdr:col>21</xdr:col>
      <xdr:colOff>581878</xdr:colOff>
      <xdr:row>38</xdr:row>
      <xdr:rowOff>16947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73602F-90A5-4AC9-BDDF-461326FB1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616857</xdr:colOff>
      <xdr:row>0</xdr:row>
      <xdr:rowOff>0</xdr:rowOff>
    </xdr:from>
    <xdr:to>
      <xdr:col>8</xdr:col>
      <xdr:colOff>48381</xdr:colOff>
      <xdr:row>14</xdr:row>
      <xdr:rowOff>84666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33C3F6-0F92-93F6-FE6E-6BFAD6EDE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662820</xdr:colOff>
      <xdr:row>37</xdr:row>
      <xdr:rowOff>44144</xdr:rowOff>
    </xdr:from>
    <xdr:to>
      <xdr:col>10</xdr:col>
      <xdr:colOff>532191</xdr:colOff>
      <xdr:row>54</xdr:row>
      <xdr:rowOff>16932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A9EA3C-0CF9-0264-F7B9-90D3122D5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330805</xdr:colOff>
      <xdr:row>58</xdr:row>
      <xdr:rowOff>123371</xdr:rowOff>
    </xdr:from>
    <xdr:to>
      <xdr:col>12</xdr:col>
      <xdr:colOff>200176</xdr:colOff>
      <xdr:row>73</xdr:row>
      <xdr:rowOff>90714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536F450-CA1D-B953-BC4E-773376349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259444</xdr:colOff>
      <xdr:row>76</xdr:row>
      <xdr:rowOff>59266</xdr:rowOff>
    </xdr:from>
    <xdr:to>
      <xdr:col>12</xdr:col>
      <xdr:colOff>128815</xdr:colOff>
      <xdr:row>91</xdr:row>
      <xdr:rowOff>24189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F68CD62-428A-C0FA-8B13-8C916BB0E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227997</xdr:colOff>
      <xdr:row>93</xdr:row>
      <xdr:rowOff>29633</xdr:rowOff>
    </xdr:from>
    <xdr:to>
      <xdr:col>12</xdr:col>
      <xdr:colOff>97368</xdr:colOff>
      <xdr:row>107</xdr:row>
      <xdr:rowOff>184452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EB282D7-9993-410B-4726-D5561D178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200178</xdr:colOff>
      <xdr:row>110</xdr:row>
      <xdr:rowOff>39310</xdr:rowOff>
    </xdr:from>
    <xdr:to>
      <xdr:col>12</xdr:col>
      <xdr:colOff>69549</xdr:colOff>
      <xdr:row>125</xdr:row>
      <xdr:rowOff>6653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91E5FA5-580A-FE7A-E8C3-D07E9DDA5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147563</xdr:colOff>
      <xdr:row>127</xdr:row>
      <xdr:rowOff>134862</xdr:rowOff>
    </xdr:from>
    <xdr:to>
      <xdr:col>12</xdr:col>
      <xdr:colOff>16934</xdr:colOff>
      <xdr:row>142</xdr:row>
      <xdr:rowOff>102206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9A440AA-F55C-ADFC-8CCE-9A0278624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287261</xdr:colOff>
      <xdr:row>146</xdr:row>
      <xdr:rowOff>134256</xdr:rowOff>
    </xdr:from>
    <xdr:to>
      <xdr:col>8</xdr:col>
      <xdr:colOff>326571</xdr:colOff>
      <xdr:row>162</xdr:row>
      <xdr:rowOff>114905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5EFBC62-9E2F-E376-B730-2E3036AD1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151</xdr:col>
      <xdr:colOff>190543</xdr:colOff>
      <xdr:row>6</xdr:row>
      <xdr:rowOff>206135</xdr:rowOff>
    </xdr:from>
    <xdr:to>
      <xdr:col>160</xdr:col>
      <xdr:colOff>423174</xdr:colOff>
      <xdr:row>25</xdr:row>
      <xdr:rowOff>96890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2ECD2376-6449-4D0E-AED5-729D0B9E5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167</xdr:col>
      <xdr:colOff>96717</xdr:colOff>
      <xdr:row>383</xdr:row>
      <xdr:rowOff>113400</xdr:rowOff>
    </xdr:from>
    <xdr:to>
      <xdr:col>175</xdr:col>
      <xdr:colOff>689124</xdr:colOff>
      <xdr:row>408</xdr:row>
      <xdr:rowOff>112672</xdr:rowOff>
    </xdr:to>
    <xdr:grpSp>
      <xdr:nvGrpSpPr>
        <xdr:cNvPr id="4" name="Grupo 23">
          <a:extLst>
            <a:ext uri="{FF2B5EF4-FFF2-40B4-BE49-F238E27FC236}">
              <a16:creationId xmlns:a16="http://schemas.microsoft.com/office/drawing/2014/main" id="{B8C96AC7-4127-4EE9-9ECC-0492F0F3BE36}"/>
            </a:ext>
          </a:extLst>
        </xdr:cNvPr>
        <xdr:cNvGrpSpPr/>
      </xdr:nvGrpSpPr>
      <xdr:grpSpPr>
        <a:xfrm>
          <a:off x="170308467" y="10876650"/>
          <a:ext cx="7704407" cy="4761772"/>
          <a:chOff x="25727396" y="5425540"/>
          <a:chExt cx="6950918" cy="3659084"/>
        </a:xfrm>
      </xdr:grpSpPr>
      <xdr:sp macro="" textlink="">
        <xdr:nvSpPr>
          <xdr:cNvPr id="5" name="Rectángulo: esquinas redondeadas 10">
            <a:extLst>
              <a:ext uri="{FF2B5EF4-FFF2-40B4-BE49-F238E27FC236}">
                <a16:creationId xmlns:a16="http://schemas.microsoft.com/office/drawing/2014/main" id="{6213A198-829B-5D19-E4E8-F97ABDBDF94E}"/>
              </a:ext>
            </a:extLst>
          </xdr:cNvPr>
          <xdr:cNvSpPr/>
        </xdr:nvSpPr>
        <xdr:spPr>
          <a:xfrm>
            <a:off x="25727396" y="5425540"/>
            <a:ext cx="6950918" cy="3659084"/>
          </a:xfrm>
          <a:prstGeom prst="roundRect">
            <a:avLst>
              <a:gd name="adj" fmla="val 4167"/>
            </a:avLst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1600" b="1">
                <a:solidFill>
                  <a:schemeClr val="bg1">
                    <a:lumMod val="95000"/>
                  </a:schemeClr>
                </a:solidFill>
              </a:rPr>
              <a:t>Análisis</a:t>
            </a:r>
            <a:r>
              <a:rPr lang="es-CL" sz="1600" b="1" baseline="0">
                <a:solidFill>
                  <a:schemeClr val="bg1">
                    <a:lumMod val="95000"/>
                  </a:schemeClr>
                </a:solidFill>
              </a:rPr>
              <a:t> de Información (Perú)</a:t>
            </a:r>
          </a:p>
          <a:p>
            <a:pPr algn="ctr"/>
            <a:endParaRPr lang="es-CL" sz="1600" b="1">
              <a:solidFill>
                <a:schemeClr val="tx2"/>
              </a:solidFill>
            </a:endParaRPr>
          </a:p>
        </xdr:txBody>
      </xdr:sp>
      <xdr:graphicFrame macro="">
        <xdr:nvGraphicFramePr>
          <xdr:cNvPr id="6" name="Gráfico 11">
            <a:extLst>
              <a:ext uri="{FF2B5EF4-FFF2-40B4-BE49-F238E27FC236}">
                <a16:creationId xmlns:a16="http://schemas.microsoft.com/office/drawing/2014/main" id="{03622386-3FFE-5AB0-BC35-48D91FCC10BE}"/>
              </a:ext>
            </a:extLst>
          </xdr:cNvPr>
          <xdr:cNvGraphicFramePr>
            <a:graphicFrameLocks/>
          </xdr:cNvGraphicFramePr>
        </xdr:nvGraphicFramePr>
        <xdr:xfrm>
          <a:off x="25975047" y="6046952"/>
          <a:ext cx="6427148" cy="27633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154</xdr:col>
      <xdr:colOff>534902</xdr:colOff>
      <xdr:row>409</xdr:row>
      <xdr:rowOff>129883</xdr:rowOff>
    </xdr:from>
    <xdr:to>
      <xdr:col>163</xdr:col>
      <xdr:colOff>769694</xdr:colOff>
      <xdr:row>430</xdr:row>
      <xdr:rowOff>21307</xdr:rowOff>
    </xdr:to>
    <xdr:grpSp>
      <xdr:nvGrpSpPr>
        <xdr:cNvPr id="7" name="Grupo 21">
          <a:extLst>
            <a:ext uri="{FF2B5EF4-FFF2-40B4-BE49-F238E27FC236}">
              <a16:creationId xmlns:a16="http://schemas.microsoft.com/office/drawing/2014/main" id="{DF29FF4F-32DD-452A-97B0-C93216714DB9}"/>
            </a:ext>
          </a:extLst>
        </xdr:cNvPr>
        <xdr:cNvGrpSpPr/>
      </xdr:nvGrpSpPr>
      <xdr:grpSpPr>
        <a:xfrm>
          <a:off x="159189652" y="15846133"/>
          <a:ext cx="8235792" cy="3891924"/>
          <a:chOff x="19024022" y="9369136"/>
          <a:chExt cx="6485661" cy="3666507"/>
        </a:xfrm>
      </xdr:grpSpPr>
      <xdr:sp macro="" textlink="">
        <xdr:nvSpPr>
          <xdr:cNvPr id="8" name="Rectángulo: esquinas redondeadas 12">
            <a:extLst>
              <a:ext uri="{FF2B5EF4-FFF2-40B4-BE49-F238E27FC236}">
                <a16:creationId xmlns:a16="http://schemas.microsoft.com/office/drawing/2014/main" id="{4AF33292-4B7C-6BC1-6F67-01DBE3B3151E}"/>
              </a:ext>
            </a:extLst>
          </xdr:cNvPr>
          <xdr:cNvSpPr/>
        </xdr:nvSpPr>
        <xdr:spPr>
          <a:xfrm>
            <a:off x="19024022" y="9369136"/>
            <a:ext cx="6485661" cy="3666507"/>
          </a:xfrm>
          <a:prstGeom prst="roundRect">
            <a:avLst>
              <a:gd name="adj" fmla="val 4167"/>
            </a:avLst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1600" b="1">
                <a:solidFill>
                  <a:schemeClr val="bg1">
                    <a:lumMod val="95000"/>
                  </a:schemeClr>
                </a:solidFill>
              </a:rPr>
              <a:t>Análisis</a:t>
            </a:r>
            <a:r>
              <a:rPr lang="es-CL" sz="1600" b="1" baseline="0">
                <a:solidFill>
                  <a:schemeClr val="bg1">
                    <a:lumMod val="95000"/>
                  </a:schemeClr>
                </a:solidFill>
              </a:rPr>
              <a:t> de Información (Brasil)</a:t>
            </a:r>
          </a:p>
          <a:p>
            <a:pPr algn="ctr"/>
            <a:endParaRPr lang="es-CL" sz="1600" b="1">
              <a:solidFill>
                <a:schemeClr val="tx2"/>
              </a:solidFill>
            </a:endParaRPr>
          </a:p>
        </xdr:txBody>
      </xdr:sp>
      <xdr:graphicFrame macro="">
        <xdr:nvGraphicFramePr>
          <xdr:cNvPr id="9" name="Gráfico 14">
            <a:extLst>
              <a:ext uri="{FF2B5EF4-FFF2-40B4-BE49-F238E27FC236}">
                <a16:creationId xmlns:a16="http://schemas.microsoft.com/office/drawing/2014/main" id="{5CC1312C-BC5D-A09E-0C84-BFBA99A276FD}"/>
              </a:ext>
            </a:extLst>
          </xdr:cNvPr>
          <xdr:cNvGraphicFramePr>
            <a:graphicFrameLocks/>
          </xdr:cNvGraphicFramePr>
        </xdr:nvGraphicFramePr>
        <xdr:xfrm>
          <a:off x="19291714" y="9919048"/>
          <a:ext cx="5713391" cy="27633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167</xdr:col>
      <xdr:colOff>99112</xdr:colOff>
      <xdr:row>409</xdr:row>
      <xdr:rowOff>117531</xdr:rowOff>
    </xdr:from>
    <xdr:to>
      <xdr:col>176</xdr:col>
      <xdr:colOff>2883</xdr:colOff>
      <xdr:row>430</xdr:row>
      <xdr:rowOff>78455</xdr:rowOff>
    </xdr:to>
    <xdr:grpSp>
      <xdr:nvGrpSpPr>
        <xdr:cNvPr id="10" name="Grupo 22">
          <a:extLst>
            <a:ext uri="{FF2B5EF4-FFF2-40B4-BE49-F238E27FC236}">
              <a16:creationId xmlns:a16="http://schemas.microsoft.com/office/drawing/2014/main" id="{0424E995-1462-4E4A-B5CE-31C38996D9FD}"/>
            </a:ext>
          </a:extLst>
        </xdr:cNvPr>
        <xdr:cNvGrpSpPr/>
      </xdr:nvGrpSpPr>
      <xdr:grpSpPr>
        <a:xfrm>
          <a:off x="170310862" y="15833781"/>
          <a:ext cx="7904771" cy="3961424"/>
          <a:chOff x="25713790" y="9382744"/>
          <a:chExt cx="6940850" cy="3666507"/>
        </a:xfrm>
      </xdr:grpSpPr>
      <xdr:sp macro="" textlink="">
        <xdr:nvSpPr>
          <xdr:cNvPr id="11" name="Rectángulo: esquinas redondeadas 13">
            <a:extLst>
              <a:ext uri="{FF2B5EF4-FFF2-40B4-BE49-F238E27FC236}">
                <a16:creationId xmlns:a16="http://schemas.microsoft.com/office/drawing/2014/main" id="{B829124D-83C8-47FD-A6C1-B0A75DD64A55}"/>
              </a:ext>
            </a:extLst>
          </xdr:cNvPr>
          <xdr:cNvSpPr/>
        </xdr:nvSpPr>
        <xdr:spPr>
          <a:xfrm>
            <a:off x="25713790" y="9382744"/>
            <a:ext cx="6940850" cy="3666507"/>
          </a:xfrm>
          <a:prstGeom prst="roundRect">
            <a:avLst>
              <a:gd name="adj" fmla="val 4167"/>
            </a:avLst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1600" b="1">
                <a:solidFill>
                  <a:schemeClr val="bg1">
                    <a:lumMod val="95000"/>
                  </a:schemeClr>
                </a:solidFill>
              </a:rPr>
              <a:t>Análisis</a:t>
            </a:r>
            <a:r>
              <a:rPr lang="es-CL" sz="1600" b="1" baseline="0">
                <a:solidFill>
                  <a:schemeClr val="bg1">
                    <a:lumMod val="95000"/>
                  </a:schemeClr>
                </a:solidFill>
              </a:rPr>
              <a:t> de Información (Rusia)</a:t>
            </a:r>
          </a:p>
          <a:p>
            <a:pPr algn="ctr"/>
            <a:endParaRPr lang="es-CL" sz="1600" b="1">
              <a:solidFill>
                <a:schemeClr val="tx2"/>
              </a:solidFill>
            </a:endParaRPr>
          </a:p>
        </xdr:txBody>
      </xdr:sp>
      <xdr:graphicFrame macro="">
        <xdr:nvGraphicFramePr>
          <xdr:cNvPr id="12" name="Gráfico 15">
            <a:extLst>
              <a:ext uri="{FF2B5EF4-FFF2-40B4-BE49-F238E27FC236}">
                <a16:creationId xmlns:a16="http://schemas.microsoft.com/office/drawing/2014/main" id="{78D7AE98-4578-4917-C157-A7B7C5BFBF2B}"/>
              </a:ext>
            </a:extLst>
          </xdr:cNvPr>
          <xdr:cNvGraphicFramePr>
            <a:graphicFrameLocks/>
          </xdr:cNvGraphicFramePr>
        </xdr:nvGraphicFramePr>
        <xdr:xfrm>
          <a:off x="25950555" y="9919049"/>
          <a:ext cx="6427148" cy="27633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40</xdr:col>
      <xdr:colOff>7423</xdr:colOff>
      <xdr:row>48</xdr:row>
      <xdr:rowOff>8295</xdr:rowOff>
    </xdr:from>
    <xdr:to>
      <xdr:col>63</xdr:col>
      <xdr:colOff>14226</xdr:colOff>
      <xdr:row>48</xdr:row>
      <xdr:rowOff>8295</xdr:rowOff>
    </xdr:to>
    <xdr:cxnSp macro="">
      <xdr:nvCxnSpPr>
        <xdr:cNvPr id="13" name="Conector recto 17">
          <a:extLst>
            <a:ext uri="{FF2B5EF4-FFF2-40B4-BE49-F238E27FC236}">
              <a16:creationId xmlns:a16="http://schemas.microsoft.com/office/drawing/2014/main" id="{CBAC09AC-0300-44D6-A973-B771C714F972}"/>
            </a:ext>
          </a:extLst>
        </xdr:cNvPr>
        <xdr:cNvCxnSpPr/>
      </xdr:nvCxnSpPr>
      <xdr:spPr>
        <a:xfrm>
          <a:off x="30708403" y="5410200"/>
          <a:ext cx="20717963" cy="0"/>
        </a:xfrm>
        <a:prstGeom prst="line">
          <a:avLst/>
        </a:prstGeom>
        <a:ln w="22225">
          <a:solidFill>
            <a:schemeClr val="tx2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164</xdr:col>
      <xdr:colOff>233105</xdr:colOff>
      <xdr:row>28</xdr:row>
      <xdr:rowOff>132262</xdr:rowOff>
    </xdr:from>
    <xdr:to>
      <xdr:col>169</xdr:col>
      <xdr:colOff>346123</xdr:colOff>
      <xdr:row>377</xdr:row>
      <xdr:rowOff>68113</xdr:rowOff>
    </xdr:to>
    <xdr:graphicFrame macro="">
      <xdr:nvGraphicFramePr>
        <xdr:cNvPr id="14" name="Gráfico 20">
          <a:extLst>
            <a:ext uri="{FF2B5EF4-FFF2-40B4-BE49-F238E27FC236}">
              <a16:creationId xmlns:a16="http://schemas.microsoft.com/office/drawing/2014/main" id="{14B7E839-4679-4FC4-BE33-5D195BDC4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154</xdr:col>
      <xdr:colOff>537041</xdr:colOff>
      <xdr:row>383</xdr:row>
      <xdr:rowOff>113129</xdr:rowOff>
    </xdr:from>
    <xdr:to>
      <xdr:col>163</xdr:col>
      <xdr:colOff>766497</xdr:colOff>
      <xdr:row>408</xdr:row>
      <xdr:rowOff>112672</xdr:rowOff>
    </xdr:to>
    <xdr:grpSp>
      <xdr:nvGrpSpPr>
        <xdr:cNvPr id="15" name="Grupo 24">
          <a:extLst>
            <a:ext uri="{FF2B5EF4-FFF2-40B4-BE49-F238E27FC236}">
              <a16:creationId xmlns:a16="http://schemas.microsoft.com/office/drawing/2014/main" id="{3C7E2896-BEE8-41E5-8291-9B3087181870}"/>
            </a:ext>
          </a:extLst>
        </xdr:cNvPr>
        <xdr:cNvGrpSpPr/>
      </xdr:nvGrpSpPr>
      <xdr:grpSpPr>
        <a:xfrm>
          <a:off x="159191791" y="10876379"/>
          <a:ext cx="8230456" cy="4762043"/>
          <a:chOff x="19047835" y="5411932"/>
          <a:chExt cx="6461847" cy="3659084"/>
        </a:xfrm>
      </xdr:grpSpPr>
      <xdr:sp macro="" textlink="">
        <xdr:nvSpPr>
          <xdr:cNvPr id="16" name="Rectángulo: esquinas redondeadas 6">
            <a:extLst>
              <a:ext uri="{FF2B5EF4-FFF2-40B4-BE49-F238E27FC236}">
                <a16:creationId xmlns:a16="http://schemas.microsoft.com/office/drawing/2014/main" id="{F4BCCB14-4B2D-991A-F11E-FCAD8D8B4BAB}"/>
              </a:ext>
            </a:extLst>
          </xdr:cNvPr>
          <xdr:cNvSpPr/>
        </xdr:nvSpPr>
        <xdr:spPr>
          <a:xfrm>
            <a:off x="19047835" y="5411932"/>
            <a:ext cx="6461847" cy="3659084"/>
          </a:xfrm>
          <a:prstGeom prst="roundRect">
            <a:avLst>
              <a:gd name="adj" fmla="val 4167"/>
            </a:avLst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1600" b="1">
                <a:solidFill>
                  <a:schemeClr val="bg1">
                    <a:lumMod val="95000"/>
                  </a:schemeClr>
                </a:solidFill>
              </a:rPr>
              <a:t>Análisis</a:t>
            </a:r>
            <a:r>
              <a:rPr lang="es-CL" sz="1600" b="1" baseline="0">
                <a:solidFill>
                  <a:schemeClr val="bg1">
                    <a:lumMod val="95000"/>
                  </a:schemeClr>
                </a:solidFill>
              </a:rPr>
              <a:t> de Información (Chile)</a:t>
            </a:r>
          </a:p>
          <a:p>
            <a:pPr algn="ctr"/>
            <a:endParaRPr lang="es-CL" sz="1600" b="1">
              <a:solidFill>
                <a:schemeClr val="tx2"/>
              </a:solidFill>
            </a:endParaRPr>
          </a:p>
        </xdr:txBody>
      </xdr:sp>
      <xdr:graphicFrame macro="">
        <xdr:nvGraphicFramePr>
          <xdr:cNvPr id="17" name="Gráfico 7">
            <a:extLst>
              <a:ext uri="{FF2B5EF4-FFF2-40B4-BE49-F238E27FC236}">
                <a16:creationId xmlns:a16="http://schemas.microsoft.com/office/drawing/2014/main" id="{42233597-4402-A5AF-41FA-76B196882903}"/>
              </a:ext>
            </a:extLst>
          </xdr:cNvPr>
          <xdr:cNvGraphicFramePr>
            <a:graphicFrameLocks/>
          </xdr:cNvGraphicFramePr>
        </xdr:nvGraphicFramePr>
        <xdr:xfrm>
          <a:off x="19316206" y="6046951"/>
          <a:ext cx="5713391" cy="27633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 editAs="absolute">
    <xdr:from>
      <xdr:col>163</xdr:col>
      <xdr:colOff>766700</xdr:colOff>
      <xdr:row>10</xdr:row>
      <xdr:rowOff>17021</xdr:rowOff>
    </xdr:from>
    <xdr:to>
      <xdr:col>169</xdr:col>
      <xdr:colOff>381270</xdr:colOff>
      <xdr:row>26</xdr:row>
      <xdr:rowOff>302762</xdr:rowOff>
    </xdr:to>
    <xdr:grpSp>
      <xdr:nvGrpSpPr>
        <xdr:cNvPr id="18" name="Grupo 79">
          <a:extLst>
            <a:ext uri="{FF2B5EF4-FFF2-40B4-BE49-F238E27FC236}">
              <a16:creationId xmlns:a16="http://schemas.microsoft.com/office/drawing/2014/main" id="{8C04CBD4-D7E7-477E-9340-F248D6D33693}"/>
            </a:ext>
          </a:extLst>
        </xdr:cNvPr>
        <xdr:cNvGrpSpPr/>
      </xdr:nvGrpSpPr>
      <xdr:grpSpPr>
        <a:xfrm>
          <a:off x="167422450" y="2207771"/>
          <a:ext cx="4948570" cy="3524241"/>
          <a:chOff x="32923370" y="5507150"/>
          <a:chExt cx="4234376" cy="3012054"/>
        </a:xfrm>
      </xdr:grpSpPr>
      <xdr:graphicFrame macro="">
        <xdr:nvGraphicFramePr>
          <xdr:cNvPr id="19" name="Gráfico 25">
            <a:extLst>
              <a:ext uri="{FF2B5EF4-FFF2-40B4-BE49-F238E27FC236}">
                <a16:creationId xmlns:a16="http://schemas.microsoft.com/office/drawing/2014/main" id="{E8A3ADF3-6251-A32F-0A66-17CEBADAB47F}"/>
              </a:ext>
            </a:extLst>
          </xdr:cNvPr>
          <xdr:cNvGraphicFramePr>
            <a:graphicFrameLocks/>
          </xdr:cNvGraphicFramePr>
        </xdr:nvGraphicFramePr>
        <xdr:xfrm>
          <a:off x="33128474" y="5507150"/>
          <a:ext cx="3918857" cy="30120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pic>
        <xdr:nvPicPr>
          <xdr:cNvPr id="20" name="Imagen 26" descr="rusia bandera de es.wikipedia.org">
            <a:extLst>
              <a:ext uri="{FF2B5EF4-FFF2-40B4-BE49-F238E27FC236}">
                <a16:creationId xmlns:a16="http://schemas.microsoft.com/office/drawing/2014/main" id="{3DD5A934-8478-8BF8-39F8-D20D8C788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3518382" y="5644027"/>
            <a:ext cx="175873" cy="1776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" name="Imagen 28" descr="peru bandera de es.wikipedia.org">
            <a:extLst>
              <a:ext uri="{FF2B5EF4-FFF2-40B4-BE49-F238E27FC236}">
                <a16:creationId xmlns:a16="http://schemas.microsoft.com/office/drawing/2014/main" id="{D66A4C47-202C-7668-F6B8-373B2838A10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105"/>
          <a:stretch/>
        </xdr:blipFill>
        <xdr:spPr bwMode="auto">
          <a:xfrm>
            <a:off x="33016575" y="7370110"/>
            <a:ext cx="196709" cy="12930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Imagen 29" descr="brasil bandera de es.wikipedia.org">
            <a:extLst>
              <a:ext uri="{FF2B5EF4-FFF2-40B4-BE49-F238E27FC236}">
                <a16:creationId xmlns:a16="http://schemas.microsoft.com/office/drawing/2014/main" id="{EC45100A-0A06-C559-F2CB-9C1CB0772DB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923370" y="6034062"/>
            <a:ext cx="176738" cy="1776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" name="Imagen 31" descr="botón de bandera cuadrada de Chile,: vector de stock (libre ...">
            <a:extLst>
              <a:ext uri="{FF2B5EF4-FFF2-40B4-BE49-F238E27FC236}">
                <a16:creationId xmlns:a16="http://schemas.microsoft.com/office/drawing/2014/main" id="{0D035446-E740-A3F6-0C36-377466C2EC1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525" t="4916" r="5525" b="12148"/>
          <a:stretch/>
        </xdr:blipFill>
        <xdr:spPr bwMode="auto">
          <a:xfrm>
            <a:off x="36952402" y="7740042"/>
            <a:ext cx="205344" cy="1552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" name="Imagen 32" descr="Conoces las banderas del mundo? Ponte a prueba con este test">
            <a:extLst>
              <a:ext uri="{FF2B5EF4-FFF2-40B4-BE49-F238E27FC236}">
                <a16:creationId xmlns:a16="http://schemas.microsoft.com/office/drawing/2014/main" id="{E8D49093-BA3B-F20B-0053-396FF96557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544456" y="5612615"/>
            <a:ext cx="562222" cy="319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154</xdr:col>
      <xdr:colOff>190020</xdr:colOff>
      <xdr:row>26</xdr:row>
      <xdr:rowOff>282137</xdr:rowOff>
    </xdr:from>
    <xdr:to>
      <xdr:col>163</xdr:col>
      <xdr:colOff>652295</xdr:colOff>
      <xdr:row>377</xdr:row>
      <xdr:rowOff>113291</xdr:rowOff>
    </xdr:to>
    <xdr:graphicFrame macro="">
      <xdr:nvGraphicFramePr>
        <xdr:cNvPr id="25" name="Gráfico 80">
          <a:extLst>
            <a:ext uri="{FF2B5EF4-FFF2-40B4-BE49-F238E27FC236}">
              <a16:creationId xmlns:a16="http://schemas.microsoft.com/office/drawing/2014/main" id="{4D1EBC46-6BCA-495A-91A8-6E7823776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52</xdr:col>
      <xdr:colOff>95248</xdr:colOff>
      <xdr:row>26</xdr:row>
      <xdr:rowOff>285750</xdr:rowOff>
    </xdr:from>
    <xdr:to>
      <xdr:col>54</xdr:col>
      <xdr:colOff>666750</xdr:colOff>
      <xdr:row>29</xdr:row>
      <xdr:rowOff>0</xdr:rowOff>
    </xdr:to>
    <xdr:sp macro="" textlink="">
      <xdr:nvSpPr>
        <xdr:cNvPr id="26" name="CuadroTexto 82">
          <a:extLst>
            <a:ext uri="{FF2B5EF4-FFF2-40B4-BE49-F238E27FC236}">
              <a16:creationId xmlns:a16="http://schemas.microsoft.com/office/drawing/2014/main" id="{A8687C9B-C32F-4DE4-86D4-B3AA07410BD3}"/>
            </a:ext>
          </a:extLst>
        </xdr:cNvPr>
        <xdr:cNvSpPr txBox="1"/>
      </xdr:nvSpPr>
      <xdr:spPr>
        <a:xfrm>
          <a:off x="40016428" y="5383530"/>
          <a:ext cx="2484122" cy="26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1">
              <a:solidFill>
                <a:srgbClr val="002060"/>
              </a:solidFill>
            </a:rPr>
            <a:t>Distribución</a:t>
          </a:r>
          <a:r>
            <a:rPr lang="es-CL" sz="1400" b="1" baseline="0">
              <a:solidFill>
                <a:srgbClr val="002060"/>
              </a:solidFill>
            </a:rPr>
            <a:t> por Estado 2023</a:t>
          </a:r>
          <a:endParaRPr lang="es-CL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65</xdr:col>
      <xdr:colOff>764719</xdr:colOff>
      <xdr:row>4</xdr:row>
      <xdr:rowOff>125185</xdr:rowOff>
    </xdr:from>
    <xdr:to>
      <xdr:col>69</xdr:col>
      <xdr:colOff>2721</xdr:colOff>
      <xdr:row>6</xdr:row>
      <xdr:rowOff>125185</xdr:rowOff>
    </xdr:to>
    <xdr:sp macro="" textlink="">
      <xdr:nvSpPr>
        <xdr:cNvPr id="27" name="CuadroTexto 83">
          <a:extLst>
            <a:ext uri="{FF2B5EF4-FFF2-40B4-BE49-F238E27FC236}">
              <a16:creationId xmlns:a16="http://schemas.microsoft.com/office/drawing/2014/main" id="{92800868-DD90-4A88-80E2-16C315D802EB}"/>
            </a:ext>
          </a:extLst>
        </xdr:cNvPr>
        <xdr:cNvSpPr txBox="1"/>
      </xdr:nvSpPr>
      <xdr:spPr>
        <a:xfrm>
          <a:off x="53144599" y="833845"/>
          <a:ext cx="3962402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1">
              <a:solidFill>
                <a:srgbClr val="002060"/>
              </a:solidFill>
            </a:rPr>
            <a:t>Otras Tablas</a:t>
          </a:r>
        </a:p>
      </xdr:txBody>
    </xdr:sp>
    <xdr:clientData/>
  </xdr:twoCellAnchor>
  <xdr:twoCellAnchor>
    <xdr:from>
      <xdr:col>56</xdr:col>
      <xdr:colOff>1034139</xdr:colOff>
      <xdr:row>26</xdr:row>
      <xdr:rowOff>285750</xdr:rowOff>
    </xdr:from>
    <xdr:to>
      <xdr:col>58</xdr:col>
      <xdr:colOff>966106</xdr:colOff>
      <xdr:row>29</xdr:row>
      <xdr:rowOff>0</xdr:rowOff>
    </xdr:to>
    <xdr:sp macro="" textlink="">
      <xdr:nvSpPr>
        <xdr:cNvPr id="28" name="CuadroTexto 88">
          <a:extLst>
            <a:ext uri="{FF2B5EF4-FFF2-40B4-BE49-F238E27FC236}">
              <a16:creationId xmlns:a16="http://schemas.microsoft.com/office/drawing/2014/main" id="{525E1809-56C1-4CAF-B348-15B30E7B4433}"/>
            </a:ext>
          </a:extLst>
        </xdr:cNvPr>
        <xdr:cNvSpPr txBox="1"/>
      </xdr:nvSpPr>
      <xdr:spPr>
        <a:xfrm>
          <a:off x="44452899" y="5383530"/>
          <a:ext cx="2637067" cy="26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1">
              <a:solidFill>
                <a:srgbClr val="002060"/>
              </a:solidFill>
            </a:rPr>
            <a:t>Distribución</a:t>
          </a:r>
          <a:r>
            <a:rPr lang="es-CL" sz="1400" b="1" baseline="0">
              <a:solidFill>
                <a:srgbClr val="002060"/>
              </a:solidFill>
            </a:rPr>
            <a:t> por Cliente 2023</a:t>
          </a:r>
          <a:endParaRPr lang="es-CL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47</xdr:col>
      <xdr:colOff>421822</xdr:colOff>
      <xdr:row>0</xdr:row>
      <xdr:rowOff>81643</xdr:rowOff>
    </xdr:from>
    <xdr:to>
      <xdr:col>54</xdr:col>
      <xdr:colOff>272143</xdr:colOff>
      <xdr:row>3</xdr:row>
      <xdr:rowOff>122466</xdr:rowOff>
    </xdr:to>
    <xdr:sp macro="" textlink="">
      <xdr:nvSpPr>
        <xdr:cNvPr id="29" name="CuadroTexto 89">
          <a:extLst>
            <a:ext uri="{FF2B5EF4-FFF2-40B4-BE49-F238E27FC236}">
              <a16:creationId xmlns:a16="http://schemas.microsoft.com/office/drawing/2014/main" id="{1C6FEA04-C5BF-4875-9ED7-F8CCB218C70A}"/>
            </a:ext>
          </a:extLst>
        </xdr:cNvPr>
        <xdr:cNvSpPr txBox="1"/>
      </xdr:nvSpPr>
      <xdr:spPr>
        <a:xfrm>
          <a:off x="36052942" y="81643"/>
          <a:ext cx="6053001" cy="566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2800" b="1">
              <a:solidFill>
                <a:schemeClr val="bg1"/>
              </a:solidFill>
            </a:rPr>
            <a:t>Dashboard</a:t>
          </a:r>
          <a:r>
            <a:rPr lang="es-CL" sz="2800" b="1" baseline="0">
              <a:solidFill>
                <a:schemeClr val="bg1"/>
              </a:solidFill>
            </a:rPr>
            <a:t> Ejecutivo REDCO</a:t>
          </a:r>
          <a:endParaRPr lang="es-CL" sz="2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169</xdr:col>
      <xdr:colOff>345851</xdr:colOff>
      <xdr:row>28</xdr:row>
      <xdr:rowOff>132259</xdr:rowOff>
    </xdr:from>
    <xdr:to>
      <xdr:col>179</xdr:col>
      <xdr:colOff>58065</xdr:colOff>
      <xdr:row>377</xdr:row>
      <xdr:rowOff>75732</xdr:rowOff>
    </xdr:to>
    <xdr:graphicFrame macro="">
      <xdr:nvGraphicFramePr>
        <xdr:cNvPr id="30" name="Gráfico 30">
          <a:extLst>
            <a:ext uri="{FF2B5EF4-FFF2-40B4-BE49-F238E27FC236}">
              <a16:creationId xmlns:a16="http://schemas.microsoft.com/office/drawing/2014/main" id="{5E2365CB-E26D-495C-BB35-DBD59B716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52</xdr:col>
      <xdr:colOff>125184</xdr:colOff>
      <xdr:row>8</xdr:row>
      <xdr:rowOff>2721</xdr:rowOff>
    </xdr:from>
    <xdr:to>
      <xdr:col>54</xdr:col>
      <xdr:colOff>696686</xdr:colOff>
      <xdr:row>9</xdr:row>
      <xdr:rowOff>234043</xdr:rowOff>
    </xdr:to>
    <xdr:sp macro="" textlink="">
      <xdr:nvSpPr>
        <xdr:cNvPr id="31" name="CuadroTexto 32">
          <a:extLst>
            <a:ext uri="{FF2B5EF4-FFF2-40B4-BE49-F238E27FC236}">
              <a16:creationId xmlns:a16="http://schemas.microsoft.com/office/drawing/2014/main" id="{F8CF69C0-E61C-44AC-9DA9-774CBECB914F}"/>
            </a:ext>
          </a:extLst>
        </xdr:cNvPr>
        <xdr:cNvSpPr txBox="1"/>
      </xdr:nvSpPr>
      <xdr:spPr>
        <a:xfrm>
          <a:off x="40046364" y="1534341"/>
          <a:ext cx="2484122" cy="414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1">
              <a:solidFill>
                <a:srgbClr val="002060"/>
              </a:solidFill>
            </a:rPr>
            <a:t>Distribución</a:t>
          </a:r>
          <a:r>
            <a:rPr lang="es-CL" sz="1400" b="1" baseline="0">
              <a:solidFill>
                <a:srgbClr val="002060"/>
              </a:solidFill>
            </a:rPr>
            <a:t> por País 2023</a:t>
          </a:r>
          <a:endParaRPr lang="es-CL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46</xdr:col>
      <xdr:colOff>704868</xdr:colOff>
      <xdr:row>28</xdr:row>
      <xdr:rowOff>170412</xdr:rowOff>
    </xdr:from>
    <xdr:to>
      <xdr:col>46</xdr:col>
      <xdr:colOff>704868</xdr:colOff>
      <xdr:row>43</xdr:row>
      <xdr:rowOff>25905</xdr:rowOff>
    </xdr:to>
    <xdr:cxnSp macro="">
      <xdr:nvCxnSpPr>
        <xdr:cNvPr id="32" name="Conector recto 35">
          <a:extLst>
            <a:ext uri="{FF2B5EF4-FFF2-40B4-BE49-F238E27FC236}">
              <a16:creationId xmlns:a16="http://schemas.microsoft.com/office/drawing/2014/main" id="{6ED9AB79-14F6-4C0A-831F-931489FF3D50}"/>
            </a:ext>
          </a:extLst>
        </xdr:cNvPr>
        <xdr:cNvCxnSpPr/>
      </xdr:nvCxnSpPr>
      <xdr:spPr>
        <a:xfrm flipV="1">
          <a:off x="35543508" y="5410200"/>
          <a:ext cx="0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588613</xdr:colOff>
      <xdr:row>26</xdr:row>
      <xdr:rowOff>85777</xdr:rowOff>
    </xdr:from>
    <xdr:to>
      <xdr:col>46</xdr:col>
      <xdr:colOff>763472</xdr:colOff>
      <xdr:row>29</xdr:row>
      <xdr:rowOff>75979</xdr:rowOff>
    </xdr:to>
    <xdr:sp macro="" textlink="">
      <xdr:nvSpPr>
        <xdr:cNvPr id="33" name="CuadroTexto 36">
          <a:extLst>
            <a:ext uri="{FF2B5EF4-FFF2-40B4-BE49-F238E27FC236}">
              <a16:creationId xmlns:a16="http://schemas.microsoft.com/office/drawing/2014/main" id="{FB2076EC-2FF4-40D9-A25D-0F1F2798E90E}"/>
            </a:ext>
          </a:extLst>
        </xdr:cNvPr>
        <xdr:cNvSpPr txBox="1"/>
      </xdr:nvSpPr>
      <xdr:spPr>
        <a:xfrm rot="16200000">
          <a:off x="35401361" y="5209449"/>
          <a:ext cx="226643" cy="1748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000" b="1">
              <a:solidFill>
                <a:srgbClr val="002060"/>
              </a:solidFill>
            </a:rPr>
            <a:t>Corte</a:t>
          </a:r>
        </a:p>
      </xdr:txBody>
    </xdr:sp>
    <xdr:clientData/>
  </xdr:twoCellAnchor>
  <xdr:twoCellAnchor>
    <xdr:from>
      <xdr:col>47</xdr:col>
      <xdr:colOff>104424</xdr:colOff>
      <xdr:row>9</xdr:row>
      <xdr:rowOff>288790</xdr:rowOff>
    </xdr:from>
    <xdr:to>
      <xdr:col>47</xdr:col>
      <xdr:colOff>104424</xdr:colOff>
      <xdr:row>23</xdr:row>
      <xdr:rowOff>174490</xdr:rowOff>
    </xdr:to>
    <xdr:cxnSp macro="">
      <xdr:nvCxnSpPr>
        <xdr:cNvPr id="34" name="Conector recto 38">
          <a:extLst>
            <a:ext uri="{FF2B5EF4-FFF2-40B4-BE49-F238E27FC236}">
              <a16:creationId xmlns:a16="http://schemas.microsoft.com/office/drawing/2014/main" id="{CDD4A779-E059-4CEB-BB87-C27CF5333E46}"/>
            </a:ext>
          </a:extLst>
        </xdr:cNvPr>
        <xdr:cNvCxnSpPr/>
      </xdr:nvCxnSpPr>
      <xdr:spPr>
        <a:xfrm flipV="1">
          <a:off x="35735544" y="2003290"/>
          <a:ext cx="0" cy="270510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756759</xdr:colOff>
      <xdr:row>7</xdr:row>
      <xdr:rowOff>1410</xdr:rowOff>
    </xdr:from>
    <xdr:to>
      <xdr:col>47</xdr:col>
      <xdr:colOff>133498</xdr:colOff>
      <xdr:row>10</xdr:row>
      <xdr:rowOff>37876</xdr:rowOff>
    </xdr:to>
    <xdr:sp macro="" textlink="">
      <xdr:nvSpPr>
        <xdr:cNvPr id="35" name="CuadroTexto 39">
          <a:extLst>
            <a:ext uri="{FF2B5EF4-FFF2-40B4-BE49-F238E27FC236}">
              <a16:creationId xmlns:a16="http://schemas.microsoft.com/office/drawing/2014/main" id="{BEB15FA2-3D88-43B4-A92B-6234D1EAE6AC}"/>
            </a:ext>
          </a:extLst>
        </xdr:cNvPr>
        <xdr:cNvSpPr txBox="1"/>
      </xdr:nvSpPr>
      <xdr:spPr>
        <a:xfrm rot="16200000">
          <a:off x="35322686" y="1622863"/>
          <a:ext cx="714646" cy="169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000" b="1">
              <a:solidFill>
                <a:srgbClr val="002060"/>
              </a:solidFill>
            </a:rPr>
            <a:t>Corte</a:t>
          </a:r>
        </a:p>
      </xdr:txBody>
    </xdr:sp>
    <xdr:clientData/>
  </xdr:twoCellAnchor>
  <xdr:twoCellAnchor editAs="oneCell">
    <xdr:from>
      <xdr:col>1</xdr:col>
      <xdr:colOff>412376</xdr:colOff>
      <xdr:row>0</xdr:row>
      <xdr:rowOff>89647</xdr:rowOff>
    </xdr:from>
    <xdr:to>
      <xdr:col>2</xdr:col>
      <xdr:colOff>731007</xdr:colOff>
      <xdr:row>3</xdr:row>
      <xdr:rowOff>102115</xdr:rowOff>
    </xdr:to>
    <xdr:pic>
      <xdr:nvPicPr>
        <xdr:cNvPr id="40" name="Imagen 36" descr="Servicios – Redco – Mining Consultants">
          <a:extLst>
            <a:ext uri="{FF2B5EF4-FFF2-40B4-BE49-F238E27FC236}">
              <a16:creationId xmlns:a16="http://schemas.microsoft.com/office/drawing/2014/main" id="{E5B4F876-F41B-4F1D-BDDB-85C290C9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270" y="89647"/>
          <a:ext cx="2163759" cy="50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134</xdr:col>
      <xdr:colOff>361941</xdr:colOff>
      <xdr:row>7</xdr:row>
      <xdr:rowOff>40929</xdr:rowOff>
    </xdr:from>
    <xdr:to>
      <xdr:col>143</xdr:col>
      <xdr:colOff>346759</xdr:colOff>
      <xdr:row>27</xdr:row>
      <xdr:rowOff>4363</xdr:rowOff>
    </xdr:to>
    <xdr:graphicFrame macro="">
      <xdr:nvGraphicFramePr>
        <xdr:cNvPr id="53" name="Gráfico 4">
          <a:extLst>
            <a:ext uri="{FF2B5EF4-FFF2-40B4-BE49-F238E27FC236}">
              <a16:creationId xmlns:a16="http://schemas.microsoft.com/office/drawing/2014/main" id="{3325668F-FE07-41B8-80CE-FA240F014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149</xdr:col>
      <xdr:colOff>671526</xdr:colOff>
      <xdr:row>56</xdr:row>
      <xdr:rowOff>166290</xdr:rowOff>
    </xdr:from>
    <xdr:to>
      <xdr:col>158</xdr:col>
      <xdr:colOff>199692</xdr:colOff>
      <xdr:row>84</xdr:row>
      <xdr:rowOff>41701</xdr:rowOff>
    </xdr:to>
    <xdr:grpSp>
      <xdr:nvGrpSpPr>
        <xdr:cNvPr id="66" name="Grupo 23">
          <a:extLst>
            <a:ext uri="{FF2B5EF4-FFF2-40B4-BE49-F238E27FC236}">
              <a16:creationId xmlns:a16="http://schemas.microsoft.com/office/drawing/2014/main" id="{C407D2AC-A3AE-40EA-86C6-DA668DE3D935}"/>
            </a:ext>
          </a:extLst>
        </xdr:cNvPr>
        <xdr:cNvGrpSpPr/>
      </xdr:nvGrpSpPr>
      <xdr:grpSpPr>
        <a:xfrm>
          <a:off x="152255097" y="10779861"/>
          <a:ext cx="7420309" cy="4955411"/>
          <a:chOff x="25727396" y="5425540"/>
          <a:chExt cx="6950918" cy="3659084"/>
        </a:xfrm>
      </xdr:grpSpPr>
      <xdr:sp macro="" textlink="">
        <xdr:nvSpPr>
          <xdr:cNvPr id="67" name="Rectángulo: esquinas redondeadas 10">
            <a:extLst>
              <a:ext uri="{FF2B5EF4-FFF2-40B4-BE49-F238E27FC236}">
                <a16:creationId xmlns:a16="http://schemas.microsoft.com/office/drawing/2014/main" id="{2B58258F-81D4-242A-EEFF-99A814DD2949}"/>
              </a:ext>
            </a:extLst>
          </xdr:cNvPr>
          <xdr:cNvSpPr/>
        </xdr:nvSpPr>
        <xdr:spPr>
          <a:xfrm>
            <a:off x="25727396" y="5425540"/>
            <a:ext cx="6950918" cy="3659084"/>
          </a:xfrm>
          <a:prstGeom prst="roundRect">
            <a:avLst>
              <a:gd name="adj" fmla="val 4167"/>
            </a:avLst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1600" b="1">
                <a:solidFill>
                  <a:schemeClr val="bg1">
                    <a:lumMod val="95000"/>
                  </a:schemeClr>
                </a:solidFill>
              </a:rPr>
              <a:t>Análisis</a:t>
            </a:r>
            <a:r>
              <a:rPr lang="es-CL" sz="1600" b="1" baseline="0">
                <a:solidFill>
                  <a:schemeClr val="bg1">
                    <a:lumMod val="95000"/>
                  </a:schemeClr>
                </a:solidFill>
              </a:rPr>
              <a:t> de Información (Perú)</a:t>
            </a:r>
          </a:p>
          <a:p>
            <a:pPr algn="ctr"/>
            <a:endParaRPr lang="es-CL" sz="1600" b="1">
              <a:solidFill>
                <a:schemeClr val="tx2"/>
              </a:solidFill>
            </a:endParaRPr>
          </a:p>
        </xdr:txBody>
      </xdr:sp>
      <xdr:graphicFrame macro="">
        <xdr:nvGraphicFramePr>
          <xdr:cNvPr id="68" name="Gráfico 11">
            <a:extLst>
              <a:ext uri="{FF2B5EF4-FFF2-40B4-BE49-F238E27FC236}">
                <a16:creationId xmlns:a16="http://schemas.microsoft.com/office/drawing/2014/main" id="{5452B5AF-122C-E20F-8CAE-9E12FD30D9D5}"/>
              </a:ext>
            </a:extLst>
          </xdr:cNvPr>
          <xdr:cNvGraphicFramePr>
            <a:graphicFrameLocks/>
          </xdr:cNvGraphicFramePr>
        </xdr:nvGraphicFramePr>
        <xdr:xfrm>
          <a:off x="25975047" y="6046952"/>
          <a:ext cx="6427148" cy="27633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137</xdr:col>
      <xdr:colOff>623694</xdr:colOff>
      <xdr:row>85</xdr:row>
      <xdr:rowOff>74922</xdr:rowOff>
    </xdr:from>
    <xdr:to>
      <xdr:col>146</xdr:col>
      <xdr:colOff>644969</xdr:colOff>
      <xdr:row>107</xdr:row>
      <xdr:rowOff>139235</xdr:rowOff>
    </xdr:to>
    <xdr:grpSp>
      <xdr:nvGrpSpPr>
        <xdr:cNvPr id="81" name="Grupo 21">
          <a:extLst>
            <a:ext uri="{FF2B5EF4-FFF2-40B4-BE49-F238E27FC236}">
              <a16:creationId xmlns:a16="http://schemas.microsoft.com/office/drawing/2014/main" id="{123EFF5D-41A5-430E-9930-EC6DE1B9C1A5}"/>
            </a:ext>
          </a:extLst>
        </xdr:cNvPr>
        <xdr:cNvGrpSpPr/>
      </xdr:nvGrpSpPr>
      <xdr:grpSpPr>
        <a:xfrm>
          <a:off x="141684408" y="15949922"/>
          <a:ext cx="7913418" cy="4055742"/>
          <a:chOff x="19024022" y="9369136"/>
          <a:chExt cx="6485661" cy="3666507"/>
        </a:xfrm>
      </xdr:grpSpPr>
      <xdr:sp macro="" textlink="">
        <xdr:nvSpPr>
          <xdr:cNvPr id="82" name="Rectángulo: esquinas redondeadas 12">
            <a:extLst>
              <a:ext uri="{FF2B5EF4-FFF2-40B4-BE49-F238E27FC236}">
                <a16:creationId xmlns:a16="http://schemas.microsoft.com/office/drawing/2014/main" id="{955692DF-693C-6342-AC86-51855C510DB0}"/>
              </a:ext>
            </a:extLst>
          </xdr:cNvPr>
          <xdr:cNvSpPr/>
        </xdr:nvSpPr>
        <xdr:spPr>
          <a:xfrm>
            <a:off x="19024022" y="9369136"/>
            <a:ext cx="6485661" cy="3666507"/>
          </a:xfrm>
          <a:prstGeom prst="roundRect">
            <a:avLst>
              <a:gd name="adj" fmla="val 4167"/>
            </a:avLst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1600" b="1">
                <a:solidFill>
                  <a:schemeClr val="bg1">
                    <a:lumMod val="95000"/>
                  </a:schemeClr>
                </a:solidFill>
              </a:rPr>
              <a:t>Análisis</a:t>
            </a:r>
            <a:r>
              <a:rPr lang="es-CL" sz="1600" b="1" baseline="0">
                <a:solidFill>
                  <a:schemeClr val="bg1">
                    <a:lumMod val="95000"/>
                  </a:schemeClr>
                </a:solidFill>
              </a:rPr>
              <a:t> de Información (Brasil)</a:t>
            </a:r>
          </a:p>
          <a:p>
            <a:pPr algn="ctr"/>
            <a:endParaRPr lang="es-CL" sz="1600" b="1">
              <a:solidFill>
                <a:schemeClr val="tx2"/>
              </a:solidFill>
            </a:endParaRPr>
          </a:p>
        </xdr:txBody>
      </xdr:sp>
      <xdr:graphicFrame macro="">
        <xdr:nvGraphicFramePr>
          <xdr:cNvPr id="83" name="Gráfico 14">
            <a:extLst>
              <a:ext uri="{FF2B5EF4-FFF2-40B4-BE49-F238E27FC236}">
                <a16:creationId xmlns:a16="http://schemas.microsoft.com/office/drawing/2014/main" id="{77E4BE12-5948-EF20-9C0E-7A1DF58D036A}"/>
              </a:ext>
            </a:extLst>
          </xdr:cNvPr>
          <xdr:cNvGraphicFramePr>
            <a:graphicFrameLocks/>
          </xdr:cNvGraphicFramePr>
        </xdr:nvGraphicFramePr>
        <xdr:xfrm>
          <a:off x="19291714" y="9919048"/>
          <a:ext cx="5713391" cy="27633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absolute">
    <xdr:from>
      <xdr:col>149</xdr:col>
      <xdr:colOff>673921</xdr:colOff>
      <xdr:row>85</xdr:row>
      <xdr:rowOff>62570</xdr:rowOff>
    </xdr:from>
    <xdr:to>
      <xdr:col>158</xdr:col>
      <xdr:colOff>313551</xdr:colOff>
      <xdr:row>108</xdr:row>
      <xdr:rowOff>33098</xdr:rowOff>
    </xdr:to>
    <xdr:grpSp>
      <xdr:nvGrpSpPr>
        <xdr:cNvPr id="96" name="Grupo 22">
          <a:extLst>
            <a:ext uri="{FF2B5EF4-FFF2-40B4-BE49-F238E27FC236}">
              <a16:creationId xmlns:a16="http://schemas.microsoft.com/office/drawing/2014/main" id="{558179E5-647E-4411-8216-CFD5107CDE7E}"/>
            </a:ext>
          </a:extLst>
        </xdr:cNvPr>
        <xdr:cNvGrpSpPr/>
      </xdr:nvGrpSpPr>
      <xdr:grpSpPr>
        <a:xfrm>
          <a:off x="152257492" y="15937570"/>
          <a:ext cx="7531773" cy="4143385"/>
          <a:chOff x="25713790" y="9382744"/>
          <a:chExt cx="6940850" cy="3666507"/>
        </a:xfrm>
      </xdr:grpSpPr>
      <xdr:sp macro="" textlink="">
        <xdr:nvSpPr>
          <xdr:cNvPr id="97" name="Rectángulo: esquinas redondeadas 13">
            <a:extLst>
              <a:ext uri="{FF2B5EF4-FFF2-40B4-BE49-F238E27FC236}">
                <a16:creationId xmlns:a16="http://schemas.microsoft.com/office/drawing/2014/main" id="{A76776AE-9405-2328-B4D3-C577D773ECFE}"/>
              </a:ext>
            </a:extLst>
          </xdr:cNvPr>
          <xdr:cNvSpPr/>
        </xdr:nvSpPr>
        <xdr:spPr>
          <a:xfrm>
            <a:off x="25713790" y="9382744"/>
            <a:ext cx="6940850" cy="3666507"/>
          </a:xfrm>
          <a:prstGeom prst="roundRect">
            <a:avLst>
              <a:gd name="adj" fmla="val 4167"/>
            </a:avLst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1600" b="1">
                <a:solidFill>
                  <a:schemeClr val="bg1">
                    <a:lumMod val="95000"/>
                  </a:schemeClr>
                </a:solidFill>
              </a:rPr>
              <a:t>Análisis</a:t>
            </a:r>
            <a:r>
              <a:rPr lang="es-CL" sz="1600" b="1" baseline="0">
                <a:solidFill>
                  <a:schemeClr val="bg1">
                    <a:lumMod val="95000"/>
                  </a:schemeClr>
                </a:solidFill>
              </a:rPr>
              <a:t> de Información (Rusia)</a:t>
            </a:r>
          </a:p>
          <a:p>
            <a:pPr algn="ctr"/>
            <a:endParaRPr lang="es-CL" sz="1600" b="1">
              <a:solidFill>
                <a:schemeClr val="tx2"/>
              </a:solidFill>
            </a:endParaRPr>
          </a:p>
        </xdr:txBody>
      </xdr:sp>
      <xdr:graphicFrame macro="">
        <xdr:nvGraphicFramePr>
          <xdr:cNvPr id="98" name="Gráfico 15">
            <a:extLst>
              <a:ext uri="{FF2B5EF4-FFF2-40B4-BE49-F238E27FC236}">
                <a16:creationId xmlns:a16="http://schemas.microsoft.com/office/drawing/2014/main" id="{94626C23-4D2B-C241-6280-C0170BB10D08}"/>
              </a:ext>
            </a:extLst>
          </xdr:cNvPr>
          <xdr:cNvGraphicFramePr>
            <a:graphicFrameLocks/>
          </xdr:cNvGraphicFramePr>
        </xdr:nvGraphicFramePr>
        <xdr:xfrm>
          <a:off x="25950555" y="9919049"/>
          <a:ext cx="6427148" cy="27633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36</xdr:col>
      <xdr:colOff>7423</xdr:colOff>
      <xdr:row>48</xdr:row>
      <xdr:rowOff>8295</xdr:rowOff>
    </xdr:from>
    <xdr:to>
      <xdr:col>55</xdr:col>
      <xdr:colOff>14226</xdr:colOff>
      <xdr:row>48</xdr:row>
      <xdr:rowOff>8295</xdr:rowOff>
    </xdr:to>
    <xdr:cxnSp macro="">
      <xdr:nvCxnSpPr>
        <xdr:cNvPr id="12" name="Conector recto 17">
          <a:extLst>
            <a:ext uri="{FF2B5EF4-FFF2-40B4-BE49-F238E27FC236}">
              <a16:creationId xmlns:a16="http://schemas.microsoft.com/office/drawing/2014/main" id="{91F74CC5-0B26-4DB6-A5BC-88150CF25415}"/>
            </a:ext>
          </a:extLst>
        </xdr:cNvPr>
        <xdr:cNvCxnSpPr/>
      </xdr:nvCxnSpPr>
      <xdr:spPr>
        <a:xfrm>
          <a:off x="35425183" y="9167535"/>
          <a:ext cx="20717963" cy="0"/>
        </a:xfrm>
        <a:prstGeom prst="line">
          <a:avLst/>
        </a:prstGeom>
        <a:ln w="22225">
          <a:solidFill>
            <a:schemeClr val="tx2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147</xdr:col>
      <xdr:colOff>46555</xdr:colOff>
      <xdr:row>31</xdr:row>
      <xdr:rowOff>20736</xdr:rowOff>
    </xdr:from>
    <xdr:to>
      <xdr:col>152</xdr:col>
      <xdr:colOff>21897</xdr:colOff>
      <xdr:row>50</xdr:row>
      <xdr:rowOff>32209</xdr:rowOff>
    </xdr:to>
    <xdr:graphicFrame macro="">
      <xdr:nvGraphicFramePr>
        <xdr:cNvPr id="100" name="Gráfico 20">
          <a:extLst>
            <a:ext uri="{FF2B5EF4-FFF2-40B4-BE49-F238E27FC236}">
              <a16:creationId xmlns:a16="http://schemas.microsoft.com/office/drawing/2014/main" id="{E48465F7-B184-4411-95C0-848605B99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137</xdr:col>
      <xdr:colOff>625833</xdr:colOff>
      <xdr:row>56</xdr:row>
      <xdr:rowOff>166019</xdr:rowOff>
    </xdr:from>
    <xdr:to>
      <xdr:col>146</xdr:col>
      <xdr:colOff>607482</xdr:colOff>
      <xdr:row>84</xdr:row>
      <xdr:rowOff>41701</xdr:rowOff>
    </xdr:to>
    <xdr:grpSp>
      <xdr:nvGrpSpPr>
        <xdr:cNvPr id="113" name="Grupo 24">
          <a:extLst>
            <a:ext uri="{FF2B5EF4-FFF2-40B4-BE49-F238E27FC236}">
              <a16:creationId xmlns:a16="http://schemas.microsoft.com/office/drawing/2014/main" id="{37E6A6E6-F4E7-425E-A81E-88CABC2AE5FE}"/>
            </a:ext>
          </a:extLst>
        </xdr:cNvPr>
        <xdr:cNvGrpSpPr/>
      </xdr:nvGrpSpPr>
      <xdr:grpSpPr>
        <a:xfrm>
          <a:off x="141686547" y="10779590"/>
          <a:ext cx="7873792" cy="4955682"/>
          <a:chOff x="19047835" y="5411932"/>
          <a:chExt cx="6461847" cy="3659084"/>
        </a:xfrm>
      </xdr:grpSpPr>
      <xdr:sp macro="" textlink="">
        <xdr:nvSpPr>
          <xdr:cNvPr id="114" name="Rectángulo: esquinas redondeadas 6">
            <a:extLst>
              <a:ext uri="{FF2B5EF4-FFF2-40B4-BE49-F238E27FC236}">
                <a16:creationId xmlns:a16="http://schemas.microsoft.com/office/drawing/2014/main" id="{6D515769-AEB9-ECF4-F4B4-969F0E7A6B6C}"/>
              </a:ext>
            </a:extLst>
          </xdr:cNvPr>
          <xdr:cNvSpPr/>
        </xdr:nvSpPr>
        <xdr:spPr>
          <a:xfrm>
            <a:off x="19047835" y="5411932"/>
            <a:ext cx="6461847" cy="3659084"/>
          </a:xfrm>
          <a:prstGeom prst="roundRect">
            <a:avLst>
              <a:gd name="adj" fmla="val 4167"/>
            </a:avLst>
          </a:prstGeom>
          <a:solidFill>
            <a:schemeClr val="tx2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s-CL" sz="1600" b="1">
                <a:solidFill>
                  <a:schemeClr val="bg1">
                    <a:lumMod val="95000"/>
                  </a:schemeClr>
                </a:solidFill>
              </a:rPr>
              <a:t>Análisis</a:t>
            </a:r>
            <a:r>
              <a:rPr lang="es-CL" sz="1600" b="1" baseline="0">
                <a:solidFill>
                  <a:schemeClr val="bg1">
                    <a:lumMod val="95000"/>
                  </a:schemeClr>
                </a:solidFill>
              </a:rPr>
              <a:t> de Información (Chile)</a:t>
            </a:r>
          </a:p>
          <a:p>
            <a:pPr algn="ctr"/>
            <a:endParaRPr lang="es-CL" sz="1600" b="1">
              <a:solidFill>
                <a:schemeClr val="tx2"/>
              </a:solidFill>
            </a:endParaRPr>
          </a:p>
        </xdr:txBody>
      </xdr:sp>
      <xdr:graphicFrame macro="">
        <xdr:nvGraphicFramePr>
          <xdr:cNvPr id="115" name="Gráfico 7">
            <a:extLst>
              <a:ext uri="{FF2B5EF4-FFF2-40B4-BE49-F238E27FC236}">
                <a16:creationId xmlns:a16="http://schemas.microsoft.com/office/drawing/2014/main" id="{0AB228B8-0A28-C9C0-0893-47551FBE0443}"/>
              </a:ext>
            </a:extLst>
          </xdr:cNvPr>
          <xdr:cNvGraphicFramePr>
            <a:graphicFrameLocks/>
          </xdr:cNvGraphicFramePr>
        </xdr:nvGraphicFramePr>
        <xdr:xfrm>
          <a:off x="19316206" y="6046951"/>
          <a:ext cx="5713391" cy="27633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 editAs="absolute">
    <xdr:from>
      <xdr:col>146</xdr:col>
      <xdr:colOff>607685</xdr:colOff>
      <xdr:row>10</xdr:row>
      <xdr:rowOff>174331</xdr:rowOff>
    </xdr:from>
    <xdr:to>
      <xdr:col>152</xdr:col>
      <xdr:colOff>57044</xdr:colOff>
      <xdr:row>29</xdr:row>
      <xdr:rowOff>50149</xdr:rowOff>
    </xdr:to>
    <xdr:grpSp>
      <xdr:nvGrpSpPr>
        <xdr:cNvPr id="123" name="Grupo 79">
          <a:extLst>
            <a:ext uri="{FF2B5EF4-FFF2-40B4-BE49-F238E27FC236}">
              <a16:creationId xmlns:a16="http://schemas.microsoft.com/office/drawing/2014/main" id="{5BFBB339-3C51-49FB-882A-945938A862FF}"/>
            </a:ext>
          </a:extLst>
        </xdr:cNvPr>
        <xdr:cNvGrpSpPr/>
      </xdr:nvGrpSpPr>
      <xdr:grpSpPr>
        <a:xfrm>
          <a:off x="149560542" y="2260760"/>
          <a:ext cx="4710788" cy="3504389"/>
          <a:chOff x="32923370" y="5507150"/>
          <a:chExt cx="4234376" cy="3012054"/>
        </a:xfrm>
      </xdr:grpSpPr>
      <xdr:graphicFrame macro="">
        <xdr:nvGraphicFramePr>
          <xdr:cNvPr id="124" name="Gráfico 25">
            <a:extLst>
              <a:ext uri="{FF2B5EF4-FFF2-40B4-BE49-F238E27FC236}">
                <a16:creationId xmlns:a16="http://schemas.microsoft.com/office/drawing/2014/main" id="{78457283-7FCA-2DF3-E802-373CFB5DD751}"/>
              </a:ext>
            </a:extLst>
          </xdr:cNvPr>
          <xdr:cNvGraphicFramePr>
            <a:graphicFrameLocks/>
          </xdr:cNvGraphicFramePr>
        </xdr:nvGraphicFramePr>
        <xdr:xfrm>
          <a:off x="33128474" y="5507150"/>
          <a:ext cx="3918857" cy="30120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pic>
        <xdr:nvPicPr>
          <xdr:cNvPr id="125" name="Imagen 26" descr="rusia bandera de es.wikipedia.org">
            <a:extLst>
              <a:ext uri="{FF2B5EF4-FFF2-40B4-BE49-F238E27FC236}">
                <a16:creationId xmlns:a16="http://schemas.microsoft.com/office/drawing/2014/main" id="{9817928E-CD9E-5AAD-F36E-AAD4ADA877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3518382" y="5644027"/>
            <a:ext cx="175873" cy="1776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6" name="Imagen 28" descr="peru bandera de es.wikipedia.org">
            <a:extLst>
              <a:ext uri="{FF2B5EF4-FFF2-40B4-BE49-F238E27FC236}">
                <a16:creationId xmlns:a16="http://schemas.microsoft.com/office/drawing/2014/main" id="{9F9D801E-4CBC-8B64-94CD-A6E34C5FB50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105"/>
          <a:stretch/>
        </xdr:blipFill>
        <xdr:spPr bwMode="auto">
          <a:xfrm>
            <a:off x="33016575" y="7370110"/>
            <a:ext cx="196709" cy="12930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7" name="Imagen 29" descr="brasil bandera de es.wikipedia.org">
            <a:extLst>
              <a:ext uri="{FF2B5EF4-FFF2-40B4-BE49-F238E27FC236}">
                <a16:creationId xmlns:a16="http://schemas.microsoft.com/office/drawing/2014/main" id="{89A4E6DD-AB27-EECB-B80D-C3E6052EDEB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923370" y="6034062"/>
            <a:ext cx="176738" cy="1776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8" name="Imagen 31" descr="botón de bandera cuadrada de Chile,: vector de stock (libre ...">
            <a:extLst>
              <a:ext uri="{FF2B5EF4-FFF2-40B4-BE49-F238E27FC236}">
                <a16:creationId xmlns:a16="http://schemas.microsoft.com/office/drawing/2014/main" id="{E28F771D-BCF2-C811-6989-A047CF004CB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525" t="4916" r="5525" b="12148"/>
          <a:stretch/>
        </xdr:blipFill>
        <xdr:spPr bwMode="auto">
          <a:xfrm>
            <a:off x="36952402" y="7740042"/>
            <a:ext cx="205344" cy="1552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9" name="Imagen 32" descr="Conoces las banderas del mundo? Ponte a prueba con este test">
            <a:extLst>
              <a:ext uri="{FF2B5EF4-FFF2-40B4-BE49-F238E27FC236}">
                <a16:creationId xmlns:a16="http://schemas.microsoft.com/office/drawing/2014/main" id="{DF0075B7-B636-30E6-7610-DBD475C7B1C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544456" y="5612615"/>
            <a:ext cx="562222" cy="31960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137</xdr:col>
      <xdr:colOff>278812</xdr:colOff>
      <xdr:row>29</xdr:row>
      <xdr:rowOff>29524</xdr:rowOff>
    </xdr:from>
    <xdr:to>
      <xdr:col>146</xdr:col>
      <xdr:colOff>493280</xdr:colOff>
      <xdr:row>50</xdr:row>
      <xdr:rowOff>77388</xdr:rowOff>
    </xdr:to>
    <xdr:graphicFrame macro="">
      <xdr:nvGraphicFramePr>
        <xdr:cNvPr id="140" name="Gráfico 80">
          <a:extLst>
            <a:ext uri="{FF2B5EF4-FFF2-40B4-BE49-F238E27FC236}">
              <a16:creationId xmlns:a16="http://schemas.microsoft.com/office/drawing/2014/main" id="{8C7B8841-D1E3-4DFE-AD14-681A3EADC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43</xdr:col>
      <xdr:colOff>421822</xdr:colOff>
      <xdr:row>0</xdr:row>
      <xdr:rowOff>81643</xdr:rowOff>
    </xdr:from>
    <xdr:to>
      <xdr:col>50</xdr:col>
      <xdr:colOff>272143</xdr:colOff>
      <xdr:row>3</xdr:row>
      <xdr:rowOff>122466</xdr:rowOff>
    </xdr:to>
    <xdr:sp macro="" textlink="">
      <xdr:nvSpPr>
        <xdr:cNvPr id="28" name="CuadroTexto 89">
          <a:extLst>
            <a:ext uri="{FF2B5EF4-FFF2-40B4-BE49-F238E27FC236}">
              <a16:creationId xmlns:a16="http://schemas.microsoft.com/office/drawing/2014/main" id="{D09905FD-EB07-4F54-B5B3-7AFDBACE88F7}"/>
            </a:ext>
          </a:extLst>
        </xdr:cNvPr>
        <xdr:cNvSpPr txBox="1"/>
      </xdr:nvSpPr>
      <xdr:spPr>
        <a:xfrm>
          <a:off x="40769722" y="81643"/>
          <a:ext cx="6053001" cy="566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2800" b="1">
              <a:solidFill>
                <a:schemeClr val="bg1"/>
              </a:solidFill>
            </a:rPr>
            <a:t>Dashboard</a:t>
          </a:r>
          <a:r>
            <a:rPr lang="es-CL" sz="2800" b="1" baseline="0">
              <a:solidFill>
                <a:schemeClr val="bg1"/>
              </a:solidFill>
            </a:rPr>
            <a:t> Ejecutivo REDCO</a:t>
          </a:r>
          <a:endParaRPr lang="es-CL" sz="2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152</xdr:col>
      <xdr:colOff>21625</xdr:colOff>
      <xdr:row>31</xdr:row>
      <xdr:rowOff>20733</xdr:rowOff>
    </xdr:from>
    <xdr:to>
      <xdr:col>161</xdr:col>
      <xdr:colOff>302461</xdr:colOff>
      <xdr:row>50</xdr:row>
      <xdr:rowOff>39829</xdr:rowOff>
    </xdr:to>
    <xdr:graphicFrame macro="">
      <xdr:nvGraphicFramePr>
        <xdr:cNvPr id="143" name="Gráfico 30">
          <a:extLst>
            <a:ext uri="{FF2B5EF4-FFF2-40B4-BE49-F238E27FC236}">
              <a16:creationId xmlns:a16="http://schemas.microsoft.com/office/drawing/2014/main" id="{F71828EC-C706-4D44-B29F-3F448792E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42</xdr:col>
      <xdr:colOff>588613</xdr:colOff>
      <xdr:row>26</xdr:row>
      <xdr:rowOff>85777</xdr:rowOff>
    </xdr:from>
    <xdr:to>
      <xdr:col>42</xdr:col>
      <xdr:colOff>763472</xdr:colOff>
      <xdr:row>29</xdr:row>
      <xdr:rowOff>75979</xdr:rowOff>
    </xdr:to>
    <xdr:sp macro="" textlink="">
      <xdr:nvSpPr>
        <xdr:cNvPr id="32" name="CuadroTexto 36">
          <a:extLst>
            <a:ext uri="{FF2B5EF4-FFF2-40B4-BE49-F238E27FC236}">
              <a16:creationId xmlns:a16="http://schemas.microsoft.com/office/drawing/2014/main" id="{D3B57C30-E2DD-4702-81CE-067A94B9FEF2}"/>
            </a:ext>
          </a:extLst>
        </xdr:cNvPr>
        <xdr:cNvSpPr txBox="1"/>
      </xdr:nvSpPr>
      <xdr:spPr>
        <a:xfrm rot="16200000">
          <a:off x="39897272" y="5430318"/>
          <a:ext cx="668382" cy="1748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000" b="1">
              <a:solidFill>
                <a:srgbClr val="002060"/>
              </a:solidFill>
            </a:rPr>
            <a:t>Corte</a:t>
          </a:r>
        </a:p>
      </xdr:txBody>
    </xdr:sp>
    <xdr:clientData/>
  </xdr:twoCellAnchor>
  <xdr:twoCellAnchor editAs="oneCell">
    <xdr:from>
      <xdr:col>1</xdr:col>
      <xdr:colOff>412376</xdr:colOff>
      <xdr:row>0</xdr:row>
      <xdr:rowOff>89647</xdr:rowOff>
    </xdr:from>
    <xdr:to>
      <xdr:col>2</xdr:col>
      <xdr:colOff>728766</xdr:colOff>
      <xdr:row>3</xdr:row>
      <xdr:rowOff>90013</xdr:rowOff>
    </xdr:to>
    <xdr:pic>
      <xdr:nvPicPr>
        <xdr:cNvPr id="35" name="Imagen 34" descr="Servicios – Redco – Mining Consultants">
          <a:extLst>
            <a:ext uri="{FF2B5EF4-FFF2-40B4-BE49-F238E27FC236}">
              <a16:creationId xmlns:a16="http://schemas.microsoft.com/office/drawing/2014/main" id="{30153EA3-1DEE-47A3-B789-B78D8A728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856" y="89647"/>
          <a:ext cx="2161518" cy="490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582930</xdr:colOff>
      <xdr:row>13</xdr:row>
      <xdr:rowOff>125186</xdr:rowOff>
    </xdr:from>
    <xdr:to>
      <xdr:col>46</xdr:col>
      <xdr:colOff>782683</xdr:colOff>
      <xdr:row>31</xdr:row>
      <xdr:rowOff>77288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BD89E7-C64B-FAC0-E548-27479C868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48</xdr:col>
      <xdr:colOff>-1</xdr:colOff>
      <xdr:row>13</xdr:row>
      <xdr:rowOff>97971</xdr:rowOff>
    </xdr:from>
    <xdr:to>
      <xdr:col>53</xdr:col>
      <xdr:colOff>119742</xdr:colOff>
      <xdr:row>31</xdr:row>
      <xdr:rowOff>65314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420A00-8B5A-458A-B510-D8D2E0A39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uardo Cuevas" id="{8E060334-C131-4304-B17F-BF68BCBE2961}" userId="S::ecuevas@redcoglobal.com::1895eeda-fe30-4958-a15c-75961a407efe" providerId="AD"/>
  <person displayName="Matías Fuentes" id="{244267F2-5391-44FB-A368-52A39032901D}" userId="S::mfuentes@redcoglobal.com::c54cce07-0cb8-4d1f-96ff-8461043c8b7f" providerId="AD"/>
  <person displayName="Pedro Aguiluz" id="{7C4C8A63-9C16-4CB1-8889-F0CACFA3E15D}" userId="S::paguiluz@redcoglobal.com::86d19a04-0507-4d06-bd77-f95e1bb8ebd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G" refreshedDate="45320.771507523146" createdVersion="8" refreshedVersion="8" minRefreshableVersion="3" recordCount="104" xr:uid="{194FEF1E-E47C-4BD9-BC57-2445807EF8AB}">
  <cacheSource type="worksheet">
    <worksheetSource ref="B1:N39" sheet="Base de Datos 2024"/>
  </cacheSource>
  <cacheFields count="33">
    <cacheField name="Area" numFmtId="0">
      <sharedItems/>
    </cacheField>
    <cacheField name="Gestor Comercial (Responsable)" numFmtId="0">
      <sharedItems containsBlank="1" count="9">
        <s v="AS"/>
        <s v="CH"/>
        <s v="RM"/>
        <s v="MM"/>
        <s v="FR"/>
        <m/>
        <s v="AZ"/>
        <s v="PV"/>
        <s v="OD"/>
      </sharedItems>
    </cacheField>
    <cacheField name="Tipo" numFmtId="0">
      <sharedItems count="2">
        <s v="Propuesta"/>
        <s v="Iniciativa"/>
      </sharedItems>
    </cacheField>
    <cacheField name="Pais_x000a_ (Oficina REDCO)" numFmtId="0">
      <sharedItems count="5">
        <s v="Brasil"/>
        <s v="Chile"/>
        <s v="Perú"/>
        <s v="Rusia"/>
        <s v="EEUU"/>
      </sharedItems>
    </cacheField>
    <cacheField name="Descripcion Oportunidad" numFmtId="0">
      <sharedItems count="100">
        <s v="Contrato Mosaic CAJ Optimización OP"/>
        <s v="Contrato Mosaic CM Tapira"/>
        <s v="Contrato Marco (CM Patrocionio / CM Araxa)"/>
        <s v="DIAGNÓSTICO INTEGRADO DE LA MINA SANTA LUZ (MINA-PLANTA-FUNDICIÓN)"/>
        <s v="Modelo Estuctural CAJ"/>
        <s v="Taquari Vassouras - Fase II"/>
        <s v="Recuperación de Pilares Mina Urucum"/>
        <s v="Planificación Integrada/LOM"/>
        <s v="Contrato Vale Gongo Soco"/>
        <s v="Continuidad ingerieria factibilidad agua Romeral"/>
        <s v="Análisis de riesgo explotación MB41"/>
        <s v="Implementación desarrollo mecanizado en DET"/>
        <s v="Estimación capacidad productiva SMM sector Bajo Diablo"/>
        <s v="Herramienta de planificación minera SIMPLAN"/>
        <s v="Ingeniería detalle Extensión Panel Central"/>
        <s v="Herramienta de control y planificación de corto plazo de premin (SIMPREP)"/>
        <s v="REVISIÓN INDEPENDIENTE_x000a_MODELO DE RECURSOS DICIEMBRE 2023_x000a_PROYECTO - RAJO INCA"/>
        <s v="INGENIERÍA PARA ESTUDIO DE PREFACTIBILIDAD_x000a_- ETAPA FEL2A Y FEL2B - RAMPA DE EXPLORACIÓN DMH SUBTERRÁNEO"/>
        <s v="Estimación capacidad productiva SMM nuevo nivel"/>
        <s v="Ingenieria Drenaje Mina Collahuasi"/>
        <s v="Simpres Constructora Galdilich"/>
        <s v="Empresa Salfa"/>
        <s v="Aplicación Simprep"/>
        <s v="Minera Cenizas"/>
        <s v="Strabeg"/>
        <s v="Ingenieria TBM AA"/>
        <s v="Ingenieria TBM MEL"/>
        <s v="Pucobre"/>
        <s v="Analisis de riesgo Budget 2024 Mantoverde / Mantos Blancos"/>
        <s v="Estudio de Prefactibilidad de Proyecto de Minería Urbana "/>
        <s v="Mejoras Operacionales Mina Candelaria"/>
        <s v="Estrategia de Relleno en Pasta para_x000a_Maximizar la Recuperación Minera_x000a_en Mina Sauce"/>
        <s v="Ingeniería de valor para Robustecer el Proyecto CUGEP"/>
        <s v="Elaboración de la FS"/>
        <s v="Optimización Negocio P40 - foco Romeral"/>
        <s v="Implementación de SIPNM"/>
        <s v="Fel 2 A opciones MLC Brownfield"/>
        <s v="Acompañamiento Algarrobo Finos"/>
        <s v="Optimizar procesos RDP; herramienta y limpieza de información"/>
        <s v="Estudio conceptual de capacidad de tratamiento óptima de CNN"/>
        <s v="Apoyo LOM 2024"/>
        <s v="FS Mina UG"/>
        <s v="Análisis de Capacidades Mina Puerto - Los Bronces"/>
        <s v="Otros"/>
        <s v="Mínimos Estándares de Planificación"/>
        <s v="Análisis de cumplimiento LOM 2025 y budget 2025"/>
        <s v="Mejoramiento Plan 2024 y de Performance de Cumplimiento para Minera Centinela"/>
        <s v="Optmización Estrategia Consumo de Reservas 4 faenas - (DBS)"/>
        <s v="Estudio de optimización (diseños, transporte)"/>
        <s v="Ingeniería Geotécnica PFS UG 12 MT"/>
        <s v="Ingeniería Geotécnica PFS UG 200 MT"/>
        <s v="Ingeniería Geotécnica - Integración OP/Planta"/>
        <s v="Actualización Modelo Geomecánico LOM/Corto Plazo"/>
        <s v="Apoyo geomecánica Corporativa"/>
        <s v="Respaldo geomecánico LOM/ Corto Plazo"/>
        <s v="Respaldo geomecánico LOM/Corto Plazo"/>
        <s v="Estudios Geotécnicos"/>
        <s v="ESTUDIO FEL -1 DE OPCIONES DE ACCESO EXPLORATORIO - ESCONDIDA EAST DEEP "/>
        <s v="Diseños de soporte chimeneas/piques"/>
        <s v="Captura información  (Logueo, ATV, Fotogrametría) - REDTEC"/>
        <s v="Captura información - CMP (Logueo, ATV) - REDTEC"/>
        <s v="Cajati - Actualizacion analisis de Estabilidad OP"/>
        <s v="Cajati - Captura información  (Logueo, ATV, Fotogrametría) - REDTEC"/>
        <s v="Monitoreo Geotécnico (REDTEC)"/>
        <s v="Proyectos de Optimización Mina-Relavera"/>
        <s v="Simulación de Sistema de Transporte"/>
        <s v="Servicio de Ingeniería de Integración del Proyecto Túnel Exploratorio"/>
        <s v="Elaboración de PFS"/>
        <s v="Proyecto de Transición OP/UG"/>
        <s v="Elaboración de FS"/>
        <s v="Asesoría Técnica para la Identificación de Oportunidades de Mejora para Incremento de _x000a_Producción Mina"/>
        <s v="ALTERNATIVAS DEL METODO DE MINADO EN EL PROYECTO MINERO TORREMANI"/>
        <s v="Estimación de Reservas Minerales y Plan de Vida de Mina"/>
        <s v="Tecnología y Simulación"/>
        <s v="Estimación de Recursos y Reservas"/>
        <s v="Revisión del análisis de estabilidad de taludes pit limón fase 4 "/>
        <s v="Servicio de Diseño e Ingeniería del Portal "/>
        <s v="Servicio de Analisis de Estabilidad de los DME del tajo abierto El Limón"/>
        <s v="Estimación de Recursos y Reservas y actualización de su Plan LOM."/>
        <s v="Actualización de su Plan LOM a nivel FS"/>
        <s v="Estudios Mineros para la PFS"/>
        <s v="Compilación de Recursos y Reservas de las Unidades de Minsur"/>
        <s v="Actualización de su Plan LOM."/>
        <s v="Desarrollo de los Planes de producción según su LOM."/>
        <s v="Actualización de su modelo geomecanico"/>
        <s v="Analisis de su Sistema de flota"/>
        <s v="Sistema de ore-control para la planificación de corto plazo"/>
        <s v="Geotechnical slope validtion"/>
        <s v="Optimization of Current Operation and Long-Term Strategy and Trade Off analysis of Transportation System."/>
        <s v="Execution of the Pre-Feasibility Study for the Kyuchus Mining Project"/>
        <s v="Propuesta Tecnologica para Alrosa"/>
        <s v="IE RFP 005 - Geotechnical Studies"/>
        <s v="IE RFP 005 - Geotechnical Studies - 3rd Party Review"/>
        <s v="IE RFP 006 - Mineral Resources Estimate - Reviewer"/>
        <s v="Mining ToS"/>
        <s v="Estudio PFS"/>
        <s v="Project Review"/>
        <s v="Mining Peer Review"/>
        <s v="Mining Study"/>
        <s v="Diagnóstico 360" u="1"/>
      </sharedItems>
    </cacheField>
    <cacheField name="Tipo de _x000a_Mineria" numFmtId="0">
      <sharedItems containsBlank="1"/>
    </cacheField>
    <cacheField name="Empresa" numFmtId="0">
      <sharedItems count="67">
        <s v="Mosaic"/>
        <s v="Equinox"/>
        <s v="J&amp;F"/>
        <s v="CBMM"/>
        <s v="VALE"/>
        <s v="CMP-RO"/>
        <s v="Codelco - DCH - GRMD"/>
        <s v="Codelco - DET - GPRO"/>
        <s v="Codelco - DRT - GRMD"/>
        <s v="Codelco - DET - GRMD"/>
        <s v="Codelco DSAL"/>
        <s v="Codelco - DMH"/>
        <s v="Codelco - VP - DCH"/>
        <s v="Collahuasi"/>
        <s v="C.G"/>
        <s v="Salfa"/>
        <s v="Zublin"/>
        <s v="Cenizas"/>
        <s v="Strabeg"/>
        <s v="AA"/>
        <s v="MEL"/>
        <s v="Pucobre"/>
        <s v="Capstone"/>
        <s v="Anglo American"/>
        <s v="CAND"/>
        <s v="Las Cenizas"/>
        <s v="Minera Hampton"/>
        <s v="CMP-AL"/>
        <s v="CMP-MLC"/>
        <s v="CMP-G"/>
        <s v="CMP-CNN"/>
        <s v="AA-LB"/>
        <s v="CMP"/>
        <s v="AMSA"/>
        <s v="Gl-LB"/>
        <s v="Glencore"/>
        <s v="Panamerican Silver"/>
        <s v="BHP - MEL"/>
        <s v="Atacama Kozan"/>
        <s v="CODELCO DET"/>
        <s v="CMP-Romeral"/>
        <s v="Los Calatos"/>
        <s v="Hudbay"/>
        <s v="Hudbay Perú S.A.C"/>
        <s v="Antamina"/>
        <s v="Compañia Minera Antapaccay S.A."/>
        <s v="CEOM/Hoshschield"/>
        <s v="Coripuno"/>
        <s v="Minera Chinalco Perú S.A"/>
        <s v="Calibre Mining "/>
        <s v="Trafigura"/>
        <s v="Compañía Minera Buenaventura"/>
        <s v="Compañia Minera Miski Mayo S.R.L."/>
        <s v="MINSUR"/>
        <s v="Marcobre"/>
        <s v="Mineral El Brocal"/>
        <s v="Minera Lincuna"/>
        <s v="Polyus"/>
        <s v="ERG"/>
        <s v="EMCO"/>
        <s v="Seligdar"/>
        <s v="Alrosa"/>
        <s v="Ivanhoe Electric"/>
        <s v="Rockhaven"/>
        <s v="Rio Tinto"/>
        <s v="Mozaic"/>
        <s v="Freeport McMoRan"/>
      </sharedItems>
    </cacheField>
    <cacheField name="Faena" numFmtId="0">
      <sharedItems containsBlank="1"/>
    </cacheField>
    <cacheField name="Etapa" numFmtId="41">
      <sharedItems count="6">
        <s v="Adjudicada"/>
        <s v="Hallazgo Inicial"/>
        <s v="Propuesta Inicial"/>
        <s v="No Adjudicada"/>
        <s v="Propuesta Final"/>
        <s v="REDTEC"/>
      </sharedItems>
    </cacheField>
    <cacheField name="Estado Propuesta" numFmtId="41">
      <sharedItems containsBlank="1" count="4">
        <s v="Enviada / Seguimiento"/>
        <m/>
        <s v="En Construccion (Word)"/>
        <s v="En Construccion (PPT+Excel)" u="1"/>
      </sharedItems>
    </cacheField>
    <cacheField name="Tipo de Contrato" numFmtId="0">
      <sharedItems containsBlank="1"/>
    </cacheField>
    <cacheField name="Probabilidad" numFmtId="9">
      <sharedItems containsSemiMixedTypes="0" containsString="0" containsNumber="1" minValue="0" maxValue="1" count="14">
        <n v="1"/>
        <n v="0.2"/>
        <n v="0.3"/>
        <n v="0.9"/>
        <n v="0"/>
        <n v="0.5"/>
        <n v="0.6"/>
        <n v="0.7"/>
        <n v="0.05"/>
        <n v="0.99"/>
        <n v="0.1"/>
        <n v="0.95"/>
        <n v="0.4" u="1"/>
        <n v="0.11" u="1"/>
      </sharedItems>
    </cacheField>
    <cacheField name="Monto (USD)" numFmtId="41">
      <sharedItems containsString="0" containsBlank="1" containsNumber="1" minValue="40000" maxValue="3470000"/>
    </cacheField>
    <cacheField name="Monto Wght" numFmtId="41">
      <sharedItems containsSemiMixedTypes="0" containsString="0" containsNumber="1" minValue="0" maxValue="3296500"/>
    </cacheField>
    <cacheField name="Duracion (meses)" numFmtId="41">
      <sharedItems containsString="0" containsBlank="1" containsNumber="1" containsInteger="1" minValue="1" maxValue="16"/>
    </cacheField>
    <cacheField name="Fecha potencial inicio" numFmtId="165">
      <sharedItems containsNonDate="0" containsDate="1" containsString="0" containsBlank="1" minDate="2024-01-01T00:00:00" maxDate="2024-11-02T00:00:00" count="12">
        <d v="2024-01-01T00:00:00"/>
        <d v="2024-04-01T00:00:00"/>
        <d v="2024-07-01T00:00:00"/>
        <d v="2024-03-01T00:00:00"/>
        <m/>
        <d v="2024-02-01T00:00:00"/>
        <d v="2024-06-01T00:00:00"/>
        <d v="2024-05-01T00:00:00"/>
        <d v="2024-09-01T00:00:00"/>
        <d v="2024-02-23T00:00:00"/>
        <d v="2024-11-01T00:00:00"/>
        <d v="2024-08-01T00:00:00"/>
      </sharedItems>
      <fieldGroup par="32"/>
    </cacheField>
    <cacheField name="ene-24" numFmtId="41">
      <sharedItems containsString="0" containsBlank="1" containsNumber="1" containsInteger="1" minValue="0" maxValue="0"/>
    </cacheField>
    <cacheField name="feb-24" numFmtId="41">
      <sharedItems containsString="0" containsBlank="1" containsNumber="1" containsInteger="1" minValue="0" maxValue="0"/>
    </cacheField>
    <cacheField name="mar-24" numFmtId="41">
      <sharedItems containsString="0" containsBlank="1" containsNumber="1" minValue="0" maxValue="40000"/>
    </cacheField>
    <cacheField name="abr-24" numFmtId="41">
      <sharedItems containsString="0" containsBlank="1" containsNumber="1" minValue="0" maxValue="158333.33333333334"/>
    </cacheField>
    <cacheField name="may-24" numFmtId="41">
      <sharedItems containsString="0" containsBlank="1" containsNumber="1" minValue="0" maxValue="158333.33333333334"/>
    </cacheField>
    <cacheField name="jun-24" numFmtId="41">
      <sharedItems containsString="0" containsBlank="1" containsNumber="1" minValue="0" maxValue="216875"/>
    </cacheField>
    <cacheField name="jul-24" numFmtId="41">
      <sharedItems containsString="0" containsBlank="1" containsNumber="1" minValue="0" maxValue="216875"/>
    </cacheField>
    <cacheField name="ago-24" numFmtId="41">
      <sharedItems containsString="0" containsBlank="1" containsNumber="1" minValue="0" maxValue="216875"/>
    </cacheField>
    <cacheField name="sept-24" numFmtId="41">
      <sharedItems containsString="0" containsBlank="1" containsNumber="1" minValue="0" maxValue="216875"/>
    </cacheField>
    <cacheField name="oct-24" numFmtId="41">
      <sharedItems containsString="0" containsBlank="1" containsNumber="1" minValue="0" maxValue="216875"/>
    </cacheField>
    <cacheField name="nov-24" numFmtId="41">
      <sharedItems containsString="0" containsBlank="1" containsNumber="1" minValue="0" maxValue="216875"/>
    </cacheField>
    <cacheField name="dic-24" numFmtId="41">
      <sharedItems containsString="0" containsBlank="1" containsNumber="1" minValue="0" maxValue="216875"/>
    </cacheField>
    <cacheField name="TOTAL 2024" numFmtId="41">
      <sharedItems containsSemiMixedTypes="0" containsString="0" containsNumber="1" minValue="0" maxValue="1518125"/>
    </cacheField>
    <cacheField name=" VALOR CONTRATO" numFmtId="41">
      <sharedItems containsSemiMixedTypes="0" containsString="0" containsNumber="1" minValue="0" maxValue="3470000"/>
    </cacheField>
    <cacheField name="Proy 2025" numFmtId="41">
      <sharedItems containsString="0" containsBlank="1" containsNumber="1" minValue="-40000" maxValue="2000000"/>
    </cacheField>
    <cacheField name="Días (Fecha potencial inicio)" numFmtId="0" databaseField="0">
      <fieldGroup base="15">
        <rangePr groupBy="days" startDate="2024-01-01T00:00:00" endDate="2024-11-02T00:00:00"/>
        <groupItems count="368">
          <s v="&lt;01-01-2024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1-2024"/>
        </groupItems>
      </fieldGroup>
    </cacheField>
    <cacheField name="Meses (Fecha potencial inicio)" numFmtId="0" databaseField="0">
      <fieldGroup base="15">
        <rangePr groupBy="months" startDate="2024-01-01T00:00:00" endDate="2024-11-02T00:00:00"/>
        <groupItems count="14">
          <s v="&lt;01-01-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dcoPA" refreshedDate="45668.573902430559" createdVersion="8" refreshedVersion="8" minRefreshableVersion="3" recordCount="159" xr:uid="{7F87D75B-E49D-4CF8-BA99-140AAA4E6805}">
  <cacheSource type="worksheet">
    <worksheetSource ref="A1:P1048576" sheet="Base de Datos 2024"/>
  </cacheSource>
  <cacheFields count="16">
    <cacheField name="ID" numFmtId="0">
      <sharedItems containsString="0" containsBlank="1" containsNumber="1" containsInteger="1" minValue="1" maxValue="147"/>
    </cacheField>
    <cacheField name="Área" numFmtId="0">
      <sharedItems containsBlank="1"/>
    </cacheField>
    <cacheField name="Gestor Comercial (Responsable)" numFmtId="0">
      <sharedItems containsBlank="1"/>
    </cacheField>
    <cacheField name="Desarrollador" numFmtId="0">
      <sharedItems containsBlank="1"/>
    </cacheField>
    <cacheField name="Estado Propuesta" numFmtId="0">
      <sharedItems containsBlank="1" count="6">
        <s v="Adjudicada"/>
        <s v="No Adjudicada"/>
        <s v="Enviada / Seguimiento"/>
        <s v="En Construcción"/>
        <m/>
        <s v="Hallazgo Inicial" u="1"/>
      </sharedItems>
    </cacheField>
    <cacheField name="País (Oficina REDCO)" numFmtId="0">
      <sharedItems containsBlank="1" count="6">
        <s v="Brasil"/>
        <s v="Chile"/>
        <s v="Rusia"/>
        <s v="Perú"/>
        <s v="EEUU"/>
        <m/>
      </sharedItems>
    </cacheField>
    <cacheField name="Empresa" numFmtId="0">
      <sharedItems containsBlank="1"/>
    </cacheField>
    <cacheField name="Mina" numFmtId="0">
      <sharedItems containsBlank="1"/>
    </cacheField>
    <cacheField name="Descripcion Oportunidad" numFmtId="0">
      <sharedItems containsBlank="1"/>
    </cacheField>
    <cacheField name="Tipo de _x000a_Mineria" numFmtId="0">
      <sharedItems containsBlank="1"/>
    </cacheField>
    <cacheField name="Monto (USD)" numFmtId="0">
      <sharedItems containsString="0" containsBlank="1" containsNumber="1" minValue="0" maxValue="4339980"/>
    </cacheField>
    <cacheField name="Tipo de Contrato" numFmtId="0">
      <sharedItems containsBlank="1"/>
    </cacheField>
    <cacheField name="Duracion (meses)" numFmtId="0">
      <sharedItems containsString="0" containsBlank="1" containsNumber="1" containsInteger="1" minValue="1" maxValue="24"/>
    </cacheField>
    <cacheField name="Fecha potencial inicio" numFmtId="165">
      <sharedItems containsNonDate="0" containsDate="1" containsString="0" containsBlank="1" minDate="2024-01-01T00:00:00" maxDate="2025-01-02T00:00:00"/>
    </cacheField>
    <cacheField name="Core del negocio" numFmtId="0">
      <sharedItems containsBlank="1"/>
    </cacheField>
    <cacheField name="Motivo no Adjudica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dcoPA" refreshedDate="45670.495270023152" createdVersion="8" refreshedVersion="8" minRefreshableVersion="3" recordCount="159" xr:uid="{5DB5D1C9-BF13-42D4-AD70-A027ADE8EA0B}">
  <cacheSource type="worksheet">
    <worksheetSource ref="A1:P1048576" sheet="Base de Datos 2024"/>
  </cacheSource>
  <cacheFields count="16">
    <cacheField name="ID" numFmtId="0">
      <sharedItems containsString="0" containsBlank="1" containsNumber="1" containsInteger="1" minValue="1" maxValue="147" count="14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m/>
      </sharedItems>
    </cacheField>
    <cacheField name="Área" numFmtId="0">
      <sharedItems containsBlank="1" count="3">
        <s v="ING"/>
        <s v="GEOT"/>
        <m/>
      </sharedItems>
    </cacheField>
    <cacheField name="Gestor Comercial (Responsable)" numFmtId="0">
      <sharedItems containsBlank="1"/>
    </cacheField>
    <cacheField name="Desarrollador" numFmtId="0">
      <sharedItems containsBlank="1"/>
    </cacheField>
    <cacheField name="Estado Propuesta" numFmtId="0">
      <sharedItems containsBlank="1" count="5">
        <s v="Adjudicada"/>
        <s v="No Adjudicada"/>
        <s v="Enviada / Seguimiento"/>
        <s v="En Construcción"/>
        <m/>
      </sharedItems>
    </cacheField>
    <cacheField name="País (Oficina REDCO)" numFmtId="0">
      <sharedItems containsBlank="1" count="6">
        <s v="Brasil"/>
        <s v="Chile"/>
        <s v="Rusia"/>
        <s v="Perú"/>
        <s v="EEUU"/>
        <m/>
      </sharedItems>
    </cacheField>
    <cacheField name="Empresa" numFmtId="0">
      <sharedItems containsBlank="1"/>
    </cacheField>
    <cacheField name="Mina" numFmtId="0">
      <sharedItems containsBlank="1"/>
    </cacheField>
    <cacheField name="Descripcion Oportunidad" numFmtId="0">
      <sharedItems containsBlank="1"/>
    </cacheField>
    <cacheField name="Tipo de _x000a_Mineria" numFmtId="0">
      <sharedItems containsBlank="1" count="4">
        <s v="OP"/>
        <s v="UG"/>
        <m/>
        <s v="-"/>
      </sharedItems>
    </cacheField>
    <cacheField name="Monto (USD)" numFmtId="0">
      <sharedItems containsBlank="1" containsMixedTypes="1" containsNumber="1" minValue="30000" maxValue="900000"/>
    </cacheField>
    <cacheField name="Tipo de Contrato" numFmtId="0">
      <sharedItems containsBlank="1"/>
    </cacheField>
    <cacheField name="Duracion (meses)" numFmtId="0">
      <sharedItems containsString="0" containsBlank="1" containsNumber="1" containsInteger="1" minValue="1" maxValue="24"/>
    </cacheField>
    <cacheField name="Fecha potencial inicio" numFmtId="165">
      <sharedItems containsNonDate="0" containsDate="1" containsString="0" containsBlank="1" minDate="2024-01-01T00:00:00" maxDate="2025-01-02T00:00:00"/>
    </cacheField>
    <cacheField name="Core del negocio" numFmtId="0">
      <sharedItems containsBlank="1"/>
    </cacheField>
    <cacheField name="Motivo no Adjudica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dcoPA" refreshedDate="45670.513945949075" createdVersion="8" refreshedVersion="8" minRefreshableVersion="3" recordCount="147" xr:uid="{1BB4A85C-F1D9-4313-9FC7-8C2573633A16}">
  <cacheSource type="worksheet">
    <worksheetSource ref="A1:P148" sheet="Base de Datos 2024"/>
  </cacheSource>
  <cacheFields count="19">
    <cacheField name="ID" numFmtId="0">
      <sharedItems containsSemiMixedTypes="0" containsString="0" containsNumber="1" containsInteger="1" minValue="1" maxValue="147" count="14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</sharedItems>
    </cacheField>
    <cacheField name="Área" numFmtId="0">
      <sharedItems/>
    </cacheField>
    <cacheField name="Gestor Comercial (Responsable)" numFmtId="0">
      <sharedItems containsBlank="1"/>
    </cacheField>
    <cacheField name="Desarrollador" numFmtId="0">
      <sharedItems containsBlank="1"/>
    </cacheField>
    <cacheField name="Estado Propuesta" numFmtId="0">
      <sharedItems count="4">
        <s v="Adjudicada"/>
        <s v="No Adjudicada"/>
        <s v="Enviada / Seguimiento"/>
        <s v="En Construcción"/>
      </sharedItems>
    </cacheField>
    <cacheField name="País (Oficina REDCO)" numFmtId="0">
      <sharedItems/>
    </cacheField>
    <cacheField name="Empresa" numFmtId="0">
      <sharedItems/>
    </cacheField>
    <cacheField name="Mina" numFmtId="0">
      <sharedItems containsBlank="1"/>
    </cacheField>
    <cacheField name="Descripcion Oportunidad" numFmtId="0">
      <sharedItems/>
    </cacheField>
    <cacheField name="Tipo de _x000a_Mineria" numFmtId="3">
      <sharedItems containsBlank="1"/>
    </cacheField>
    <cacheField name="Monto (USD)" numFmtId="3">
      <sharedItems containsMixedTypes="1" containsNumber="1" minValue="8000" maxValue="4339980"/>
    </cacheField>
    <cacheField name="Tipo de Contrato" numFmtId="0">
      <sharedItems/>
    </cacheField>
    <cacheField name="Duracion (meses)" numFmtId="0">
      <sharedItems containsSemiMixedTypes="0" containsString="0" containsNumber="1" containsInteger="1" minValue="1" maxValue="24"/>
    </cacheField>
    <cacheField name="Fecha potencial inicio" numFmtId="165">
      <sharedItems containsNonDate="0" containsDate="1" containsString="0" containsBlank="1" minDate="2024-01-01T00:00:00" maxDate="2025-01-02T00:00:00" count="14">
        <d v="2024-01-01T00:00:00"/>
        <d v="2024-05-01T00:00:00"/>
        <d v="2024-03-01T00:00:00"/>
        <d v="2024-02-01T00:00:00"/>
        <d v="2024-04-01T00:00:00"/>
        <d v="2024-07-01T00:00:00"/>
        <d v="2024-08-01T00:00:00"/>
        <d v="2024-06-01T00:00:00"/>
        <d v="2024-09-01T00:00:00"/>
        <d v="2024-12-01T00:00:00"/>
        <d v="2024-10-01T00:00:00"/>
        <d v="2025-01-01T00:00:00"/>
        <d v="2024-11-01T00:00:00"/>
        <m/>
      </sharedItems>
      <fieldGroup par="18"/>
    </cacheField>
    <cacheField name="Core del negocio" numFmtId="3">
      <sharedItems/>
    </cacheField>
    <cacheField name="Motivo no Adjudicación" numFmtId="0">
      <sharedItems containsBlank="1"/>
    </cacheField>
    <cacheField name="Meses (Fecha potencial inicio)" numFmtId="0" databaseField="0">
      <fieldGroup base="13">
        <rangePr groupBy="months" startDate="2024-01-01T00:00:00" endDate="2025-01-02T00:00:00"/>
        <groupItems count="14">
          <s v="&lt;01-01-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01-25"/>
        </groupItems>
      </fieldGroup>
    </cacheField>
    <cacheField name="Trimestres (Fecha potencial inicio)" numFmtId="0" databaseField="0">
      <fieldGroup base="13">
        <rangePr groupBy="quarters" startDate="2024-01-01T00:00:00" endDate="2025-01-02T00:00:00"/>
        <groupItems count="6">
          <s v="&lt;01-01-24"/>
          <s v="Trim.1"/>
          <s v="Trim.2"/>
          <s v="Trim.3"/>
          <s v="Trim.4"/>
          <s v="&gt;02-01-25"/>
        </groupItems>
      </fieldGroup>
    </cacheField>
    <cacheField name="Años (Fecha potencial inicio)" numFmtId="0" databaseField="0">
      <fieldGroup base="13">
        <rangePr groupBy="years" startDate="2024-01-01T00:00:00" endDate="2025-01-02T00:00:00"/>
        <groupItems count="4">
          <s v="&lt;01-01-24"/>
          <s v="2024"/>
          <s v="2025"/>
          <s v="&gt;02-01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ING"/>
    <x v="0"/>
    <x v="0"/>
    <x v="0"/>
    <x v="0"/>
    <s v="OP"/>
    <x v="0"/>
    <m/>
    <x v="0"/>
    <x v="0"/>
    <s v="Marco"/>
    <x v="0"/>
    <n v="78846.600000000006"/>
    <n v="78846.600000000006"/>
    <n v="5"/>
    <x v="0"/>
    <n v="0"/>
    <n v="0"/>
    <n v="15769.320000000002"/>
    <n v="15769.320000000002"/>
    <n v="15769.320000000002"/>
    <n v="15769.320000000002"/>
    <n v="15769.320000000002"/>
    <n v="0"/>
    <n v="0"/>
    <n v="0"/>
    <n v="0"/>
    <n v="0"/>
    <n v="78846.600000000006"/>
    <n v="78846.600000000006"/>
    <n v="0"/>
  </r>
  <r>
    <s v="ING"/>
    <x v="0"/>
    <x v="1"/>
    <x v="0"/>
    <x v="1"/>
    <s v="OP"/>
    <x v="0"/>
    <m/>
    <x v="1"/>
    <x v="1"/>
    <s v="Marco"/>
    <x v="1"/>
    <n v="120000"/>
    <n v="24000"/>
    <n v="4"/>
    <x v="1"/>
    <n v="0"/>
    <n v="0"/>
    <n v="0"/>
    <n v="0"/>
    <m/>
    <n v="30000"/>
    <n v="30000"/>
    <n v="30000"/>
    <n v="30000"/>
    <m/>
    <m/>
    <m/>
    <n v="120000"/>
    <n v="120000"/>
    <n v="0"/>
  </r>
  <r>
    <s v="ING"/>
    <x v="0"/>
    <x v="1"/>
    <x v="0"/>
    <x v="2"/>
    <m/>
    <x v="0"/>
    <m/>
    <x v="1"/>
    <x v="1"/>
    <s v="Solicitud directa"/>
    <x v="1"/>
    <n v="140000"/>
    <n v="28000"/>
    <n v="6"/>
    <x v="2"/>
    <m/>
    <m/>
    <m/>
    <m/>
    <m/>
    <m/>
    <m/>
    <m/>
    <n v="23333.333333333332"/>
    <n v="23333.333333333332"/>
    <n v="23333.333333333332"/>
    <n v="23333.333333333332"/>
    <n v="93333.333333333328"/>
    <n v="140000"/>
    <n v="46666.666666666672"/>
  </r>
  <r>
    <s v="ING"/>
    <x v="0"/>
    <x v="0"/>
    <x v="0"/>
    <x v="3"/>
    <m/>
    <x v="1"/>
    <s v="Santa Luz"/>
    <x v="2"/>
    <x v="0"/>
    <s v="Solicitud directa"/>
    <x v="2"/>
    <n v="101000"/>
    <n v="30300"/>
    <n v="2"/>
    <x v="3"/>
    <m/>
    <m/>
    <m/>
    <m/>
    <n v="50500"/>
    <n v="50500"/>
    <m/>
    <m/>
    <m/>
    <m/>
    <m/>
    <m/>
    <n v="101000"/>
    <n v="101000"/>
    <n v="0"/>
  </r>
  <r>
    <s v="GEOT"/>
    <x v="1"/>
    <x v="1"/>
    <x v="0"/>
    <x v="4"/>
    <m/>
    <x v="0"/>
    <m/>
    <x v="1"/>
    <x v="1"/>
    <s v="Marco"/>
    <x v="1"/>
    <m/>
    <n v="0"/>
    <m/>
    <x v="4"/>
    <m/>
    <m/>
    <m/>
    <m/>
    <m/>
    <m/>
    <m/>
    <m/>
    <m/>
    <m/>
    <m/>
    <m/>
    <n v="0"/>
    <n v="0"/>
    <n v="0"/>
  </r>
  <r>
    <s v="ING"/>
    <x v="0"/>
    <x v="0"/>
    <x v="0"/>
    <x v="5"/>
    <m/>
    <x v="0"/>
    <m/>
    <x v="1"/>
    <x v="0"/>
    <s v="Marco"/>
    <x v="3"/>
    <n v="475000"/>
    <n v="427500"/>
    <n v="3"/>
    <x v="5"/>
    <m/>
    <m/>
    <m/>
    <n v="158333.33333333334"/>
    <n v="158333.33333333334"/>
    <n v="158333.33333333334"/>
    <m/>
    <m/>
    <m/>
    <m/>
    <m/>
    <m/>
    <n v="475000"/>
    <n v="475000"/>
    <n v="0"/>
  </r>
  <r>
    <s v="ING"/>
    <x v="0"/>
    <x v="0"/>
    <x v="0"/>
    <x v="6"/>
    <s v="UG"/>
    <x v="2"/>
    <m/>
    <x v="2"/>
    <x v="0"/>
    <s v="Solicitud directa"/>
    <x v="3"/>
    <n v="263238.40000000002"/>
    <n v="236914.56000000003"/>
    <n v="8"/>
    <x v="3"/>
    <n v="0"/>
    <n v="0"/>
    <n v="0"/>
    <n v="0"/>
    <n v="32904.800000000003"/>
    <n v="32904.800000000003"/>
    <n v="32904.800000000003"/>
    <n v="32904.800000000003"/>
    <n v="32904.800000000003"/>
    <n v="32904.800000000003"/>
    <n v="32904.800000000003"/>
    <n v="32904.800000000003"/>
    <n v="263238.39999999997"/>
    <n v="263238.40000000002"/>
    <n v="0"/>
  </r>
  <r>
    <s v="ING"/>
    <x v="0"/>
    <x v="1"/>
    <x v="0"/>
    <x v="7"/>
    <m/>
    <x v="3"/>
    <m/>
    <x v="1"/>
    <x v="1"/>
    <s v="Solicitud directa"/>
    <x v="1"/>
    <n v="100000"/>
    <n v="20000"/>
    <n v="4"/>
    <x v="6"/>
    <m/>
    <m/>
    <m/>
    <m/>
    <m/>
    <m/>
    <m/>
    <n v="25000"/>
    <n v="25000"/>
    <n v="25000"/>
    <n v="25000"/>
    <m/>
    <n v="100000"/>
    <n v="100000"/>
    <n v="0"/>
  </r>
  <r>
    <s v="ING"/>
    <x v="0"/>
    <x v="1"/>
    <x v="0"/>
    <x v="8"/>
    <m/>
    <x v="4"/>
    <m/>
    <x v="1"/>
    <x v="1"/>
    <s v="Licitacion"/>
    <x v="1"/>
    <n v="240000"/>
    <n v="48000"/>
    <n v="6"/>
    <x v="2"/>
    <n v="0"/>
    <n v="0"/>
    <n v="0"/>
    <n v="0"/>
    <n v="0"/>
    <n v="0"/>
    <n v="0"/>
    <m/>
    <n v="40000"/>
    <n v="40000"/>
    <n v="40000"/>
    <n v="40000"/>
    <n v="160000"/>
    <n v="240000"/>
    <n v="80000"/>
  </r>
  <r>
    <s v="ING"/>
    <x v="2"/>
    <x v="1"/>
    <x v="1"/>
    <x v="9"/>
    <m/>
    <x v="5"/>
    <m/>
    <x v="2"/>
    <x v="1"/>
    <m/>
    <x v="1"/>
    <n v="200000"/>
    <n v="40000"/>
    <n v="6"/>
    <x v="5"/>
    <n v="0"/>
    <n v="0"/>
    <m/>
    <n v="33333.333333333336"/>
    <n v="33333.333333333336"/>
    <n v="33333.333333333336"/>
    <n v="33333.333333333336"/>
    <n v="33333.333333333336"/>
    <n v="33333.333333333336"/>
    <m/>
    <m/>
    <m/>
    <n v="200000.00000000003"/>
    <n v="200000"/>
    <n v="0"/>
  </r>
  <r>
    <s v="ING"/>
    <x v="3"/>
    <x v="1"/>
    <x v="1"/>
    <x v="10"/>
    <s v="UG"/>
    <x v="6"/>
    <m/>
    <x v="1"/>
    <x v="1"/>
    <m/>
    <x v="1"/>
    <n v="60000"/>
    <n v="12000"/>
    <n v="2"/>
    <x v="5"/>
    <m/>
    <m/>
    <m/>
    <n v="30000"/>
    <n v="30000"/>
    <m/>
    <m/>
    <m/>
    <m/>
    <m/>
    <m/>
    <m/>
    <n v="60000"/>
    <n v="60000"/>
    <n v="0"/>
  </r>
  <r>
    <s v="ING"/>
    <x v="3"/>
    <x v="1"/>
    <x v="1"/>
    <x v="11"/>
    <s v="UG"/>
    <x v="7"/>
    <m/>
    <x v="1"/>
    <x v="1"/>
    <m/>
    <x v="1"/>
    <n v="120000"/>
    <n v="24000"/>
    <n v="3"/>
    <x v="5"/>
    <m/>
    <m/>
    <m/>
    <n v="40000"/>
    <n v="40000"/>
    <n v="40000"/>
    <m/>
    <m/>
    <m/>
    <m/>
    <m/>
    <m/>
    <n v="120000"/>
    <n v="120000"/>
    <n v="0"/>
  </r>
  <r>
    <s v="ING"/>
    <x v="3"/>
    <x v="1"/>
    <x v="1"/>
    <x v="12"/>
    <s v="UG"/>
    <x v="7"/>
    <m/>
    <x v="1"/>
    <x v="1"/>
    <m/>
    <x v="1"/>
    <n v="150000"/>
    <n v="30000"/>
    <n v="4"/>
    <x v="3"/>
    <m/>
    <m/>
    <m/>
    <m/>
    <n v="37500"/>
    <n v="37500"/>
    <n v="37500"/>
    <n v="37500"/>
    <m/>
    <m/>
    <m/>
    <m/>
    <n v="150000"/>
    <n v="150000"/>
    <n v="0"/>
  </r>
  <r>
    <s v="ING"/>
    <x v="3"/>
    <x v="1"/>
    <x v="1"/>
    <x v="13"/>
    <m/>
    <x v="8"/>
    <m/>
    <x v="1"/>
    <x v="1"/>
    <m/>
    <x v="1"/>
    <n v="100000"/>
    <n v="20000"/>
    <n v="3"/>
    <x v="3"/>
    <m/>
    <m/>
    <m/>
    <m/>
    <n v="33333.333333333336"/>
    <n v="33333.333333333336"/>
    <n v="33333.333333333336"/>
    <m/>
    <m/>
    <m/>
    <m/>
    <m/>
    <n v="100000"/>
    <n v="100000"/>
    <n v="0"/>
  </r>
  <r>
    <s v="ING"/>
    <x v="3"/>
    <x v="1"/>
    <x v="1"/>
    <x v="14"/>
    <s v="UG"/>
    <x v="6"/>
    <m/>
    <x v="1"/>
    <x v="1"/>
    <m/>
    <x v="1"/>
    <n v="140000"/>
    <n v="28000"/>
    <n v="4"/>
    <x v="1"/>
    <m/>
    <m/>
    <m/>
    <m/>
    <m/>
    <n v="35000"/>
    <n v="35000"/>
    <n v="35000"/>
    <n v="35000"/>
    <m/>
    <m/>
    <m/>
    <n v="140000"/>
    <n v="140000"/>
    <n v="0"/>
  </r>
  <r>
    <s v="ING"/>
    <x v="3"/>
    <x v="1"/>
    <x v="1"/>
    <x v="15"/>
    <m/>
    <x v="9"/>
    <m/>
    <x v="1"/>
    <x v="1"/>
    <m/>
    <x v="1"/>
    <n v="100000"/>
    <n v="20000"/>
    <n v="3"/>
    <x v="7"/>
    <m/>
    <m/>
    <m/>
    <m/>
    <m/>
    <m/>
    <n v="33333.333333333336"/>
    <n v="33333.333333333336"/>
    <n v="33333.333333333336"/>
    <m/>
    <m/>
    <m/>
    <n v="100000"/>
    <n v="100000"/>
    <n v="0"/>
  </r>
  <r>
    <s v="ING"/>
    <x v="3"/>
    <x v="0"/>
    <x v="1"/>
    <x v="16"/>
    <s v="OP"/>
    <x v="10"/>
    <s v="Salvador"/>
    <x v="2"/>
    <x v="0"/>
    <s v="Licitacion"/>
    <x v="2"/>
    <n v="230000"/>
    <n v="69000"/>
    <n v="2"/>
    <x v="3"/>
    <m/>
    <m/>
    <m/>
    <m/>
    <m/>
    <n v="115000"/>
    <n v="115000"/>
    <m/>
    <m/>
    <m/>
    <m/>
    <m/>
    <n v="230000"/>
    <n v="230000"/>
    <n v="0"/>
  </r>
  <r>
    <s v="ING"/>
    <x v="3"/>
    <x v="0"/>
    <x v="1"/>
    <x v="17"/>
    <s v="UG"/>
    <x v="11"/>
    <m/>
    <x v="3"/>
    <x v="0"/>
    <m/>
    <x v="4"/>
    <n v="200000"/>
    <n v="0"/>
    <n v="3"/>
    <x v="5"/>
    <m/>
    <m/>
    <m/>
    <n v="66666.666666666672"/>
    <n v="66666.666666666672"/>
    <n v="66666.666666666672"/>
    <m/>
    <m/>
    <m/>
    <m/>
    <m/>
    <m/>
    <n v="200000"/>
    <n v="200000"/>
    <m/>
  </r>
  <r>
    <s v="ING"/>
    <x v="3"/>
    <x v="1"/>
    <x v="1"/>
    <x v="18"/>
    <s v="UG"/>
    <x v="12"/>
    <m/>
    <x v="1"/>
    <x v="1"/>
    <m/>
    <x v="1"/>
    <n v="160000"/>
    <n v="32000"/>
    <n v="4"/>
    <x v="6"/>
    <m/>
    <m/>
    <m/>
    <m/>
    <m/>
    <m/>
    <m/>
    <n v="40000"/>
    <n v="40000"/>
    <n v="40000"/>
    <n v="40000"/>
    <m/>
    <n v="160000"/>
    <n v="160000"/>
    <n v="0"/>
  </r>
  <r>
    <s v="ING"/>
    <x v="2"/>
    <x v="1"/>
    <x v="1"/>
    <x v="19"/>
    <m/>
    <x v="13"/>
    <m/>
    <x v="1"/>
    <x v="1"/>
    <m/>
    <x v="1"/>
    <n v="200000"/>
    <n v="40000"/>
    <n v="6"/>
    <x v="5"/>
    <m/>
    <m/>
    <m/>
    <n v="33333.333333333336"/>
    <n v="33333.333333333336"/>
    <n v="33333.333333333336"/>
    <n v="33333.333333333336"/>
    <n v="33333.333333333336"/>
    <n v="33333.333333333336"/>
    <m/>
    <m/>
    <m/>
    <n v="200000.00000000003"/>
    <n v="200000"/>
    <n v="0"/>
  </r>
  <r>
    <s v="ING"/>
    <x v="2"/>
    <x v="1"/>
    <x v="1"/>
    <x v="20"/>
    <m/>
    <x v="14"/>
    <m/>
    <x v="1"/>
    <x v="1"/>
    <m/>
    <x v="1"/>
    <n v="60000"/>
    <n v="12000"/>
    <n v="3"/>
    <x v="3"/>
    <m/>
    <m/>
    <m/>
    <m/>
    <n v="20000"/>
    <n v="20000"/>
    <n v="20000"/>
    <m/>
    <m/>
    <m/>
    <m/>
    <m/>
    <n v="60000"/>
    <n v="60000"/>
    <n v="0"/>
  </r>
  <r>
    <s v="ING"/>
    <x v="2"/>
    <x v="1"/>
    <x v="1"/>
    <x v="21"/>
    <m/>
    <x v="15"/>
    <m/>
    <x v="1"/>
    <x v="1"/>
    <m/>
    <x v="1"/>
    <n v="60000"/>
    <n v="12000"/>
    <n v="3"/>
    <x v="3"/>
    <m/>
    <m/>
    <m/>
    <m/>
    <n v="20000"/>
    <n v="20000"/>
    <n v="20000"/>
    <m/>
    <m/>
    <m/>
    <m/>
    <m/>
    <n v="60000"/>
    <n v="60000"/>
    <n v="0"/>
  </r>
  <r>
    <s v="ING"/>
    <x v="2"/>
    <x v="0"/>
    <x v="1"/>
    <x v="22"/>
    <m/>
    <x v="16"/>
    <m/>
    <x v="4"/>
    <x v="0"/>
    <s v="Solicitud directa"/>
    <x v="5"/>
    <n v="130000"/>
    <n v="65000"/>
    <n v="4"/>
    <x v="3"/>
    <m/>
    <m/>
    <m/>
    <m/>
    <m/>
    <n v="32500"/>
    <n v="32500"/>
    <n v="32500"/>
    <n v="32500"/>
    <m/>
    <m/>
    <m/>
    <n v="130000"/>
    <n v="130000"/>
    <n v="0"/>
  </r>
  <r>
    <s v="ING"/>
    <x v="2"/>
    <x v="1"/>
    <x v="1"/>
    <x v="23"/>
    <m/>
    <x v="17"/>
    <m/>
    <x v="1"/>
    <x v="1"/>
    <m/>
    <x v="1"/>
    <n v="60000"/>
    <n v="12000"/>
    <n v="3"/>
    <x v="3"/>
    <m/>
    <m/>
    <m/>
    <m/>
    <n v="20000"/>
    <n v="20000"/>
    <n v="20000"/>
    <m/>
    <m/>
    <m/>
    <m/>
    <m/>
    <n v="60000"/>
    <n v="60000"/>
    <n v="0"/>
  </r>
  <r>
    <s v="ING"/>
    <x v="2"/>
    <x v="1"/>
    <x v="1"/>
    <x v="24"/>
    <m/>
    <x v="18"/>
    <m/>
    <x v="1"/>
    <x v="1"/>
    <m/>
    <x v="1"/>
    <n v="1100000"/>
    <n v="220000"/>
    <m/>
    <x v="4"/>
    <m/>
    <m/>
    <m/>
    <m/>
    <m/>
    <m/>
    <m/>
    <m/>
    <m/>
    <m/>
    <m/>
    <m/>
    <n v="0"/>
    <n v="1100000"/>
    <n v="1100000"/>
  </r>
  <r>
    <s v="ING"/>
    <x v="2"/>
    <x v="1"/>
    <x v="1"/>
    <x v="25"/>
    <m/>
    <x v="19"/>
    <m/>
    <x v="1"/>
    <x v="1"/>
    <m/>
    <x v="1"/>
    <n v="2000000"/>
    <n v="400000"/>
    <m/>
    <x v="4"/>
    <m/>
    <m/>
    <m/>
    <m/>
    <m/>
    <m/>
    <m/>
    <m/>
    <m/>
    <m/>
    <m/>
    <m/>
    <n v="0"/>
    <n v="2000000"/>
    <n v="2000000"/>
  </r>
  <r>
    <s v="ING"/>
    <x v="2"/>
    <x v="1"/>
    <x v="1"/>
    <x v="26"/>
    <m/>
    <x v="20"/>
    <m/>
    <x v="1"/>
    <x v="1"/>
    <m/>
    <x v="1"/>
    <n v="2000000"/>
    <n v="400000"/>
    <m/>
    <x v="4"/>
    <m/>
    <m/>
    <m/>
    <m/>
    <m/>
    <m/>
    <m/>
    <m/>
    <m/>
    <m/>
    <m/>
    <m/>
    <n v="0"/>
    <n v="2000000"/>
    <n v="2000000"/>
  </r>
  <r>
    <s v="ING"/>
    <x v="2"/>
    <x v="1"/>
    <x v="1"/>
    <x v="27"/>
    <m/>
    <x v="21"/>
    <m/>
    <x v="1"/>
    <x v="1"/>
    <m/>
    <x v="1"/>
    <n v="60000"/>
    <n v="12000"/>
    <n v="3"/>
    <x v="3"/>
    <m/>
    <m/>
    <m/>
    <m/>
    <n v="20000"/>
    <n v="20000"/>
    <n v="20000"/>
    <m/>
    <m/>
    <m/>
    <m/>
    <m/>
    <n v="60000"/>
    <n v="60000"/>
    <n v="0"/>
  </r>
  <r>
    <s v="ING"/>
    <x v="4"/>
    <x v="0"/>
    <x v="1"/>
    <x v="28"/>
    <s v="OP"/>
    <x v="22"/>
    <s v="Mantoverde / Mantos Blancos"/>
    <x v="2"/>
    <x v="0"/>
    <s v="Solicitud directa"/>
    <x v="2"/>
    <n v="170000"/>
    <n v="51000"/>
    <n v="3"/>
    <x v="7"/>
    <m/>
    <m/>
    <m/>
    <m/>
    <m/>
    <m/>
    <n v="56666.666666666664"/>
    <n v="56666.666666666664"/>
    <n v="56666.666666666664"/>
    <m/>
    <m/>
    <m/>
    <n v="170000"/>
    <n v="170000"/>
    <n v="0"/>
  </r>
  <r>
    <s v="ING"/>
    <x v="2"/>
    <x v="0"/>
    <x v="1"/>
    <x v="29"/>
    <m/>
    <x v="23"/>
    <s v="Chagres"/>
    <x v="2"/>
    <x v="0"/>
    <s v="Solicitud directa"/>
    <x v="6"/>
    <n v="290794"/>
    <n v="174476.4"/>
    <n v="10"/>
    <x v="5"/>
    <m/>
    <m/>
    <m/>
    <n v="29079.4"/>
    <n v="29079.4"/>
    <n v="29079.4"/>
    <n v="29079.4"/>
    <n v="29079.4"/>
    <n v="29079.4"/>
    <n v="29079.4"/>
    <n v="29079.4"/>
    <n v="29079.4"/>
    <n v="261714.59999999998"/>
    <n v="290794"/>
    <n v="29079.400000000023"/>
  </r>
  <r>
    <s v="ING"/>
    <x v="2"/>
    <x v="0"/>
    <x v="1"/>
    <x v="30"/>
    <m/>
    <x v="24"/>
    <m/>
    <x v="3"/>
    <x v="0"/>
    <m/>
    <x v="4"/>
    <n v="520000"/>
    <n v="0"/>
    <n v="6"/>
    <x v="5"/>
    <n v="0"/>
    <n v="0"/>
    <m/>
    <n v="86666.666666666672"/>
    <n v="86666.666666666672"/>
    <n v="86666.666666666672"/>
    <n v="86666.666666666672"/>
    <n v="86666.666666666672"/>
    <n v="86666.666666666672"/>
    <m/>
    <m/>
    <m/>
    <n v="520000.00000000006"/>
    <n v="520000"/>
    <n v="0"/>
  </r>
  <r>
    <s v="ING"/>
    <x v="5"/>
    <x v="0"/>
    <x v="1"/>
    <x v="31"/>
    <s v="UG"/>
    <x v="25"/>
    <s v="Mina Sauce"/>
    <x v="2"/>
    <x v="2"/>
    <s v="Solicitud directa"/>
    <x v="1"/>
    <n v="188000"/>
    <n v="37600"/>
    <n v="4"/>
    <x v="3"/>
    <m/>
    <m/>
    <m/>
    <m/>
    <n v="47000"/>
    <n v="47000"/>
    <n v="47000"/>
    <n v="47000"/>
    <m/>
    <m/>
    <m/>
    <m/>
    <n v="188000"/>
    <n v="188000"/>
    <n v="0"/>
  </r>
  <r>
    <s v="ING"/>
    <x v="2"/>
    <x v="0"/>
    <x v="1"/>
    <x v="32"/>
    <m/>
    <x v="24"/>
    <m/>
    <x v="2"/>
    <x v="0"/>
    <m/>
    <x v="7"/>
    <n v="230000"/>
    <n v="161000"/>
    <n v="3"/>
    <x v="3"/>
    <n v="0"/>
    <n v="0"/>
    <m/>
    <m/>
    <n v="76666.666666666672"/>
    <n v="76666.666666666672"/>
    <n v="76666.666666666672"/>
    <m/>
    <m/>
    <m/>
    <m/>
    <m/>
    <n v="230000"/>
    <n v="230000"/>
    <n v="0"/>
  </r>
  <r>
    <s v="ING"/>
    <x v="6"/>
    <x v="1"/>
    <x v="2"/>
    <x v="33"/>
    <m/>
    <x v="26"/>
    <m/>
    <x v="1"/>
    <x v="1"/>
    <m/>
    <x v="1"/>
    <n v="1000000"/>
    <n v="200000"/>
    <n v="7"/>
    <x v="8"/>
    <n v="0"/>
    <n v="0"/>
    <n v="0"/>
    <n v="0"/>
    <n v="0"/>
    <n v="0"/>
    <n v="0"/>
    <n v="0"/>
    <n v="0"/>
    <n v="0"/>
    <n v="142857.14285714287"/>
    <n v="142857.14285714287"/>
    <n v="285714.28571428574"/>
    <n v="1000000"/>
    <n v="714285.71428571432"/>
  </r>
  <r>
    <s v="ING"/>
    <x v="4"/>
    <x v="1"/>
    <x v="1"/>
    <x v="34"/>
    <m/>
    <x v="5"/>
    <m/>
    <x v="2"/>
    <x v="1"/>
    <s v="Contrato Marco"/>
    <x v="1"/>
    <n v="140000"/>
    <n v="28000"/>
    <n v="4"/>
    <x v="9"/>
    <m/>
    <m/>
    <m/>
    <n v="35000"/>
    <n v="35000"/>
    <n v="35000"/>
    <n v="35000"/>
    <m/>
    <m/>
    <m/>
    <m/>
    <m/>
    <n v="140000"/>
    <n v="140000"/>
    <n v="0"/>
  </r>
  <r>
    <s v="ING"/>
    <x v="4"/>
    <x v="1"/>
    <x v="1"/>
    <x v="35"/>
    <m/>
    <x v="27"/>
    <m/>
    <x v="1"/>
    <x v="1"/>
    <s v="Contrato Marco"/>
    <x v="1"/>
    <n v="200000"/>
    <n v="40000"/>
    <n v="5"/>
    <x v="5"/>
    <m/>
    <m/>
    <n v="40000"/>
    <n v="40000"/>
    <n v="40000"/>
    <n v="40000"/>
    <n v="40000"/>
    <n v="40000"/>
    <m/>
    <m/>
    <m/>
    <m/>
    <n v="240000"/>
    <n v="200000"/>
    <n v="-40000"/>
  </r>
  <r>
    <s v="ING"/>
    <x v="4"/>
    <x v="1"/>
    <x v="1"/>
    <x v="36"/>
    <m/>
    <x v="28"/>
    <m/>
    <x v="1"/>
    <x v="1"/>
    <s v="Contrato Marco"/>
    <x v="1"/>
    <n v="120000"/>
    <n v="24000"/>
    <n v="3"/>
    <x v="3"/>
    <m/>
    <m/>
    <m/>
    <m/>
    <n v="40000"/>
    <n v="40000"/>
    <n v="40000"/>
    <m/>
    <m/>
    <m/>
    <m/>
    <m/>
    <n v="120000"/>
    <n v="120000"/>
    <n v="0"/>
  </r>
  <r>
    <s v="ING"/>
    <x v="4"/>
    <x v="1"/>
    <x v="1"/>
    <x v="37"/>
    <m/>
    <x v="27"/>
    <m/>
    <x v="1"/>
    <x v="1"/>
    <s v="Contrato Marco"/>
    <x v="1"/>
    <n v="150000"/>
    <n v="30000"/>
    <n v="4"/>
    <x v="3"/>
    <m/>
    <m/>
    <m/>
    <m/>
    <n v="37500"/>
    <n v="37500"/>
    <n v="37500"/>
    <n v="37500"/>
    <m/>
    <m/>
    <m/>
    <m/>
    <n v="150000"/>
    <n v="150000"/>
    <n v="0"/>
  </r>
  <r>
    <s v="ING"/>
    <x v="4"/>
    <x v="1"/>
    <x v="1"/>
    <x v="38"/>
    <m/>
    <x v="29"/>
    <m/>
    <x v="2"/>
    <x v="1"/>
    <s v="Contrato Marco"/>
    <x v="1"/>
    <n v="45000"/>
    <n v="9000"/>
    <n v="2"/>
    <x v="7"/>
    <m/>
    <m/>
    <m/>
    <m/>
    <m/>
    <m/>
    <n v="22500"/>
    <n v="22500"/>
    <m/>
    <m/>
    <m/>
    <m/>
    <n v="45000"/>
    <n v="45000"/>
    <n v="0"/>
  </r>
  <r>
    <s v="ING"/>
    <x v="4"/>
    <x v="1"/>
    <x v="1"/>
    <x v="39"/>
    <m/>
    <x v="30"/>
    <m/>
    <x v="2"/>
    <x v="1"/>
    <s v="Contrato Marco"/>
    <x v="1"/>
    <n v="50000"/>
    <n v="10000"/>
    <n v="2"/>
    <x v="6"/>
    <m/>
    <m/>
    <m/>
    <m/>
    <m/>
    <m/>
    <m/>
    <m/>
    <n v="25000"/>
    <n v="25000"/>
    <m/>
    <m/>
    <n v="50000"/>
    <n v="50000"/>
    <n v="0"/>
  </r>
  <r>
    <s v="ING"/>
    <x v="4"/>
    <x v="1"/>
    <x v="1"/>
    <x v="40"/>
    <m/>
    <x v="29"/>
    <m/>
    <x v="1"/>
    <x v="1"/>
    <s v="Contrato Marco"/>
    <x v="1"/>
    <n v="200000"/>
    <n v="40000"/>
    <n v="5"/>
    <x v="6"/>
    <m/>
    <m/>
    <m/>
    <m/>
    <m/>
    <m/>
    <m/>
    <m/>
    <n v="40000"/>
    <n v="40000"/>
    <n v="40000"/>
    <n v="40000"/>
    <n v="160000"/>
    <n v="200000"/>
    <n v="40000"/>
  </r>
  <r>
    <s v="ING"/>
    <x v="4"/>
    <x v="1"/>
    <x v="1"/>
    <x v="41"/>
    <m/>
    <x v="5"/>
    <m/>
    <x v="1"/>
    <x v="1"/>
    <s v="Contrato Marco"/>
    <x v="1"/>
    <n v="220000"/>
    <n v="44000"/>
    <n v="5"/>
    <x v="8"/>
    <m/>
    <m/>
    <m/>
    <m/>
    <m/>
    <m/>
    <m/>
    <m/>
    <m/>
    <m/>
    <n v="44000"/>
    <n v="44000"/>
    <n v="88000"/>
    <n v="220000"/>
    <n v="132000"/>
  </r>
  <r>
    <s v="ING"/>
    <x v="4"/>
    <x v="1"/>
    <x v="1"/>
    <x v="42"/>
    <m/>
    <x v="31"/>
    <m/>
    <x v="2"/>
    <x v="1"/>
    <s v="Solicitud directa"/>
    <x v="1"/>
    <n v="160000"/>
    <n v="32000"/>
    <n v="2"/>
    <x v="5"/>
    <m/>
    <m/>
    <m/>
    <n v="80000"/>
    <n v="80000"/>
    <m/>
    <m/>
    <m/>
    <m/>
    <m/>
    <m/>
    <m/>
    <n v="160000"/>
    <n v="160000"/>
    <n v="0"/>
  </r>
  <r>
    <s v="ING"/>
    <x v="4"/>
    <x v="1"/>
    <x v="1"/>
    <x v="43"/>
    <m/>
    <x v="32"/>
    <m/>
    <x v="1"/>
    <x v="1"/>
    <s v="Contrato Marco"/>
    <x v="1"/>
    <n v="1000000"/>
    <n v="200000"/>
    <m/>
    <x v="4"/>
    <m/>
    <m/>
    <m/>
    <m/>
    <m/>
    <m/>
    <m/>
    <m/>
    <m/>
    <m/>
    <m/>
    <m/>
    <n v="0"/>
    <n v="1000000"/>
    <m/>
  </r>
  <r>
    <s v="ING"/>
    <x v="4"/>
    <x v="0"/>
    <x v="1"/>
    <x v="44"/>
    <m/>
    <x v="33"/>
    <m/>
    <x v="2"/>
    <x v="0"/>
    <s v="Solicitud directa"/>
    <x v="5"/>
    <n v="91650"/>
    <n v="45825"/>
    <n v="4"/>
    <x v="5"/>
    <m/>
    <m/>
    <n v="22912.5"/>
    <n v="22912.5"/>
    <n v="22912.5"/>
    <n v="22912.5"/>
    <m/>
    <m/>
    <m/>
    <m/>
    <m/>
    <m/>
    <n v="91650"/>
    <n v="91650"/>
    <n v="0"/>
  </r>
  <r>
    <s v="ING"/>
    <x v="4"/>
    <x v="1"/>
    <x v="1"/>
    <x v="45"/>
    <m/>
    <x v="33"/>
    <m/>
    <x v="1"/>
    <x v="1"/>
    <s v="Solicitud directa"/>
    <x v="1"/>
    <n v="250000"/>
    <n v="50000"/>
    <n v="5"/>
    <x v="1"/>
    <m/>
    <m/>
    <m/>
    <m/>
    <m/>
    <n v="50000"/>
    <n v="50000"/>
    <n v="50000"/>
    <n v="50000"/>
    <n v="50000"/>
    <m/>
    <m/>
    <n v="250000"/>
    <n v="250000"/>
    <n v="0"/>
  </r>
  <r>
    <s v="ING"/>
    <x v="4"/>
    <x v="0"/>
    <x v="1"/>
    <x v="46"/>
    <m/>
    <x v="33"/>
    <s v="Centinela"/>
    <x v="2"/>
    <x v="0"/>
    <s v="Solicitud directa"/>
    <x v="3"/>
    <n v="225000"/>
    <n v="202500"/>
    <n v="4"/>
    <x v="5"/>
    <m/>
    <m/>
    <m/>
    <n v="56250"/>
    <n v="56250"/>
    <n v="56250"/>
    <n v="56250"/>
    <m/>
    <m/>
    <m/>
    <m/>
    <m/>
    <n v="225000"/>
    <n v="225000"/>
    <n v="0"/>
  </r>
  <r>
    <s v="ING"/>
    <x v="4"/>
    <x v="1"/>
    <x v="1"/>
    <x v="47"/>
    <m/>
    <x v="33"/>
    <m/>
    <x v="1"/>
    <x v="1"/>
    <s v="Solicitud directa"/>
    <x v="1"/>
    <n v="300000"/>
    <n v="60000"/>
    <n v="6"/>
    <x v="5"/>
    <m/>
    <m/>
    <m/>
    <n v="50000"/>
    <n v="50000"/>
    <n v="50000"/>
    <n v="50000"/>
    <n v="50000"/>
    <n v="50000"/>
    <m/>
    <m/>
    <m/>
    <n v="300000"/>
    <n v="300000"/>
    <n v="0"/>
  </r>
  <r>
    <s v="ING"/>
    <x v="4"/>
    <x v="1"/>
    <x v="1"/>
    <x v="48"/>
    <m/>
    <x v="34"/>
    <m/>
    <x v="1"/>
    <x v="1"/>
    <s v="Solicitud directa"/>
    <x v="1"/>
    <n v="100000"/>
    <n v="20000"/>
    <n v="1"/>
    <x v="3"/>
    <m/>
    <m/>
    <m/>
    <m/>
    <m/>
    <m/>
    <m/>
    <m/>
    <m/>
    <m/>
    <m/>
    <m/>
    <n v="0"/>
    <n v="100000"/>
    <n v="100000"/>
  </r>
  <r>
    <s v="GEOT"/>
    <x v="1"/>
    <x v="1"/>
    <x v="1"/>
    <x v="49"/>
    <m/>
    <x v="5"/>
    <m/>
    <x v="1"/>
    <x v="1"/>
    <m/>
    <x v="1"/>
    <n v="80000"/>
    <n v="16000"/>
    <n v="4"/>
    <x v="5"/>
    <m/>
    <m/>
    <m/>
    <n v="20000"/>
    <n v="20000"/>
    <n v="20000"/>
    <n v="20000"/>
    <m/>
    <m/>
    <m/>
    <m/>
    <m/>
    <n v="80000"/>
    <n v="80000"/>
    <n v="0"/>
  </r>
  <r>
    <s v="GEOT"/>
    <x v="1"/>
    <x v="1"/>
    <x v="1"/>
    <x v="50"/>
    <m/>
    <x v="5"/>
    <m/>
    <x v="1"/>
    <x v="1"/>
    <m/>
    <x v="1"/>
    <n v="350000"/>
    <n v="70000"/>
    <n v="8"/>
    <x v="1"/>
    <m/>
    <m/>
    <m/>
    <m/>
    <m/>
    <n v="43750"/>
    <n v="43750"/>
    <n v="43750"/>
    <n v="43750"/>
    <n v="43750"/>
    <n v="43750"/>
    <n v="43750"/>
    <n v="306250"/>
    <n v="350000"/>
    <n v="43750"/>
  </r>
  <r>
    <s v="GEOT"/>
    <x v="1"/>
    <x v="1"/>
    <x v="1"/>
    <x v="51"/>
    <m/>
    <x v="28"/>
    <m/>
    <x v="2"/>
    <x v="1"/>
    <m/>
    <x v="1"/>
    <n v="100000"/>
    <n v="20000"/>
    <n v="4"/>
    <x v="3"/>
    <m/>
    <m/>
    <m/>
    <m/>
    <m/>
    <n v="25000"/>
    <n v="25000"/>
    <n v="25000"/>
    <n v="25000"/>
    <m/>
    <m/>
    <m/>
    <n v="100000"/>
    <n v="100000"/>
    <n v="0"/>
  </r>
  <r>
    <s v="GEOT"/>
    <x v="1"/>
    <x v="1"/>
    <x v="1"/>
    <x v="52"/>
    <m/>
    <x v="24"/>
    <m/>
    <x v="1"/>
    <x v="1"/>
    <m/>
    <x v="1"/>
    <n v="350000"/>
    <n v="70000"/>
    <n v="6"/>
    <x v="5"/>
    <m/>
    <m/>
    <m/>
    <n v="58333.333333333336"/>
    <n v="58333.333333333336"/>
    <n v="58333.333333333336"/>
    <n v="58333.333333333336"/>
    <n v="58333.333333333336"/>
    <n v="58333.333333333336"/>
    <m/>
    <m/>
    <m/>
    <n v="350000"/>
    <n v="350000"/>
    <n v="0"/>
  </r>
  <r>
    <s v="GEOT"/>
    <x v="1"/>
    <x v="1"/>
    <x v="1"/>
    <x v="53"/>
    <m/>
    <x v="35"/>
    <m/>
    <x v="1"/>
    <x v="1"/>
    <s v="Solicitud directa"/>
    <x v="1"/>
    <n v="100000"/>
    <n v="20000"/>
    <n v="10"/>
    <x v="3"/>
    <m/>
    <m/>
    <n v="10000"/>
    <n v="10000"/>
    <n v="10000"/>
    <n v="10000"/>
    <n v="10000"/>
    <n v="10000"/>
    <n v="10000"/>
    <n v="10000"/>
    <n v="10000"/>
    <n v="10000"/>
    <n v="100000"/>
    <n v="100000"/>
    <n v="0"/>
  </r>
  <r>
    <s v="GEOT"/>
    <x v="1"/>
    <x v="1"/>
    <x v="1"/>
    <x v="54"/>
    <m/>
    <x v="25"/>
    <m/>
    <x v="1"/>
    <x v="1"/>
    <m/>
    <x v="1"/>
    <n v="60000"/>
    <n v="12000"/>
    <n v="4"/>
    <x v="3"/>
    <m/>
    <m/>
    <m/>
    <m/>
    <n v="15000"/>
    <n v="15000"/>
    <n v="15000"/>
    <n v="15000"/>
    <m/>
    <m/>
    <m/>
    <m/>
    <n v="60000"/>
    <n v="60000"/>
    <n v="0"/>
  </r>
  <r>
    <s v="GEOT"/>
    <x v="1"/>
    <x v="1"/>
    <x v="1"/>
    <x v="55"/>
    <m/>
    <x v="21"/>
    <m/>
    <x v="1"/>
    <x v="1"/>
    <m/>
    <x v="1"/>
    <n v="100000"/>
    <n v="20000"/>
    <n v="4"/>
    <x v="6"/>
    <m/>
    <m/>
    <m/>
    <m/>
    <m/>
    <m/>
    <m/>
    <n v="25000"/>
    <n v="25000"/>
    <n v="25000"/>
    <n v="25000"/>
    <m/>
    <n v="100000"/>
    <n v="100000"/>
    <n v="0"/>
  </r>
  <r>
    <s v="GEOT"/>
    <x v="1"/>
    <x v="1"/>
    <x v="1"/>
    <x v="56"/>
    <m/>
    <x v="36"/>
    <m/>
    <x v="1"/>
    <x v="1"/>
    <m/>
    <x v="1"/>
    <n v="100000"/>
    <n v="20000"/>
    <n v="4"/>
    <x v="1"/>
    <m/>
    <m/>
    <m/>
    <m/>
    <m/>
    <n v="25000"/>
    <n v="25000"/>
    <n v="25000"/>
    <n v="25000"/>
    <m/>
    <m/>
    <m/>
    <n v="100000"/>
    <n v="100000"/>
    <n v="0"/>
  </r>
  <r>
    <s v="ING"/>
    <x v="7"/>
    <x v="0"/>
    <x v="1"/>
    <x v="57"/>
    <m/>
    <x v="37"/>
    <m/>
    <x v="2"/>
    <x v="0"/>
    <m/>
    <x v="2"/>
    <n v="198845"/>
    <n v="59653.5"/>
    <n v="4"/>
    <x v="5"/>
    <m/>
    <m/>
    <m/>
    <n v="49711.25"/>
    <n v="49711.25"/>
    <n v="49711.25"/>
    <n v="49711.25"/>
    <m/>
    <m/>
    <m/>
    <m/>
    <m/>
    <n v="198845"/>
    <n v="198845"/>
    <m/>
  </r>
  <r>
    <s v="GEOT"/>
    <x v="1"/>
    <x v="1"/>
    <x v="1"/>
    <x v="56"/>
    <m/>
    <x v="38"/>
    <m/>
    <x v="1"/>
    <x v="1"/>
    <m/>
    <x v="1"/>
    <n v="100000"/>
    <n v="20000"/>
    <n v="4"/>
    <x v="6"/>
    <m/>
    <m/>
    <m/>
    <m/>
    <m/>
    <m/>
    <m/>
    <n v="25000"/>
    <n v="25000"/>
    <n v="25000"/>
    <n v="25000"/>
    <m/>
    <n v="100000"/>
    <n v="100000"/>
    <n v="0"/>
  </r>
  <r>
    <s v="GEOT"/>
    <x v="1"/>
    <x v="1"/>
    <x v="1"/>
    <x v="58"/>
    <m/>
    <x v="39"/>
    <m/>
    <x v="1"/>
    <x v="1"/>
    <m/>
    <x v="1"/>
    <n v="100000"/>
    <n v="20000"/>
    <n v="4"/>
    <x v="8"/>
    <m/>
    <m/>
    <m/>
    <m/>
    <m/>
    <m/>
    <m/>
    <m/>
    <m/>
    <m/>
    <n v="25000"/>
    <n v="25000"/>
    <n v="50000"/>
    <n v="100000"/>
    <n v="50000"/>
  </r>
  <r>
    <s v="GEOT"/>
    <x v="1"/>
    <x v="1"/>
    <x v="1"/>
    <x v="59"/>
    <m/>
    <x v="40"/>
    <m/>
    <x v="5"/>
    <x v="1"/>
    <m/>
    <x v="4"/>
    <n v="350000"/>
    <n v="0"/>
    <n v="6"/>
    <x v="3"/>
    <m/>
    <m/>
    <m/>
    <m/>
    <m/>
    <m/>
    <m/>
    <m/>
    <m/>
    <m/>
    <m/>
    <m/>
    <n v="0"/>
    <n v="350000"/>
    <n v="350000"/>
  </r>
  <r>
    <s v="GEOT"/>
    <x v="1"/>
    <x v="1"/>
    <x v="2"/>
    <x v="60"/>
    <m/>
    <x v="41"/>
    <m/>
    <x v="5"/>
    <x v="1"/>
    <m/>
    <x v="4"/>
    <n v="300000"/>
    <n v="0"/>
    <n v="6"/>
    <x v="1"/>
    <n v="0"/>
    <n v="0"/>
    <n v="0"/>
    <n v="0"/>
    <n v="0"/>
    <n v="0"/>
    <n v="0"/>
    <n v="0"/>
    <n v="0"/>
    <n v="0"/>
    <n v="0"/>
    <n v="0"/>
    <n v="0"/>
    <n v="300000"/>
    <n v="300000"/>
  </r>
  <r>
    <s v="GEOT"/>
    <x v="1"/>
    <x v="1"/>
    <x v="0"/>
    <x v="61"/>
    <m/>
    <x v="0"/>
    <m/>
    <x v="1"/>
    <x v="1"/>
    <s v="Marco"/>
    <x v="1"/>
    <n v="100000"/>
    <n v="20000"/>
    <n v="4"/>
    <x v="5"/>
    <m/>
    <m/>
    <m/>
    <n v="25000"/>
    <n v="25000"/>
    <n v="25000"/>
    <n v="25000"/>
    <m/>
    <m/>
    <m/>
    <m/>
    <m/>
    <n v="100000"/>
    <n v="100000"/>
    <n v="0"/>
  </r>
  <r>
    <s v="GEOT"/>
    <x v="1"/>
    <x v="1"/>
    <x v="0"/>
    <x v="62"/>
    <m/>
    <x v="0"/>
    <m/>
    <x v="5"/>
    <x v="1"/>
    <m/>
    <x v="4"/>
    <n v="200000"/>
    <n v="0"/>
    <n v="6"/>
    <x v="0"/>
    <m/>
    <m/>
    <m/>
    <m/>
    <m/>
    <m/>
    <m/>
    <m/>
    <m/>
    <m/>
    <m/>
    <m/>
    <n v="0"/>
    <n v="200000"/>
    <n v="200000"/>
  </r>
  <r>
    <s v="GEOT"/>
    <x v="1"/>
    <x v="1"/>
    <x v="2"/>
    <x v="63"/>
    <m/>
    <x v="42"/>
    <m/>
    <x v="5"/>
    <x v="1"/>
    <m/>
    <x v="4"/>
    <n v="168000"/>
    <n v="0"/>
    <n v="12"/>
    <x v="3"/>
    <n v="0"/>
    <n v="0"/>
    <n v="0"/>
    <n v="0"/>
    <n v="0"/>
    <n v="0"/>
    <n v="0"/>
    <n v="0"/>
    <n v="0"/>
    <n v="0"/>
    <n v="0"/>
    <n v="0"/>
    <n v="0"/>
    <n v="168000"/>
    <n v="168000"/>
  </r>
  <r>
    <s v="GEOT"/>
    <x v="1"/>
    <x v="1"/>
    <x v="2"/>
    <x v="63"/>
    <m/>
    <x v="32"/>
    <m/>
    <x v="5"/>
    <x v="1"/>
    <m/>
    <x v="4"/>
    <n v="168000"/>
    <n v="0"/>
    <n v="12"/>
    <x v="6"/>
    <n v="0"/>
    <n v="0"/>
    <n v="0"/>
    <n v="0"/>
    <n v="0"/>
    <n v="0"/>
    <n v="0"/>
    <n v="0"/>
    <n v="0"/>
    <n v="0"/>
    <n v="0"/>
    <n v="0"/>
    <n v="0"/>
    <n v="168000"/>
    <n v="168000"/>
  </r>
  <r>
    <s v="GEOT"/>
    <x v="1"/>
    <x v="1"/>
    <x v="2"/>
    <x v="64"/>
    <m/>
    <x v="42"/>
    <m/>
    <x v="2"/>
    <x v="1"/>
    <m/>
    <x v="1"/>
    <n v="150000"/>
    <n v="30000"/>
    <n v="6"/>
    <x v="3"/>
    <n v="0"/>
    <n v="0"/>
    <n v="0"/>
    <n v="0"/>
    <n v="25000"/>
    <n v="25000"/>
    <n v="25000"/>
    <n v="25000"/>
    <n v="25000"/>
    <n v="25000"/>
    <n v="0"/>
    <n v="0"/>
    <n v="150000"/>
    <n v="150000"/>
    <n v="0"/>
  </r>
  <r>
    <s v="ING"/>
    <x v="6"/>
    <x v="1"/>
    <x v="2"/>
    <x v="65"/>
    <m/>
    <x v="43"/>
    <m/>
    <x v="1"/>
    <x v="1"/>
    <m/>
    <x v="1"/>
    <n v="45000"/>
    <n v="9000"/>
    <n v="3"/>
    <x v="5"/>
    <n v="0"/>
    <n v="0"/>
    <n v="15000"/>
    <n v="15000"/>
    <n v="15000"/>
    <n v="0"/>
    <n v="0"/>
    <n v="0"/>
    <n v="0"/>
    <n v="0"/>
    <n v="0"/>
    <n v="0"/>
    <n v="45000"/>
    <n v="45000"/>
    <n v="0"/>
  </r>
  <r>
    <s v="ING"/>
    <x v="6"/>
    <x v="0"/>
    <x v="2"/>
    <x v="66"/>
    <m/>
    <x v="44"/>
    <m/>
    <x v="2"/>
    <x v="0"/>
    <m/>
    <x v="8"/>
    <n v="285000"/>
    <n v="14250"/>
    <n v="12"/>
    <x v="5"/>
    <m/>
    <m/>
    <m/>
    <n v="23750"/>
    <n v="23750"/>
    <n v="23750"/>
    <n v="23750"/>
    <n v="23750"/>
    <n v="23750"/>
    <n v="23750"/>
    <n v="23750"/>
    <n v="23750"/>
    <n v="213750"/>
    <n v="285000"/>
    <n v="71250"/>
  </r>
  <r>
    <s v="ING"/>
    <x v="6"/>
    <x v="1"/>
    <x v="2"/>
    <x v="67"/>
    <m/>
    <x v="45"/>
    <m/>
    <x v="1"/>
    <x v="1"/>
    <m/>
    <x v="1"/>
    <n v="900000"/>
    <n v="180000"/>
    <n v="5"/>
    <x v="7"/>
    <n v="0"/>
    <n v="0"/>
    <n v="0"/>
    <n v="0"/>
    <n v="0"/>
    <n v="0"/>
    <n v="180000"/>
    <n v="180000"/>
    <n v="180000"/>
    <n v="180000"/>
    <n v="180000"/>
    <n v="0"/>
    <n v="900000"/>
    <n v="900000"/>
    <n v="0"/>
  </r>
  <r>
    <s v="ING"/>
    <x v="6"/>
    <x v="1"/>
    <x v="2"/>
    <x v="68"/>
    <m/>
    <x v="45"/>
    <m/>
    <x v="1"/>
    <x v="1"/>
    <m/>
    <x v="1"/>
    <n v="180000"/>
    <n v="36000"/>
    <n v="4"/>
    <x v="6"/>
    <n v="0"/>
    <n v="0"/>
    <n v="0"/>
    <n v="0"/>
    <n v="0"/>
    <n v="0"/>
    <n v="0"/>
    <n v="45000"/>
    <n v="45000"/>
    <n v="45000"/>
    <n v="45000"/>
    <n v="0"/>
    <n v="180000"/>
    <n v="180000"/>
    <n v="0"/>
  </r>
  <r>
    <s v="ING"/>
    <x v="6"/>
    <x v="1"/>
    <x v="2"/>
    <x v="69"/>
    <m/>
    <x v="45"/>
    <m/>
    <x v="1"/>
    <x v="1"/>
    <m/>
    <x v="1"/>
    <n v="1000000"/>
    <n v="200000"/>
    <n v="6"/>
    <x v="10"/>
    <n v="0"/>
    <n v="0"/>
    <n v="0"/>
    <n v="0"/>
    <n v="0"/>
    <n v="0"/>
    <n v="0"/>
    <n v="0"/>
    <n v="0"/>
    <n v="0"/>
    <n v="0"/>
    <n v="0"/>
    <n v="0"/>
    <n v="1000000"/>
    <n v="1000000"/>
  </r>
  <r>
    <s v="GEOT"/>
    <x v="1"/>
    <x v="0"/>
    <x v="2"/>
    <x v="70"/>
    <m/>
    <x v="46"/>
    <s v="Inmaculada"/>
    <x v="2"/>
    <x v="0"/>
    <s v="Solicitud directa"/>
    <x v="9"/>
    <n v="65000"/>
    <n v="64350"/>
    <n v="1"/>
    <x v="5"/>
    <m/>
    <m/>
    <m/>
    <n v="65000"/>
    <m/>
    <m/>
    <m/>
    <m/>
    <m/>
    <m/>
    <m/>
    <m/>
    <n v="65000"/>
    <n v="65000"/>
    <n v="0"/>
  </r>
  <r>
    <s v="ING"/>
    <x v="6"/>
    <x v="0"/>
    <x v="2"/>
    <x v="71"/>
    <m/>
    <x v="47"/>
    <m/>
    <x v="2"/>
    <x v="2"/>
    <s v="Licitación"/>
    <x v="2"/>
    <n v="115000"/>
    <n v="34500"/>
    <n v="3"/>
    <x v="3"/>
    <m/>
    <m/>
    <m/>
    <m/>
    <n v="38333.333333333336"/>
    <n v="38333.333333333336"/>
    <n v="38333.333333333336"/>
    <m/>
    <m/>
    <m/>
    <m/>
    <m/>
    <n v="115000"/>
    <n v="115000"/>
    <m/>
  </r>
  <r>
    <s v="ING"/>
    <x v="6"/>
    <x v="0"/>
    <x v="2"/>
    <x v="72"/>
    <m/>
    <x v="48"/>
    <m/>
    <x v="2"/>
    <x v="2"/>
    <s v="Licitación"/>
    <x v="2"/>
    <n v="198283"/>
    <n v="59484.899999999994"/>
    <n v="4"/>
    <x v="3"/>
    <n v="0"/>
    <n v="0"/>
    <n v="0"/>
    <n v="0"/>
    <n v="49570.75"/>
    <n v="49570.75"/>
    <n v="49570.75"/>
    <n v="49570.75"/>
    <n v="0"/>
    <n v="0"/>
    <n v="0"/>
    <n v="0"/>
    <n v="198283"/>
    <n v="198283"/>
    <n v="0"/>
  </r>
  <r>
    <s v="ING"/>
    <x v="6"/>
    <x v="1"/>
    <x v="2"/>
    <x v="73"/>
    <m/>
    <x v="48"/>
    <m/>
    <x v="2"/>
    <x v="1"/>
    <m/>
    <x v="10"/>
    <n v="45000"/>
    <n v="4500"/>
    <n v="3"/>
    <x v="5"/>
    <n v="0"/>
    <n v="0"/>
    <n v="0"/>
    <n v="15000"/>
    <n v="15000"/>
    <n v="15000"/>
    <n v="0"/>
    <n v="0"/>
    <n v="0"/>
    <n v="0"/>
    <n v="0"/>
    <n v="0"/>
    <n v="45000"/>
    <n v="45000"/>
    <n v="0"/>
  </r>
  <r>
    <s v="ING"/>
    <x v="6"/>
    <x v="1"/>
    <x v="2"/>
    <x v="74"/>
    <m/>
    <x v="48"/>
    <m/>
    <x v="2"/>
    <x v="1"/>
    <m/>
    <x v="10"/>
    <n v="45000"/>
    <n v="4500"/>
    <n v="4"/>
    <x v="7"/>
    <n v="0"/>
    <n v="0"/>
    <n v="0"/>
    <n v="0"/>
    <n v="0"/>
    <n v="0"/>
    <n v="11250"/>
    <n v="11250"/>
    <n v="11250"/>
    <n v="11250"/>
    <n v="0"/>
    <n v="0"/>
    <n v="45000"/>
    <n v="45000"/>
    <n v="0"/>
  </r>
  <r>
    <s v="GEOT"/>
    <x v="1"/>
    <x v="0"/>
    <x v="2"/>
    <x v="75"/>
    <m/>
    <x v="49"/>
    <m/>
    <x v="2"/>
    <x v="0"/>
    <s v="Licitación"/>
    <x v="4"/>
    <n v="102545"/>
    <n v="0"/>
    <n v="5"/>
    <x v="5"/>
    <n v="0"/>
    <n v="0"/>
    <n v="0"/>
    <n v="20509"/>
    <n v="20509"/>
    <n v="20509"/>
    <n v="20509"/>
    <n v="20509"/>
    <n v="0"/>
    <n v="0"/>
    <n v="0"/>
    <n v="0"/>
    <n v="102545"/>
    <n v="102545"/>
    <n v="0"/>
  </r>
  <r>
    <s v="GEOT"/>
    <x v="1"/>
    <x v="0"/>
    <x v="2"/>
    <x v="76"/>
    <m/>
    <x v="49"/>
    <m/>
    <x v="2"/>
    <x v="0"/>
    <s v="Licitación"/>
    <x v="4"/>
    <n v="149657"/>
    <n v="0"/>
    <n v="4"/>
    <x v="5"/>
    <n v="0"/>
    <n v="0"/>
    <n v="0"/>
    <n v="37414.25"/>
    <n v="37414.25"/>
    <n v="37414.25"/>
    <n v="37414.25"/>
    <m/>
    <n v="0"/>
    <n v="0"/>
    <n v="0"/>
    <n v="0"/>
    <n v="149657"/>
    <n v="149657"/>
    <n v="0"/>
  </r>
  <r>
    <s v="GEOT"/>
    <x v="1"/>
    <x v="0"/>
    <x v="2"/>
    <x v="77"/>
    <m/>
    <x v="49"/>
    <m/>
    <x v="2"/>
    <x v="0"/>
    <s v="Licitación"/>
    <x v="4"/>
    <n v="90120"/>
    <n v="0"/>
    <n v="5"/>
    <x v="3"/>
    <n v="0"/>
    <n v="0"/>
    <n v="0"/>
    <n v="0"/>
    <n v="18024"/>
    <n v="18024"/>
    <n v="18024"/>
    <n v="18024"/>
    <n v="18024"/>
    <m/>
    <n v="0"/>
    <n v="0"/>
    <n v="90120"/>
    <n v="90120"/>
    <n v="0"/>
  </r>
  <r>
    <s v="ING"/>
    <x v="6"/>
    <x v="1"/>
    <x v="2"/>
    <x v="78"/>
    <m/>
    <x v="50"/>
    <m/>
    <x v="1"/>
    <x v="1"/>
    <m/>
    <x v="1"/>
    <n v="175000"/>
    <n v="35000"/>
    <n v="5"/>
    <x v="1"/>
    <n v="0"/>
    <n v="0"/>
    <n v="0"/>
    <n v="0"/>
    <n v="0"/>
    <n v="35000"/>
    <n v="35000"/>
    <n v="35000"/>
    <n v="35000"/>
    <n v="35000"/>
    <n v="0"/>
    <n v="0"/>
    <n v="175000"/>
    <n v="175000"/>
    <n v="0"/>
  </r>
  <r>
    <s v="ING"/>
    <x v="6"/>
    <x v="1"/>
    <x v="2"/>
    <x v="79"/>
    <m/>
    <x v="51"/>
    <m/>
    <x v="1"/>
    <x v="1"/>
    <m/>
    <x v="1"/>
    <n v="145000"/>
    <n v="29000"/>
    <n v="4"/>
    <x v="2"/>
    <n v="0"/>
    <n v="0"/>
    <n v="0"/>
    <n v="0"/>
    <n v="0"/>
    <n v="0"/>
    <n v="0"/>
    <n v="0"/>
    <n v="36250"/>
    <n v="36250"/>
    <n v="36250"/>
    <n v="36250"/>
    <n v="145000"/>
    <n v="145000"/>
    <n v="0"/>
  </r>
  <r>
    <s v="ING"/>
    <x v="6"/>
    <x v="0"/>
    <x v="2"/>
    <x v="80"/>
    <m/>
    <x v="35"/>
    <s v="Coroccohuayco"/>
    <x v="2"/>
    <x v="0"/>
    <s v="Licitación"/>
    <x v="10"/>
    <n v="399000"/>
    <n v="39900"/>
    <n v="3"/>
    <x v="3"/>
    <m/>
    <m/>
    <m/>
    <m/>
    <n v="133000"/>
    <n v="133000"/>
    <n v="133000"/>
    <m/>
    <m/>
    <m/>
    <m/>
    <m/>
    <n v="399000"/>
    <n v="399000"/>
    <m/>
  </r>
  <r>
    <s v="ING"/>
    <x v="6"/>
    <x v="1"/>
    <x v="2"/>
    <x v="74"/>
    <m/>
    <x v="52"/>
    <m/>
    <x v="1"/>
    <x v="1"/>
    <m/>
    <x v="1"/>
    <n v="40000"/>
    <n v="8000"/>
    <n v="2"/>
    <x v="2"/>
    <n v="0"/>
    <n v="0"/>
    <n v="0"/>
    <n v="0"/>
    <n v="0"/>
    <n v="0"/>
    <n v="20000"/>
    <n v="20000"/>
    <n v="0"/>
    <n v="0"/>
    <n v="0"/>
    <n v="0"/>
    <n v="40000"/>
    <n v="40000"/>
    <n v="0"/>
  </r>
  <r>
    <s v="ING"/>
    <x v="6"/>
    <x v="1"/>
    <x v="2"/>
    <x v="81"/>
    <m/>
    <x v="53"/>
    <m/>
    <x v="1"/>
    <x v="1"/>
    <m/>
    <x v="1"/>
    <n v="115000"/>
    <n v="23000"/>
    <n v="4"/>
    <x v="5"/>
    <n v="0"/>
    <n v="0"/>
    <n v="0"/>
    <n v="28750"/>
    <n v="28750"/>
    <n v="28750"/>
    <n v="28750"/>
    <n v="0"/>
    <n v="0"/>
    <n v="0"/>
    <n v="0"/>
    <n v="0"/>
    <n v="115000"/>
    <n v="115000"/>
    <n v="0"/>
  </r>
  <r>
    <s v="ING"/>
    <x v="6"/>
    <x v="1"/>
    <x v="2"/>
    <x v="82"/>
    <m/>
    <x v="54"/>
    <m/>
    <x v="1"/>
    <x v="1"/>
    <m/>
    <x v="1"/>
    <n v="90000"/>
    <n v="18000"/>
    <n v="4"/>
    <x v="6"/>
    <n v="0"/>
    <n v="0"/>
    <n v="0"/>
    <n v="0"/>
    <n v="0"/>
    <n v="0"/>
    <n v="0"/>
    <n v="22500"/>
    <n v="22500"/>
    <n v="22500"/>
    <n v="22500"/>
    <m/>
    <n v="90000"/>
    <n v="90000"/>
    <n v="0"/>
  </r>
  <r>
    <s v="ING"/>
    <x v="6"/>
    <x v="1"/>
    <x v="2"/>
    <x v="83"/>
    <m/>
    <x v="36"/>
    <m/>
    <x v="1"/>
    <x v="1"/>
    <m/>
    <x v="1"/>
    <n v="180000"/>
    <n v="36000"/>
    <n v="6"/>
    <x v="3"/>
    <n v="0"/>
    <n v="0"/>
    <n v="0"/>
    <n v="0"/>
    <n v="30000"/>
    <n v="30000"/>
    <n v="30000"/>
    <n v="30000"/>
    <n v="30000"/>
    <n v="30000"/>
    <n v="0"/>
    <m/>
    <n v="180000"/>
    <n v="180000"/>
    <n v="0"/>
  </r>
  <r>
    <s v="ING"/>
    <x v="6"/>
    <x v="1"/>
    <x v="2"/>
    <x v="74"/>
    <m/>
    <x v="55"/>
    <m/>
    <x v="1"/>
    <x v="1"/>
    <m/>
    <x v="1"/>
    <n v="40000"/>
    <n v="8000"/>
    <n v="4"/>
    <x v="2"/>
    <n v="0"/>
    <n v="0"/>
    <n v="0"/>
    <n v="0"/>
    <n v="0"/>
    <n v="0"/>
    <n v="0"/>
    <n v="0"/>
    <n v="10000"/>
    <n v="10000"/>
    <n v="10000"/>
    <n v="10000"/>
    <n v="40000"/>
    <n v="40000"/>
    <n v="0"/>
  </r>
  <r>
    <s v="GEOT"/>
    <x v="1"/>
    <x v="1"/>
    <x v="2"/>
    <x v="84"/>
    <m/>
    <x v="56"/>
    <m/>
    <x v="1"/>
    <x v="1"/>
    <m/>
    <x v="1"/>
    <n v="120000"/>
    <n v="24000"/>
    <n v="6"/>
    <x v="3"/>
    <n v="0"/>
    <n v="0"/>
    <n v="0"/>
    <n v="0"/>
    <n v="20000"/>
    <n v="20000"/>
    <n v="20000"/>
    <n v="20000"/>
    <n v="20000"/>
    <n v="20000"/>
    <n v="0"/>
    <n v="0"/>
    <n v="120000"/>
    <n v="120000"/>
    <n v="0"/>
  </r>
  <r>
    <s v="ING"/>
    <x v="6"/>
    <x v="1"/>
    <x v="2"/>
    <x v="85"/>
    <m/>
    <x v="23"/>
    <m/>
    <x v="1"/>
    <x v="1"/>
    <m/>
    <x v="1"/>
    <n v="75000"/>
    <n v="15000"/>
    <n v="3"/>
    <x v="1"/>
    <n v="0"/>
    <n v="0"/>
    <n v="0"/>
    <n v="0"/>
    <n v="0"/>
    <n v="25000"/>
    <n v="25000"/>
    <n v="25000"/>
    <n v="0"/>
    <n v="0"/>
    <n v="0"/>
    <n v="0"/>
    <n v="75000"/>
    <n v="75000"/>
    <n v="0"/>
  </r>
  <r>
    <s v="ING"/>
    <x v="8"/>
    <x v="0"/>
    <x v="3"/>
    <x v="86"/>
    <m/>
    <x v="57"/>
    <m/>
    <x v="2"/>
    <x v="0"/>
    <s v="Solicitud directa"/>
    <x v="8"/>
    <n v="202300"/>
    <n v="10115"/>
    <n v="6"/>
    <x v="1"/>
    <n v="0"/>
    <n v="0"/>
    <n v="0"/>
    <n v="0"/>
    <m/>
    <n v="33716.666666666664"/>
    <n v="33716.666666666664"/>
    <n v="33716.666666666664"/>
    <n v="33716.666666666664"/>
    <n v="33716.666666666664"/>
    <n v="33716.666666666664"/>
    <m/>
    <n v="202299.99999999997"/>
    <n v="202300"/>
    <n v="0"/>
  </r>
  <r>
    <s v="GEOT"/>
    <x v="8"/>
    <x v="0"/>
    <x v="3"/>
    <x v="87"/>
    <m/>
    <x v="58"/>
    <m/>
    <x v="3"/>
    <x v="0"/>
    <s v="Licitacion"/>
    <x v="4"/>
    <n v="150000"/>
    <n v="0"/>
    <n v="3"/>
    <x v="3"/>
    <n v="0"/>
    <n v="0"/>
    <n v="0"/>
    <n v="0"/>
    <n v="50000"/>
    <n v="50000"/>
    <n v="50000"/>
    <m/>
    <m/>
    <m/>
    <m/>
    <m/>
    <n v="150000"/>
    <n v="150000"/>
    <n v="0"/>
  </r>
  <r>
    <s v="ING"/>
    <x v="8"/>
    <x v="0"/>
    <x v="3"/>
    <x v="88"/>
    <m/>
    <x v="59"/>
    <m/>
    <x v="2"/>
    <x v="0"/>
    <s v="Licitacion"/>
    <x v="10"/>
    <n v="600000"/>
    <n v="60000"/>
    <n v="10"/>
    <x v="3"/>
    <m/>
    <n v="0"/>
    <n v="0"/>
    <n v="0"/>
    <n v="40000"/>
    <n v="40000"/>
    <n v="40000"/>
    <n v="40000"/>
    <n v="40000"/>
    <n v="40000"/>
    <n v="40000"/>
    <n v="40000"/>
    <n v="320000"/>
    <n v="600000"/>
    <n v="280000"/>
  </r>
  <r>
    <s v="ING"/>
    <x v="8"/>
    <x v="0"/>
    <x v="3"/>
    <x v="89"/>
    <m/>
    <x v="60"/>
    <m/>
    <x v="2"/>
    <x v="0"/>
    <s v="Lictacion"/>
    <x v="11"/>
    <n v="3470000"/>
    <n v="3296500"/>
    <n v="16"/>
    <x v="3"/>
    <n v="0"/>
    <n v="0"/>
    <n v="0"/>
    <n v="0"/>
    <n v="0"/>
    <n v="216875"/>
    <n v="216875"/>
    <n v="216875"/>
    <n v="216875"/>
    <n v="216875"/>
    <n v="216875"/>
    <n v="216875"/>
    <n v="1518125"/>
    <n v="3470000"/>
    <n v="1951875"/>
  </r>
  <r>
    <s v="ING"/>
    <x v="8"/>
    <x v="0"/>
    <x v="3"/>
    <x v="90"/>
    <m/>
    <x v="61"/>
    <m/>
    <x v="2"/>
    <x v="0"/>
    <s v="Solicitud directa"/>
    <x v="8"/>
    <n v="300000"/>
    <n v="15000"/>
    <n v="6"/>
    <x v="3"/>
    <n v="0"/>
    <n v="0"/>
    <n v="0"/>
    <n v="0"/>
    <n v="0"/>
    <n v="50000"/>
    <n v="50000"/>
    <n v="50000"/>
    <n v="50000"/>
    <n v="50000"/>
    <n v="50000"/>
    <m/>
    <n v="300000"/>
    <n v="300000"/>
    <n v="0"/>
  </r>
  <r>
    <s v="GEOT"/>
    <x v="7"/>
    <x v="0"/>
    <x v="4"/>
    <x v="91"/>
    <m/>
    <x v="62"/>
    <m/>
    <x v="0"/>
    <x v="0"/>
    <m/>
    <x v="4"/>
    <n v="651000"/>
    <n v="0"/>
    <n v="12"/>
    <x v="0"/>
    <m/>
    <m/>
    <m/>
    <m/>
    <m/>
    <m/>
    <m/>
    <m/>
    <m/>
    <m/>
    <m/>
    <m/>
    <n v="0"/>
    <n v="651000"/>
    <n v="651000"/>
  </r>
  <r>
    <s v="GEOT"/>
    <x v="7"/>
    <x v="0"/>
    <x v="4"/>
    <x v="92"/>
    <m/>
    <x v="62"/>
    <m/>
    <x v="3"/>
    <x v="0"/>
    <m/>
    <x v="4"/>
    <n v="200000"/>
    <n v="0"/>
    <n v="12"/>
    <x v="5"/>
    <m/>
    <m/>
    <m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50000"/>
    <n v="200000"/>
    <n v="50000"/>
  </r>
  <r>
    <s v="ING"/>
    <x v="7"/>
    <x v="0"/>
    <x v="4"/>
    <x v="93"/>
    <m/>
    <x v="62"/>
    <m/>
    <x v="3"/>
    <x v="0"/>
    <m/>
    <x v="4"/>
    <n v="300000"/>
    <n v="0"/>
    <n v="12"/>
    <x v="5"/>
    <m/>
    <m/>
    <m/>
    <n v="25000"/>
    <n v="25000"/>
    <n v="25000"/>
    <n v="25000"/>
    <n v="25000"/>
    <n v="25000"/>
    <n v="25000"/>
    <n v="25000"/>
    <n v="25000"/>
    <n v="225000"/>
    <n v="300000"/>
    <n v="75000"/>
  </r>
  <r>
    <s v="ING"/>
    <x v="7"/>
    <x v="0"/>
    <x v="4"/>
    <x v="94"/>
    <m/>
    <x v="63"/>
    <m/>
    <x v="2"/>
    <x v="0"/>
    <m/>
    <x v="2"/>
    <n v="187620"/>
    <n v="56286"/>
    <n v="3"/>
    <x v="3"/>
    <m/>
    <m/>
    <m/>
    <m/>
    <n v="62540"/>
    <n v="62540"/>
    <n v="62540"/>
    <m/>
    <m/>
    <m/>
    <m/>
    <m/>
    <n v="187620"/>
    <n v="187620"/>
    <n v="0"/>
  </r>
  <r>
    <s v="ING"/>
    <x v="7"/>
    <x v="1"/>
    <x v="4"/>
    <x v="95"/>
    <m/>
    <x v="62"/>
    <m/>
    <x v="1"/>
    <x v="1"/>
    <m/>
    <x v="10"/>
    <n v="700000"/>
    <n v="70000"/>
    <n v="4"/>
    <x v="6"/>
    <m/>
    <m/>
    <m/>
    <m/>
    <m/>
    <m/>
    <m/>
    <n v="100000"/>
    <n v="100000"/>
    <n v="100000"/>
    <n v="100000"/>
    <n v="100000"/>
    <n v="500000"/>
    <n v="700000"/>
    <n v="200000"/>
  </r>
  <r>
    <s v="ING"/>
    <x v="7"/>
    <x v="1"/>
    <x v="4"/>
    <x v="96"/>
    <m/>
    <x v="4"/>
    <m/>
    <x v="1"/>
    <x v="1"/>
    <m/>
    <x v="10"/>
    <n v="100000"/>
    <n v="10000"/>
    <n v="4"/>
    <x v="1"/>
    <m/>
    <m/>
    <m/>
    <m/>
    <m/>
    <n v="25000"/>
    <n v="25000"/>
    <n v="25000"/>
    <n v="25000"/>
    <m/>
    <m/>
    <m/>
    <n v="100000"/>
    <n v="100000"/>
    <n v="0"/>
  </r>
  <r>
    <s v="ING"/>
    <x v="7"/>
    <x v="1"/>
    <x v="4"/>
    <x v="97"/>
    <m/>
    <x v="64"/>
    <m/>
    <x v="1"/>
    <x v="1"/>
    <m/>
    <x v="10"/>
    <n v="100000"/>
    <n v="10000"/>
    <n v="4"/>
    <x v="6"/>
    <m/>
    <m/>
    <m/>
    <m/>
    <m/>
    <m/>
    <m/>
    <n v="25000"/>
    <n v="25000"/>
    <n v="25000"/>
    <n v="25000"/>
    <m/>
    <n v="100000"/>
    <n v="100000"/>
    <n v="0"/>
  </r>
  <r>
    <s v="ING"/>
    <x v="7"/>
    <x v="1"/>
    <x v="4"/>
    <x v="98"/>
    <m/>
    <x v="65"/>
    <m/>
    <x v="1"/>
    <x v="1"/>
    <m/>
    <x v="10"/>
    <n v="100000"/>
    <n v="10000"/>
    <n v="4"/>
    <x v="11"/>
    <m/>
    <m/>
    <m/>
    <m/>
    <m/>
    <m/>
    <m/>
    <m/>
    <m/>
    <n v="25000"/>
    <n v="25000"/>
    <n v="25000"/>
    <n v="75000"/>
    <n v="100000"/>
    <n v="25000"/>
  </r>
  <r>
    <s v="ING"/>
    <x v="7"/>
    <x v="1"/>
    <x v="4"/>
    <x v="98"/>
    <m/>
    <x v="66"/>
    <m/>
    <x v="1"/>
    <x v="1"/>
    <m/>
    <x v="10"/>
    <n v="100000"/>
    <n v="10000"/>
    <n v="4"/>
    <x v="8"/>
    <m/>
    <m/>
    <m/>
    <m/>
    <m/>
    <m/>
    <m/>
    <m/>
    <m/>
    <m/>
    <n v="25000"/>
    <n v="25000"/>
    <n v="50000"/>
    <n v="100000"/>
    <n v="5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1"/>
    <s v="ING"/>
    <s v="AS"/>
    <m/>
    <x v="0"/>
    <x v="0"/>
    <s v="Mosaic"/>
    <s v="Cajati"/>
    <s v="Contrato Mosaic CAJ Optimización OP"/>
    <s v="OP"/>
    <n v="78846.600000000006"/>
    <s v="Marco"/>
    <n v="5"/>
    <d v="2024-01-01T00:00:00"/>
    <s v="Si"/>
    <m/>
  </r>
  <r>
    <n v="2"/>
    <s v="ING"/>
    <s v="AS"/>
    <m/>
    <x v="0"/>
    <x v="0"/>
    <s v="J&amp;F"/>
    <s v="Mina Urucum"/>
    <s v="Recuperación de Pilares Mina Urucum"/>
    <s v="UG"/>
    <n v="263238.40000000002"/>
    <s v="Solicitud Directa"/>
    <n v="8"/>
    <d v="2024-05-01T00:00:00"/>
    <s v="Si"/>
    <m/>
  </r>
  <r>
    <n v="3"/>
    <s v="ING"/>
    <s v="RM"/>
    <m/>
    <x v="0"/>
    <x v="1"/>
    <s v="Lundin"/>
    <s v="Candelaria"/>
    <s v="Ingeniería de valor para Robustecer el Proyecto CUGEP"/>
    <s v="UG"/>
    <n v="200000"/>
    <s v="Solicitud Directa"/>
    <n v="3"/>
    <d v="2024-03-01T00:00:00"/>
    <s v="Si"/>
    <m/>
  </r>
  <r>
    <n v="4"/>
    <s v="ING"/>
    <s v="FR"/>
    <m/>
    <x v="0"/>
    <x v="1"/>
    <s v="AMSA"/>
    <s v="Centinela"/>
    <s v="Mejoramiento Plan 2024 y de Performance de Cumplimiento para Minera Centinela"/>
    <m/>
    <n v="225000"/>
    <s v="Solicitud Directa"/>
    <n v="4"/>
    <d v="2024-02-01T00:00:00"/>
    <s v="Si"/>
    <m/>
  </r>
  <r>
    <n v="5"/>
    <s v="ING"/>
    <s v="PV"/>
    <m/>
    <x v="0"/>
    <x v="1"/>
    <s v="BHP"/>
    <s v="MEL"/>
    <s v="ESTUDIO FEL -1 DE OPCIONES DE ACCESO EXPLORATORIO - ESCONDIDA EAST DEEP "/>
    <s v="OP"/>
    <n v="200000"/>
    <s v="Solicitud Directa"/>
    <n v="4"/>
    <d v="2024-04-01T00:00:00"/>
    <s v="Si"/>
    <m/>
  </r>
  <r>
    <n v="6"/>
    <s v="GEOT"/>
    <s v="CH"/>
    <m/>
    <x v="0"/>
    <x v="1"/>
    <s v="CEOM/Hoshschield"/>
    <s v="Inmaculada"/>
    <s v="Asesoría Técnica para la Identificación de Oportunidades de Mejora para Incremento de Producción Mina"/>
    <s v="UG"/>
    <n v="54000"/>
    <s v="Solicitud Directa"/>
    <n v="1"/>
    <d v="2024-02-01T00:00:00"/>
    <s v="Si"/>
    <m/>
  </r>
  <r>
    <n v="7"/>
    <s v="ING"/>
    <s v="OD"/>
    <m/>
    <x v="0"/>
    <x v="2"/>
    <s v="Seligdar"/>
    <s v="Kyuchus"/>
    <s v="Execution of the Pre-Feasibility Study for the Kyuchus Mining Project"/>
    <s v="UG"/>
    <n v="4339980"/>
    <s v="Licitación"/>
    <n v="14"/>
    <d v="2024-05-01T00:00:00"/>
    <s v="No"/>
    <m/>
  </r>
  <r>
    <n v="8"/>
    <s v="GEOT"/>
    <s v="CH"/>
    <m/>
    <x v="0"/>
    <x v="0"/>
    <s v="Mosaic"/>
    <s v="Cajati"/>
    <s v="Actualizacion analisis de Estabilidad OP"/>
    <s v="OP"/>
    <n v="90000"/>
    <s v="Marco"/>
    <n v="3"/>
    <d v="2024-07-01T00:00:00"/>
    <s v="Si"/>
    <m/>
  </r>
  <r>
    <n v="9"/>
    <s v="ING"/>
    <s v="FR"/>
    <m/>
    <x v="0"/>
    <x v="1"/>
    <s v="MCI"/>
    <s v="Los Bronces"/>
    <s v="Los Bronces Mine Plan Review"/>
    <s v="OP"/>
    <n v="239000"/>
    <s v="Solicitud Directa"/>
    <n v="4"/>
    <d v="2024-07-01T00:00:00"/>
    <s v="Si"/>
    <m/>
  </r>
  <r>
    <n v="10"/>
    <s v="ING"/>
    <s v="FR"/>
    <m/>
    <x v="0"/>
    <x v="1"/>
    <s v="CMP"/>
    <s v="Romeral"/>
    <s v="Acompañamiento y ing para puesta en marcha de mina SLS Romeral"/>
    <s v="OP"/>
    <n v="840000"/>
    <s v="Solicitud Directa"/>
    <n v="12"/>
    <d v="2024-07-01T00:00:00"/>
    <s v="Si"/>
    <m/>
  </r>
  <r>
    <n v="11"/>
    <s v="ING"/>
    <s v="MM"/>
    <m/>
    <x v="1"/>
    <x v="1"/>
    <s v="Lundin"/>
    <s v="Candelaria"/>
    <s v="Mejoras operacionales (Simprep y optimización P&amp;T subterranea)"/>
    <s v="UG"/>
    <n v="0"/>
    <s v="Solicitud Directa"/>
    <n v="3"/>
    <d v="2024-08-01T00:00:00"/>
    <s v="Si"/>
    <m/>
  </r>
  <r>
    <n v="12"/>
    <s v="ING"/>
    <s v="RM"/>
    <s v="PA"/>
    <x v="1"/>
    <x v="1"/>
    <s v="Zublin - Strabag"/>
    <s v="Teniente"/>
    <s v="Aplicación Simprep en proyecto diamante"/>
    <s v="UG"/>
    <n v="130000"/>
    <s v="Solicitud Directa"/>
    <n v="4"/>
    <d v="2024-06-01T00:00:00"/>
    <s v="Si"/>
    <m/>
  </r>
  <r>
    <n v="13"/>
    <s v="ING"/>
    <s v="OD"/>
    <m/>
    <x v="1"/>
    <x v="2"/>
    <s v="KMARUDA"/>
    <s v="Planta N°3"/>
    <s v="Elaboración de PFS Y ING de detalle para la planta de procesamiento N°3"/>
    <s v="OP"/>
    <n v="1"/>
    <s v="Solicitud Directa"/>
    <n v="12"/>
    <d v="2024-06-01T00:00:00"/>
    <s v="No"/>
    <s v="Sin Información"/>
  </r>
  <r>
    <n v="14"/>
    <s v="ING"/>
    <s v="AZ"/>
    <m/>
    <x v="0"/>
    <x v="3"/>
    <s v="Glencore"/>
    <s v="Coroccohuayco"/>
    <s v="Estudios Mineros para la PFS"/>
    <s v="OP"/>
    <n v="196600"/>
    <s v="Licitación"/>
    <n v="3"/>
    <d v="2024-03-01T00:00:00"/>
    <s v="Si"/>
    <m/>
  </r>
  <r>
    <n v="15"/>
    <s v="ING"/>
    <s v="PV"/>
    <m/>
    <x v="0"/>
    <x v="4"/>
    <s v="McCarthy Abogados"/>
    <s v="-"/>
    <s v="Servicio de apoyo experto para defensa de Rio Tinto en Litigio en su contra"/>
    <s v="UG"/>
    <n v="612000"/>
    <s v="Solicitud Directa"/>
    <n v="5"/>
    <d v="2024-04-01T00:00:00"/>
    <s v="Si"/>
    <m/>
  </r>
  <r>
    <n v="16"/>
    <s v="ING"/>
    <s v="PV"/>
    <m/>
    <x v="1"/>
    <x v="4"/>
    <s v="Ivanhoe Electric"/>
    <s v="Santa Cruz"/>
    <s v="Estudio PFS"/>
    <s v="UG"/>
    <n v="800000"/>
    <s v="Solicitud Directa"/>
    <n v="12"/>
    <d v="2024-06-01T00:00:00"/>
    <s v="Si"/>
    <s v="Estrategia no Adecuada"/>
  </r>
  <r>
    <n v="17"/>
    <s v="GEOT"/>
    <s v="CH"/>
    <m/>
    <x v="1"/>
    <x v="1"/>
    <s v="Lundin"/>
    <s v="Candelaria"/>
    <s v="Actualización Modelo Geomecánico LOM/Corto Plazo"/>
    <s v="UG"/>
    <n v="250000"/>
    <s v="Solicitud Directa"/>
    <n v="6"/>
    <d v="2024-06-01T00:00:00"/>
    <s v="Si"/>
    <s v="Sin Información"/>
  </r>
  <r>
    <n v="18"/>
    <s v="ING"/>
    <s v="OD"/>
    <m/>
    <x v="1"/>
    <x v="2"/>
    <s v="Evraz"/>
    <s v="-"/>
    <s v="Selección de equipos mineros"/>
    <s v="UG"/>
    <n v="725000"/>
    <s v="Solicitud Directa"/>
    <m/>
    <d v="2024-06-01T00:00:00"/>
    <s v="Si"/>
    <s v="Sin Información"/>
  </r>
  <r>
    <n v="19"/>
    <s v="ING"/>
    <s v="PV"/>
    <m/>
    <x v="1"/>
    <x v="4"/>
    <s v="Ivanhoe Electric"/>
    <s v="Alacran"/>
    <s v="Asistencia de revisiones y supervisión de Ing. De Detalle de la planta del proyecto Alacran de Cordoba Mining"/>
    <s v="UG"/>
    <n v="1650000"/>
    <s v="Solicitud Directa"/>
    <n v="12"/>
    <d v="2024-04-01T00:00:00"/>
    <s v="Si"/>
    <s v="Sin Información"/>
  </r>
  <r>
    <n v="20"/>
    <s v="ING"/>
    <s v="FR"/>
    <s v="FR"/>
    <x v="1"/>
    <x v="1"/>
    <s v="Norte Abierto SpA"/>
    <s v="Cerro Casale"/>
    <s v="Optimización de Pit y Diseño de Fase"/>
    <s v="OP"/>
    <n v="317000"/>
    <s v="Licitación"/>
    <n v="4"/>
    <d v="2024-03-01T00:00:00"/>
    <s v="Si"/>
    <s v="Costos muy altos"/>
  </r>
  <r>
    <n v="21"/>
    <s v="ING"/>
    <s v="RM"/>
    <m/>
    <x v="1"/>
    <x v="1"/>
    <s v="Las Cenizas"/>
    <s v="El Sauce"/>
    <s v="Optimización del desarrollo (Simprep)"/>
    <s v="UG"/>
    <n v="60000"/>
    <s v="Solicitud Directa"/>
    <n v="3"/>
    <d v="2024-04-01T00:00:00"/>
    <s v="Si"/>
    <s v="Costos muy altos"/>
  </r>
  <r>
    <n v="22"/>
    <s v="ING"/>
    <s v="ER"/>
    <s v="PA"/>
    <x v="0"/>
    <x v="1"/>
    <s v="Capstone Copper"/>
    <s v="4 operaciones"/>
    <s v="Methodology for Estimating Mine Plan Reliability (Px) - Phase (1 &amp; 2) (Cozamin, Pinto valley, mantoverde, mantos blancos)"/>
    <s v="OP"/>
    <n v="300000"/>
    <s v="Solicitud Directa"/>
    <n v="4"/>
    <d v="2024-05-01T00:00:00"/>
    <s v="Si"/>
    <m/>
  </r>
  <r>
    <n v="23"/>
    <s v="ING"/>
    <s v="RM"/>
    <m/>
    <x v="1"/>
    <x v="1"/>
    <s v="Anglo American"/>
    <s v="Chagres"/>
    <s v="Estudio de Prefactibilidad de Proyecto de Minería Urbana "/>
    <s v="-"/>
    <n v="145000"/>
    <s v="Solicitud Directa"/>
    <n v="10"/>
    <d v="2024-05-01T00:00:00"/>
    <s v="No"/>
    <s v="Sin Información"/>
  </r>
  <r>
    <n v="24"/>
    <s v="ING"/>
    <s v="FR"/>
    <m/>
    <x v="0"/>
    <x v="1"/>
    <s v="AMSA"/>
    <s v="-"/>
    <s v="Mínimos Estándares de Planificación"/>
    <s v="OP"/>
    <n v="91650"/>
    <s v="Solicitud Directa"/>
    <n v="4"/>
    <d v="2024-03-01T00:00:00"/>
    <s v="Si"/>
    <m/>
  </r>
  <r>
    <n v="25"/>
    <s v="ING"/>
    <s v="MM"/>
    <m/>
    <x v="1"/>
    <x v="1"/>
    <s v="Codelco"/>
    <s v="DCH"/>
    <s v="SERVICIO DE ESTUDIO EVALUACION CRECIMIENTO MB NORTE 4 CHUQUICAMATA SUBTERRÁNEA "/>
    <s v="UG"/>
    <n v="78000"/>
    <s v="Licitación"/>
    <n v="3"/>
    <d v="2024-06-01T00:00:00"/>
    <s v="Si"/>
    <m/>
  </r>
  <r>
    <n v="26"/>
    <s v="ING"/>
    <s v="ER"/>
    <s v="PA"/>
    <x v="1"/>
    <x v="1"/>
    <s v="Matrix"/>
    <s v="-"/>
    <s v="Revisión de PFS y operaciones (4)"/>
    <s v="OP"/>
    <n v="1100000"/>
    <s v="Solicitud Directa"/>
    <n v="4"/>
    <d v="2024-03-01T00:00:00"/>
    <s v="Si"/>
    <s v="Alcance ineficiente"/>
  </r>
  <r>
    <n v="27"/>
    <s v="ING"/>
    <s v="ER"/>
    <s v="PA"/>
    <x v="0"/>
    <x v="1"/>
    <s v="Santander"/>
    <s v="Yauricocha / Bolivar"/>
    <s v="Revisión en terreno de dos operacones para evaluar fatal flaws."/>
    <s v="UG"/>
    <n v="88166"/>
    <s v="Solicitud Directa"/>
    <n v="1"/>
    <d v="2024-05-01T00:00:00"/>
    <s v="Si"/>
    <m/>
  </r>
  <r>
    <n v="28"/>
    <s v="ING"/>
    <s v="OD"/>
    <m/>
    <x v="1"/>
    <x v="2"/>
    <s v="Polyus"/>
    <s v="-"/>
    <s v="Sistema de ore-control para la planificación de corto plazo"/>
    <s v="UG"/>
    <n v="202300"/>
    <s v="Solicitud Directa"/>
    <n v="6"/>
    <d v="2024-06-01T00:00:00"/>
    <s v="No"/>
    <s v="Sin Información"/>
  </r>
  <r>
    <n v="29"/>
    <s v="ING"/>
    <s v="OD"/>
    <m/>
    <x v="1"/>
    <x v="2"/>
    <s v="EMCO"/>
    <s v="Solnechny"/>
    <s v="Optimization of Current Operation and Long-Term Strategy and Trade Off analysis of Transportation System."/>
    <s v="UG"/>
    <n v="600000"/>
    <s v="Licitación"/>
    <n v="10"/>
    <d v="2024-06-01T00:00:00"/>
    <s v="Si"/>
    <s v="Sin Información"/>
  </r>
  <r>
    <n v="30"/>
    <s v="ING"/>
    <s v="OD"/>
    <m/>
    <x v="1"/>
    <x v="2"/>
    <s v="Alrosa"/>
    <s v="-"/>
    <s v="Propuesta Tecnologica para MIR"/>
    <s v="UG"/>
    <n v="324700"/>
    <s v="Solicitud Directa"/>
    <n v="6"/>
    <d v="2024-06-01T00:00:00"/>
    <s v="No"/>
    <s v="Sin Información"/>
  </r>
  <r>
    <n v="31"/>
    <s v="ING"/>
    <s v="PV"/>
    <m/>
    <x v="1"/>
    <x v="4"/>
    <s v="Rockhaven"/>
    <s v="-"/>
    <s v="Mining Trade Off Study"/>
    <s v="UG"/>
    <n v="173900"/>
    <s v="Solicitud Directa"/>
    <n v="3"/>
    <d v="2024-08-01T00:00:00"/>
    <s v="Si"/>
    <m/>
  </r>
  <r>
    <n v="32"/>
    <s v="ING"/>
    <s v="MF"/>
    <m/>
    <x v="1"/>
    <x v="3"/>
    <s v="Minsur"/>
    <s v="San Rafael"/>
    <s v="Definición de KPIs de gestion para Minsur y continuidad proceso SGOP de San Rafael"/>
    <s v="UG"/>
    <n v="492580"/>
    <s v="Solicitud Directa"/>
    <n v="11"/>
    <d v="2024-03-01T00:00:00"/>
    <s v="Si"/>
    <s v="Costos muy altos"/>
  </r>
  <r>
    <n v="33"/>
    <s v="ING"/>
    <s v="MF"/>
    <m/>
    <x v="1"/>
    <x v="1"/>
    <s v="Las Cenizas"/>
    <s v="Mina Sauce"/>
    <s v="Estrategia de Relleno en Pasta para_x000a_Maximizar la Recuperación Minera_x000a_en Mina Sauce"/>
    <s v="UG"/>
    <n v="162000"/>
    <s v="Solicitud Directa"/>
    <n v="4"/>
    <d v="2024-03-01T00:00:00"/>
    <s v="Si"/>
    <s v="Costos muy altos"/>
  </r>
  <r>
    <n v="34"/>
    <s v="ING"/>
    <s v="AZ"/>
    <m/>
    <x v="1"/>
    <x v="3"/>
    <s v="Glencore"/>
    <s v="Pachon"/>
    <s v="Estudio de diseños de alternativas de chancado"/>
    <s v="OP"/>
    <n v="236000"/>
    <s v="Licitación"/>
    <n v="4"/>
    <d v="2024-04-01T00:00:00"/>
    <s v="Si"/>
    <s v="Estrategia no Adecuada"/>
  </r>
  <r>
    <n v="35"/>
    <s v="ING"/>
    <s v="OD"/>
    <m/>
    <x v="1"/>
    <x v="2"/>
    <s v="Alrosa"/>
    <s v="Yubileynaya"/>
    <s v="Assestment geomecanico para los parametros del Block Caving"/>
    <s v="UG"/>
    <n v="395205"/>
    <s v="Solicitud Directa"/>
    <n v="7"/>
    <d v="2024-06-01T00:00:00"/>
    <s v="Si"/>
    <s v="Costos muy altos"/>
  </r>
  <r>
    <n v="36"/>
    <s v="GEOT"/>
    <s v="OD"/>
    <m/>
    <x v="1"/>
    <x v="2"/>
    <s v="Eurochem"/>
    <s v="Zhelezniy"/>
    <s v="Determinar la estabilidad de los taludes del Rajo y de los emplazamientos y bancos locales del Rajo abierto de Zhelezniy"/>
    <s v="OP"/>
    <n v="375000"/>
    <s v="Solicitud Directa"/>
    <n v="7"/>
    <d v="2024-06-01T00:00:00"/>
    <s v="Si"/>
    <s v="Costos muy altos"/>
  </r>
  <r>
    <n v="37"/>
    <s v="ING"/>
    <s v="AZ"/>
    <m/>
    <x v="0"/>
    <x v="3"/>
    <s v="Coripuno"/>
    <s v="Torremani"/>
    <s v="ALTERNATIVAS DEL METODO DE MINADO EN EL PROYECTO MINERO TORREMANI"/>
    <s v="UG"/>
    <n v="105000"/>
    <s v="Licitación"/>
    <n v="3"/>
    <d v="2024-05-01T00:00:00"/>
    <s v="Si"/>
    <m/>
  </r>
  <r>
    <n v="38"/>
    <s v="ING"/>
    <s v="AZ"/>
    <m/>
    <x v="1"/>
    <x v="3"/>
    <s v="Minera Chinalco Perú S.A"/>
    <s v="Chinalco"/>
    <s v="Estimación de Reservas Minerales y Plan de Vida de Mina"/>
    <s v="OP"/>
    <n v="200000"/>
    <s v="Licitación"/>
    <n v="4"/>
    <d v="2024-09-01T00:00:00"/>
    <s v="Si"/>
    <s v="Anulación de licitación"/>
  </r>
  <r>
    <n v="39"/>
    <s v="ING"/>
    <s v="AS"/>
    <m/>
    <x v="1"/>
    <x v="0"/>
    <s v="Equinox"/>
    <s v="Santa Cruz"/>
    <s v="DIAGNÓSTICO INTEGRADO DE LA MINA SANTA LUZ (MINA-PLANTA-FUNDICIÓN)"/>
    <s v="UG"/>
    <n v="101000"/>
    <s v="Solicitud Directa"/>
    <n v="2"/>
    <d v="2024-03-01T00:00:00"/>
    <s v="Si"/>
    <s v="Costos muy altos"/>
  </r>
  <r>
    <n v="40"/>
    <s v="ING"/>
    <s v="MM"/>
    <m/>
    <x v="1"/>
    <x v="1"/>
    <s v="Codelco"/>
    <s v="DMH"/>
    <s v="INGENIERÍA PARA ESTUDIO DE PREFACTIBILIDAD_x000a_- ETAPA FEL2A Y FEL2B - RAMPA DE EXPLORACIÓN DMH SUBTERRÁNEO"/>
    <s v="UG"/>
    <n v="200000"/>
    <s v="Marco"/>
    <n v="3"/>
    <d v="2024-02-01T00:00:00"/>
    <s v="Si"/>
    <s v="Costos muy altos"/>
  </r>
  <r>
    <n v="41"/>
    <s v="ING"/>
    <s v="RM"/>
    <m/>
    <x v="1"/>
    <x v="1"/>
    <s v="Lundin"/>
    <s v="Candelaria"/>
    <s v="Mejoras Operacionales Mina Candelaria"/>
    <s v="UG"/>
    <n v="520000"/>
    <s v="Solicitud Directa"/>
    <n v="6"/>
    <d v="2024-02-01T00:00:00"/>
    <s v="Si"/>
    <s v="Selección empresa local"/>
  </r>
  <r>
    <n v="42"/>
    <s v="ING"/>
    <s v="AZ"/>
    <m/>
    <x v="1"/>
    <x v="3"/>
    <s v="Antamina"/>
    <s v="Antamina"/>
    <s v="Servicio de Ingeniería de Integración del Proyecto Túnel Exploratorio"/>
    <s v="OP"/>
    <n v="285000"/>
    <s v="Licitación"/>
    <n v="12"/>
    <d v="2024-02-01T00:00:00"/>
    <s v="Si"/>
    <s v="Costos muy altos"/>
  </r>
  <r>
    <n v="43"/>
    <s v="GEOT"/>
    <s v="CH"/>
    <m/>
    <x v="1"/>
    <x v="3"/>
    <s v="Calibre Mining "/>
    <s v="Limon"/>
    <s v="Revisión del análisis de estabilidad de taludes pit limón fase 4 "/>
    <s v="OP"/>
    <n v="102545"/>
    <s v="Licitación"/>
    <n v="5"/>
    <d v="2024-02-01T00:00:00"/>
    <s v="Si"/>
    <s v="Costos muy altos"/>
  </r>
  <r>
    <n v="44"/>
    <s v="GEOT"/>
    <s v="CH"/>
    <m/>
    <x v="1"/>
    <x v="3"/>
    <s v="Calibre Mining "/>
    <s v="Limon"/>
    <s v="Servicio de Diseño e Ingeniería del Portal "/>
    <s v="OP"/>
    <n v="149657"/>
    <s v="Licitación"/>
    <n v="4"/>
    <d v="2024-02-01T00:00:00"/>
    <s v="Si"/>
    <s v="Costos muy altos"/>
  </r>
  <r>
    <n v="45"/>
    <s v="GEOT"/>
    <s v="CH"/>
    <m/>
    <x v="1"/>
    <x v="3"/>
    <s v="Calibre Mining "/>
    <s v="Limon"/>
    <s v="Servicio de Analisis de Estabilidad de los DME del tajo abierto El Limón"/>
    <s v="OP"/>
    <n v="90120"/>
    <s v="Licitación"/>
    <n v="5"/>
    <d v="2024-03-01T00:00:00"/>
    <s v="Si"/>
    <s v="Costos muy altos"/>
  </r>
  <r>
    <n v="46"/>
    <s v="GEOT"/>
    <s v="OD"/>
    <m/>
    <x v="1"/>
    <x v="2"/>
    <s v="ERG"/>
    <s v="-"/>
    <s v="Geotechnical slope validtion"/>
    <s v="UG"/>
    <n v="150000"/>
    <s v="Licitación"/>
    <n v="3"/>
    <d v="2024-03-01T00:00:00"/>
    <s v="Si"/>
    <s v="Costos muy altos"/>
  </r>
  <r>
    <n v="47"/>
    <s v="GEOT"/>
    <s v="PV"/>
    <m/>
    <x v="1"/>
    <x v="4"/>
    <s v="Ivanhoe Electric"/>
    <s v="Santa Cruz"/>
    <s v="IE RFP 005 - Geotechnical Studies"/>
    <s v="UG"/>
    <n v="651000"/>
    <s v="Licitación"/>
    <n v="12"/>
    <d v="2024-01-01T00:00:00"/>
    <s v="Si"/>
    <s v="Costos muy altos"/>
  </r>
  <r>
    <n v="48"/>
    <s v="GEOT"/>
    <s v="PV"/>
    <m/>
    <x v="1"/>
    <x v="4"/>
    <s v="Ivanhoe Electric"/>
    <s v="Santa Cruz"/>
    <s v="IE RFP 005 - Geotechnical Studies - 3rd Party Review"/>
    <s v="UG"/>
    <n v="200000"/>
    <s v="Licitación"/>
    <n v="12"/>
    <d v="2024-02-01T00:00:00"/>
    <s v="Si"/>
    <s v="Costos muy altos"/>
  </r>
  <r>
    <n v="49"/>
    <s v="ING"/>
    <s v="PV"/>
    <m/>
    <x v="1"/>
    <x v="4"/>
    <s v="Ivanhoe Electric"/>
    <s v="Santa Cruz"/>
    <s v="IE RFP 006 - Mineral Resources Estimate - Reviewer"/>
    <s v="UG"/>
    <n v="300000"/>
    <s v="Licitación"/>
    <n v="12"/>
    <d v="2024-02-01T00:00:00"/>
    <s v="Si"/>
    <s v="Costos muy altos"/>
  </r>
  <r>
    <n v="50"/>
    <s v="GEOT"/>
    <s v="OD"/>
    <m/>
    <x v="1"/>
    <x v="2"/>
    <s v="Polyus"/>
    <s v="Sukhoy Log"/>
    <s v="3D Numerical Analysis of Trial open pit stability"/>
    <s v="OP"/>
    <n v="198000"/>
    <s v="Solicitud Directa"/>
    <n v="3"/>
    <d v="2024-06-01T00:00:00"/>
    <s v="Si"/>
    <s v="Costos muy altos"/>
  </r>
  <r>
    <n v="51"/>
    <s v="ING"/>
    <s v="MF"/>
    <s v="PA"/>
    <x v="0"/>
    <x v="3"/>
    <s v="Minsur"/>
    <s v="San Rafael"/>
    <s v="Soporte para la elaboración del FQ1, FQ3 y Budget 25"/>
    <s v="UG"/>
    <n v="119000"/>
    <s v="Solicitud Directa"/>
    <n v="3"/>
    <d v="2024-03-01T00:00:00"/>
    <s v="Si"/>
    <m/>
  </r>
  <r>
    <n v="52"/>
    <s v="ING"/>
    <s v="MF"/>
    <s v="PA"/>
    <x v="0"/>
    <x v="3"/>
    <s v="Minsur"/>
    <s v="San Rafael"/>
    <s v="Apoyo a la planificación:  Integración de Información Planeamiento-Geomecánica //  Estudio Conceptual de Justificación Rampa de Acceso Sector San German"/>
    <s v="UG"/>
    <n v="74000"/>
    <s v="Solicitud Directa"/>
    <n v="3"/>
    <d v="2024-04-01T00:00:00"/>
    <s v="Si"/>
    <m/>
  </r>
  <r>
    <n v="53"/>
    <s v="ING"/>
    <s v="OD"/>
    <m/>
    <x v="0"/>
    <x v="2"/>
    <s v="EUROCHEM"/>
    <s v="Himmelfarb"/>
    <s v="auditoría para un &quot; Scoping Study&quot; para reducir Opex y Capex"/>
    <s v="UG"/>
    <n v="155000"/>
    <s v="Solicitud Directa"/>
    <n v="2"/>
    <d v="2024-04-01T00:00:00"/>
    <s v="Si"/>
    <m/>
  </r>
  <r>
    <n v="54"/>
    <s v="ING"/>
    <s v="RM"/>
    <m/>
    <x v="1"/>
    <x v="1"/>
    <s v="Mineria Activa"/>
    <s v="Pampa Camarones"/>
    <s v="Análisis 360 de la operación"/>
    <s v="UG"/>
    <n v="40000"/>
    <s v="Solicitud Directa"/>
    <n v="3"/>
    <d v="2024-06-01T00:00:00"/>
    <s v="Si"/>
    <s v="Costos muy altos"/>
  </r>
  <r>
    <n v="55"/>
    <s v="ING"/>
    <s v="FR"/>
    <s v="FR"/>
    <x v="0"/>
    <x v="1"/>
    <s v="BHP"/>
    <s v="Spence"/>
    <s v="Analisis de confiabilidad de planes mineros"/>
    <s v="OP"/>
    <n v="35600"/>
    <s v="Solicitud Directa"/>
    <n v="1"/>
    <d v="2024-03-01T00:00:00"/>
    <s v="Si"/>
    <m/>
  </r>
  <r>
    <n v="56"/>
    <s v="ING"/>
    <s v="CH"/>
    <s v="CH"/>
    <x v="0"/>
    <x v="1"/>
    <s v="CEOM/Hoshschield"/>
    <s v="Inmaculada"/>
    <s v="Fase 2: mejoras de Corto Plazo"/>
    <s v="UG"/>
    <n v="30000"/>
    <s v="Solicitud Directa"/>
    <n v="3"/>
    <d v="2024-06-01T00:00:00"/>
    <s v="Si"/>
    <m/>
  </r>
  <r>
    <n v="57"/>
    <s v="ING"/>
    <s v="CH"/>
    <s v="PA"/>
    <x v="1"/>
    <x v="3"/>
    <s v="Volcan"/>
    <s v="Romina"/>
    <s v="ING Detalle Sistema Ventilación"/>
    <s v="UG"/>
    <n v="200000"/>
    <s v="Licitación"/>
    <n v="2"/>
    <d v="2024-06-01T00:00:00"/>
    <s v="No"/>
    <s v="Selección empresa local"/>
  </r>
  <r>
    <n v="58"/>
    <s v="ING"/>
    <s v="CH"/>
    <s v="PA"/>
    <x v="1"/>
    <x v="3"/>
    <s v="Volcan"/>
    <s v="Romina"/>
    <s v="ING Detalle Sistema Bombeo"/>
    <s v="UG"/>
    <n v="100000"/>
    <s v="Licitación"/>
    <n v="3"/>
    <d v="2024-04-01T00:00:00"/>
    <s v="No"/>
    <s v="Selección empresa local"/>
  </r>
  <r>
    <n v="59"/>
    <s v="ING"/>
    <s v="OD"/>
    <s v="RM"/>
    <x v="1"/>
    <x v="2"/>
    <s v="ERG"/>
    <s v="-"/>
    <s v="Desarrollo plan LOM y plan de cierre"/>
    <s v="OP"/>
    <n v="1000000"/>
    <s v="Licitación"/>
    <n v="12"/>
    <d v="2024-09-01T00:00:00"/>
    <s v="Si"/>
    <s v="Anulación de licitación"/>
  </r>
  <r>
    <n v="60"/>
    <s v="ING"/>
    <s v="FR"/>
    <s v="FR"/>
    <x v="1"/>
    <x v="1"/>
    <s v="BCG"/>
    <s v="-"/>
    <s v="Apoyo consultivo  procesos de planificación minera"/>
    <s v="OP"/>
    <n v="12500"/>
    <s v="Solicitud Directa"/>
    <n v="1"/>
    <d v="2024-05-01T00:00:00"/>
    <s v="Si"/>
    <s v="Sin Información"/>
  </r>
  <r>
    <n v="61"/>
    <s v="GEOT"/>
    <s v="CH"/>
    <s v="PA"/>
    <x v="1"/>
    <x v="3"/>
    <s v="Hoshschield"/>
    <s v="Inmaculada"/>
    <s v="Revisión Geotecnica de Juicio experto"/>
    <s v="UG"/>
    <n v="40053"/>
    <s v="Solicitud Directa"/>
    <n v="2"/>
    <d v="2024-05-01T00:00:00"/>
    <s v="No"/>
    <s v="Selección empresa local"/>
  </r>
  <r>
    <n v="62"/>
    <s v="GEOT"/>
    <s v="CH"/>
    <s v="CH"/>
    <x v="1"/>
    <x v="3"/>
    <s v="Hoshschield"/>
    <s v="Inmaculada"/>
    <s v="Servicio de logeo geomecanico"/>
    <s v="UG"/>
    <n v="85000"/>
    <s v="Solicitud Directa"/>
    <n v="6"/>
    <d v="2024-05-01T00:00:00"/>
    <s v="No"/>
    <s v="Selección empresa local"/>
  </r>
  <r>
    <n v="63"/>
    <s v="ING"/>
    <s v="MF"/>
    <s v="PA"/>
    <x v="0"/>
    <x v="3"/>
    <s v="Minsur"/>
    <s v="Raura"/>
    <s v="Apoyo MEIA Raura"/>
    <s v="UG"/>
    <n v="8000"/>
    <s v="Solicitud Directa"/>
    <n v="1"/>
    <d v="2024-04-01T00:00:00"/>
    <s v="Si"/>
    <m/>
  </r>
  <r>
    <n v="64"/>
    <s v="ING"/>
    <s v="ER"/>
    <s v="PA"/>
    <x v="0"/>
    <x v="1"/>
    <s v="Glencore"/>
    <s v="Lomas Bayas"/>
    <s v="Actualización y capacitación de los modelos MineHaul y MinePlan"/>
    <s v="OP"/>
    <n v="12000"/>
    <s v="Solicitud Directa"/>
    <n v="2"/>
    <d v="2024-05-01T00:00:00"/>
    <s v="Si"/>
    <m/>
  </r>
  <r>
    <n v="65"/>
    <s v="ING"/>
    <s v="PV"/>
    <s v="PA"/>
    <x v="1"/>
    <x v="4"/>
    <s v="EMX Royalty"/>
    <s v="Bunker Hill"/>
    <s v="Technical Review and Independent Value Assessment (Value@Risk) of Bunker Hill Operation "/>
    <s v="UG"/>
    <n v="97000"/>
    <s v="Solicitud Directa"/>
    <n v="1"/>
    <d v="2024-06-01T00:00:00"/>
    <s v="Si"/>
    <s v="Anulación de licitación"/>
  </r>
  <r>
    <n v="66"/>
    <s v="ING"/>
    <s v="AS"/>
    <s v="PA"/>
    <x v="0"/>
    <x v="0"/>
    <s v="Mosaic"/>
    <s v="Taquari Vassouras "/>
    <s v="Taquari Vassouras - Fase II - Planificación corto plazo (+Cpacitación Deswik&amp;Ventsim)"/>
    <s v="UG"/>
    <n v="67000"/>
    <s v="Marco"/>
    <n v="1"/>
    <d v="2024-03-01T00:00:00"/>
    <s v="Si"/>
    <m/>
  </r>
  <r>
    <n v="67"/>
    <s v="ING"/>
    <s v="ER"/>
    <s v="PA"/>
    <x v="1"/>
    <x v="4"/>
    <s v="Anglo Gold Ashanti"/>
    <s v="Merlin"/>
    <s v="Technical Expert Support_x000a_Merlin Conceptual Study"/>
    <s v="UG"/>
    <n v="370000"/>
    <s v="Solicitud Directa"/>
    <n v="4"/>
    <d v="2024-05-01T00:00:00"/>
    <s v="Si"/>
    <s v="Selección empresa local"/>
  </r>
  <r>
    <n v="68"/>
    <s v="ING"/>
    <s v="ER"/>
    <s v="MF"/>
    <x v="1"/>
    <x v="3"/>
    <s v="Minsur"/>
    <s v="Raura"/>
    <s v="Apoyo y mejoramiento de planeamiento de corto plazo"/>
    <s v="UG"/>
    <n v="197000"/>
    <s v="Solicitud Directa"/>
    <n v="4"/>
    <d v="2024-06-01T00:00:00"/>
    <s v="Si"/>
    <m/>
  </r>
  <r>
    <n v="69"/>
    <s v="ING"/>
    <s v="FR"/>
    <s v="PA"/>
    <x v="0"/>
    <x v="1"/>
    <s v="CMP"/>
    <s v="Tofo Norte"/>
    <s v="Revisión de estrategia Tofo Norte, modularizado"/>
    <s v="UG"/>
    <n v="50000"/>
    <s v="Solicitud Directa"/>
    <n v="1"/>
    <d v="2024-06-01T00:00:00"/>
    <s v="Si"/>
    <m/>
  </r>
  <r>
    <n v="70"/>
    <s v="ING"/>
    <s v="PV"/>
    <m/>
    <x v="0"/>
    <x v="4"/>
    <s v="EMX Royalty"/>
    <s v="Quilla Project"/>
    <s v="Metallurgical expert to perform a desktop review"/>
    <s v="UG"/>
    <n v="15000"/>
    <s v="Solicitud Directa"/>
    <n v="1"/>
    <d v="2024-04-01T00:00:00"/>
    <s v="Si"/>
    <m/>
  </r>
  <r>
    <n v="71"/>
    <s v="ING"/>
    <s v="FR"/>
    <s v="PA"/>
    <x v="0"/>
    <x v="1"/>
    <s v="CMP"/>
    <s v="Los Colorados"/>
    <s v="“Plan Minero Base Escenario Brownfield MLC"/>
    <s v="OP"/>
    <n v="43000"/>
    <s v="Solicitud Directa"/>
    <n v="1"/>
    <d v="2024-05-01T00:00:00"/>
    <s v="Si"/>
    <m/>
  </r>
  <r>
    <n v="72"/>
    <s v="GEOT"/>
    <s v="CH"/>
    <m/>
    <x v="0"/>
    <x v="3"/>
    <s v="Minsur"/>
    <s v="San Rafael"/>
    <s v=" Geomechanical Analyses of Mine Plan-Mejoramiento de Datos Geotécnicos _x000a_de Entrada y Refinamiento _x000a_Geométrico de Sólidos 3D"/>
    <s v="UG"/>
    <n v="27000"/>
    <s v="Solicitud Directa"/>
    <n v="1"/>
    <d v="2024-05-01T00:00:00"/>
    <s v="Si"/>
    <m/>
  </r>
  <r>
    <n v="73"/>
    <s v="ING"/>
    <s v="AZ"/>
    <s v="PA"/>
    <x v="1"/>
    <x v="3"/>
    <s v="Hudbay Perú S.A.C"/>
    <s v="Constancia"/>
    <s v="Análisis de Cumplimiento del Plan y Evaluación de Rutas de Alternativas"/>
    <s v="OP"/>
    <n v="38000"/>
    <s v="Solicitud Directa"/>
    <n v="2"/>
    <d v="2024-08-01T00:00:00"/>
    <s v="Si"/>
    <m/>
  </r>
  <r>
    <n v="74"/>
    <s v="ING"/>
    <s v="PV"/>
    <m/>
    <x v="0"/>
    <x v="4"/>
    <s v="Ivanhoe Electric"/>
    <s v="Santa Cruz"/>
    <s v="Mine planning support for PFS"/>
    <s v="UG"/>
    <n v="196000"/>
    <s v="Solicitud Directa"/>
    <n v="3"/>
    <d v="2024-06-01T00:00:00"/>
    <s v="Si"/>
    <m/>
  </r>
  <r>
    <n v="75"/>
    <s v="ING"/>
    <s v="AZ"/>
    <s v="PA"/>
    <x v="0"/>
    <x v="3"/>
    <s v="Sierra Metals"/>
    <s v="Yauricocha"/>
    <s v="Actualizar los diseños de labores y envolvente del Nivel 1320 al Nivel 1620"/>
    <s v="UG"/>
    <n v="83000"/>
    <s v="Solicitud Directa"/>
    <n v="2"/>
    <d v="2024-06-01T00:00:00"/>
    <s v="Si"/>
    <m/>
  </r>
  <r>
    <n v="76"/>
    <s v="ING"/>
    <s v="FR"/>
    <s v="PA"/>
    <x v="0"/>
    <x v="1"/>
    <s v="CMP"/>
    <s v="CNN, MLC"/>
    <s v="Apoyo LOM 2024 Faenas MLC y CNN"/>
    <s v="OP"/>
    <n v="95000"/>
    <s v="Solicitud Directa"/>
    <n v="2"/>
    <d v="2024-05-01T00:00:00"/>
    <s v="Si"/>
    <m/>
  </r>
  <r>
    <n v="77"/>
    <s v="ING"/>
    <s v="PV"/>
    <m/>
    <x v="0"/>
    <x v="4"/>
    <s v="EMX Royalty"/>
    <s v="Chapi"/>
    <s v="Due Diligence de Chapi (Quilla Resources)"/>
    <s v="OP"/>
    <n v="98000"/>
    <s v="Solicitud Directa"/>
    <n v="2"/>
    <d v="2024-06-01T00:00:00"/>
    <s v="Si"/>
    <m/>
  </r>
  <r>
    <n v="78"/>
    <s v="ING"/>
    <s v="PV"/>
    <m/>
    <x v="1"/>
    <x v="4"/>
    <s v="EMX Royalty"/>
    <s v="Anaconda Mining"/>
    <s v="Due Diligence de Goldboro Gold Project (Anaconda Mining)"/>
    <s v="UG"/>
    <n v="70000"/>
    <s v="Solicitud Directa"/>
    <n v="2"/>
    <d v="2024-06-01T00:00:00"/>
    <s v="Si"/>
    <s v="Anulación de licitación"/>
  </r>
  <r>
    <n v="79"/>
    <s v="ING"/>
    <s v="OD"/>
    <s v="RM"/>
    <x v="1"/>
    <x v="2"/>
    <s v="EVRAZ"/>
    <m/>
    <s v="Propuesta sistema de simulación"/>
    <s v="UG"/>
    <n v="1500000"/>
    <s v="Licitación"/>
    <n v="14"/>
    <d v="2024-08-01T00:00:00"/>
    <s v="No"/>
    <m/>
  </r>
  <r>
    <n v="80"/>
    <s v="ING"/>
    <s v="MF"/>
    <s v="PA"/>
    <x v="0"/>
    <x v="3"/>
    <s v="Minsur"/>
    <s v="San Rafael"/>
    <s v="Proceso de actualización del LoM"/>
    <s v="UG"/>
    <n v="90000"/>
    <s v="Solicitud Directa"/>
    <n v="2"/>
    <d v="2024-06-01T00:00:00"/>
    <s v="Si"/>
    <m/>
  </r>
  <r>
    <n v="81"/>
    <s v="ING"/>
    <s v="MF"/>
    <s v="PA"/>
    <x v="0"/>
    <x v="3"/>
    <s v="Minsur"/>
    <s v="San Rafael"/>
    <s v="Evaluación de recursos marginales"/>
    <s v="UG"/>
    <n v="70000"/>
    <s v="Solicitud Directa"/>
    <n v="2"/>
    <d v="2024-08-01T00:00:00"/>
    <s v="Si"/>
    <m/>
  </r>
  <r>
    <n v="82"/>
    <s v="ING"/>
    <m/>
    <s v="PA"/>
    <x v="1"/>
    <x v="1"/>
    <s v="Minera Tres valles"/>
    <m/>
    <s v="Modelo de flujo gravitacional"/>
    <s v="UG"/>
    <n v="81000"/>
    <s v="Solicitud Directa"/>
    <n v="2"/>
    <d v="2024-07-01T00:00:00"/>
    <s v="Si"/>
    <m/>
  </r>
  <r>
    <n v="83"/>
    <s v="ING"/>
    <s v="AS"/>
    <s v="PA"/>
    <x v="0"/>
    <x v="0"/>
    <s v="Mosaic"/>
    <s v="Cajati"/>
    <s v="Metodologia para evaluar cumplimiento del plan con KPIs reales"/>
    <s v="UG"/>
    <n v="60000"/>
    <s v="Solicitud Directa"/>
    <n v="2"/>
    <d v="2024-09-01T00:00:00"/>
    <s v="Si"/>
    <m/>
  </r>
  <r>
    <n v="84"/>
    <s v="ING"/>
    <s v="AS"/>
    <s v="PA"/>
    <x v="0"/>
    <x v="0"/>
    <s v="J&amp;F"/>
    <m/>
    <s v="Due Diligence study for greenfield project in Brazil (Autazes Potash Project)"/>
    <s v="UG"/>
    <n v="70000"/>
    <s v="Solicitud Directa"/>
    <n v="1"/>
    <d v="2024-06-01T00:00:00"/>
    <s v="Si"/>
    <m/>
  </r>
  <r>
    <n v="85"/>
    <s v="ING"/>
    <m/>
    <s v="PA"/>
    <x v="0"/>
    <x v="1"/>
    <s v="BHP"/>
    <s v="Escondida"/>
    <s v="Modelo predictivo para Definir ubicación óptima de pozos de drenaje"/>
    <s v="UG"/>
    <n v="190000"/>
    <s v="Solicitud Directa"/>
    <n v="2"/>
    <d v="2024-08-01T00:00:00"/>
    <s v="No"/>
    <m/>
  </r>
  <r>
    <n v="86"/>
    <s v="ING"/>
    <s v="MM"/>
    <s v="PV"/>
    <x v="1"/>
    <x v="1"/>
    <s v="Codelco"/>
    <s v="DRT"/>
    <s v="Análisis y cuantificación de cobre en riesgo por expansión del OP"/>
    <s v="OP"/>
    <n v="100000"/>
    <s v="Solicitud Directa"/>
    <n v="2"/>
    <d v="2024-08-01T00:00:00"/>
    <s v="Si"/>
    <m/>
  </r>
  <r>
    <n v="87"/>
    <s v="ING"/>
    <s v="MM"/>
    <s v="PA"/>
    <x v="1"/>
    <x v="3"/>
    <s v="Minsur"/>
    <s v="-"/>
    <s v="Estandarización, control y seguimiento de KPIs/resultados de corto/mediano plazo para Minsur "/>
    <s v="UG"/>
    <n v="125000"/>
    <s v="Solicitud Directa"/>
    <n v="4"/>
    <d v="2024-08-01T00:00:00"/>
    <s v="Si"/>
    <m/>
  </r>
  <r>
    <n v="88"/>
    <s v="ING"/>
    <s v="AZ"/>
    <s v="PA"/>
    <x v="1"/>
    <x v="3"/>
    <s v="Buenaventura"/>
    <s v="El Brocal"/>
    <s v="Estudio de ingeniería de factibilidad para la Ampliación del Tajo Norte"/>
    <s v="OP"/>
    <n v="80000"/>
    <s v="Licitación"/>
    <n v="3"/>
    <d v="2024-08-01T00:00:00"/>
    <s v="Si"/>
    <s v="Costos muy altos"/>
  </r>
  <r>
    <n v="89"/>
    <s v="ING"/>
    <s v="AZ"/>
    <s v="PA"/>
    <x v="0"/>
    <x v="3"/>
    <s v="Minsur"/>
    <s v="Mina Justa"/>
    <s v="Estudio técnico – económico para fase de perfil proyecto achupallas"/>
    <s v="OP"/>
    <n v="133000"/>
    <s v="Licitación"/>
    <n v="2"/>
    <d v="2024-08-01T00:00:00"/>
    <s v="Si"/>
    <m/>
  </r>
  <r>
    <n v="90"/>
    <s v="ING"/>
    <s v="FR"/>
    <s v="PA"/>
    <x v="1"/>
    <x v="1"/>
    <s v="Codelco"/>
    <s v="DRT"/>
    <s v="REVISIÓN INDEPENDIENTE MODELO DE RECURSOS DRT"/>
    <s v="OP"/>
    <n v="45000"/>
    <s v="Licitación"/>
    <n v="2"/>
    <d v="2024-08-01T00:00:00"/>
    <s v="No"/>
    <s v="Anulación de licitación"/>
  </r>
  <r>
    <n v="91"/>
    <s v="ING"/>
    <s v="MM"/>
    <s v="PA"/>
    <x v="0"/>
    <x v="1"/>
    <s v="Codelco"/>
    <s v="DMH"/>
    <s v="Estudio Análisis Opciones de Vaciado Mineral Subterránea Vía Rajo Horizonte Corto-Mediano Plazo"/>
    <s v="OP"/>
    <n v="85000"/>
    <s v="Licitación"/>
    <n v="3"/>
    <d v="2024-08-01T00:00:00"/>
    <s v="Si"/>
    <m/>
  </r>
  <r>
    <n v="92"/>
    <s v="ING"/>
    <s v="OD"/>
    <s v="RM"/>
    <x v="1"/>
    <x v="2"/>
    <s v="Atlas Mining"/>
    <m/>
    <s v="Ing PFS Mina"/>
    <s v="OP"/>
    <n v="1000000"/>
    <s v="Licitación"/>
    <n v="6"/>
    <d v="2024-09-01T00:00:00"/>
    <s v="Si"/>
    <m/>
  </r>
  <r>
    <n v="93"/>
    <s v="GEOT"/>
    <s v="OD"/>
    <s v="RM"/>
    <x v="1"/>
    <x v="2"/>
    <s v="Kuzbass"/>
    <s v="Ugol"/>
    <s v="Modelo 3d geologica de 2 yacimientos"/>
    <s v="OP"/>
    <n v="720000"/>
    <s v="Licitación"/>
    <n v="12"/>
    <d v="2024-09-01T00:00:00"/>
    <s v="Si"/>
    <m/>
  </r>
  <r>
    <n v="94"/>
    <s v="ING"/>
    <s v="FR"/>
    <m/>
    <x v="0"/>
    <x v="1"/>
    <s v="CMP"/>
    <s v="CNN"/>
    <s v="Upgrade Plan Minero CNN -_x000a_4.5 Mt Pellet Fee"/>
    <s v="OP"/>
    <n v="45000"/>
    <s v="Solicitud Directa"/>
    <n v="3"/>
    <d v="2024-08-01T00:00:00"/>
    <s v="Si"/>
    <m/>
  </r>
  <r>
    <n v="95"/>
    <s v="ING"/>
    <s v="FR"/>
    <s v="PA"/>
    <x v="0"/>
    <x v="1"/>
    <s v="BHP"/>
    <s v="Spence"/>
    <s v="Análisis de confiabilidad del plan LoA 2025-26"/>
    <s v="OP"/>
    <n v="70000"/>
    <s v="Solicitud Directa"/>
    <n v="1"/>
    <d v="2024-08-01T00:00:00"/>
    <s v="Si"/>
    <m/>
  </r>
  <r>
    <n v="96"/>
    <s v="GEOT"/>
    <s v="FR"/>
    <s v="CH"/>
    <x v="0"/>
    <x v="1"/>
    <s v="CMP"/>
    <s v="Algarrobo"/>
    <s v="Nuevos alcances: Proyecto Algarrobo Finos"/>
    <s v="OP"/>
    <n v="100000"/>
    <s v="Solicitud Directa"/>
    <n v="10"/>
    <d v="2024-08-01T00:00:00"/>
    <s v="Si"/>
    <m/>
  </r>
  <r>
    <n v="97"/>
    <s v="ING"/>
    <s v="MM"/>
    <s v="PA"/>
    <x v="1"/>
    <x v="1"/>
    <s v="Codelco"/>
    <s v="DET"/>
    <s v="ESTUDIO SISTEMA DE GESTIÓN PREMIN DET"/>
    <s v="UG"/>
    <n v="90000"/>
    <s v="Licitación"/>
    <n v="6"/>
    <d v="2024-12-01T00:00:00"/>
    <s v="Si"/>
    <m/>
  </r>
  <r>
    <n v="98"/>
    <s v="ING"/>
    <s v="PV"/>
    <m/>
    <x v="1"/>
    <x v="4"/>
    <s v="Cementation"/>
    <m/>
    <s v="Estimación de reservas, mine plan"/>
    <s v="OP"/>
    <n v="500000"/>
    <s v="Solicitud Directa"/>
    <n v="6"/>
    <d v="2024-08-01T00:00:00"/>
    <s v="No"/>
    <m/>
  </r>
  <r>
    <n v="99"/>
    <s v="ING"/>
    <s v="FR"/>
    <s v="PA"/>
    <x v="0"/>
    <x v="1"/>
    <s v="Lundin"/>
    <s v="Candelaria"/>
    <s v="Diagnóstico de gaps de planificación y operaciones (Foco en riesgos geomecánicos) "/>
    <s v="UG"/>
    <n v="66000"/>
    <s v="Solicitud Directa"/>
    <n v="1"/>
    <d v="2024-09-01T00:00:00"/>
    <s v="Si"/>
    <m/>
  </r>
  <r>
    <n v="100"/>
    <s v="ING"/>
    <s v="FR"/>
    <s v="PA"/>
    <x v="0"/>
    <x v="1"/>
    <s v="Lundin"/>
    <s v="Caserones"/>
    <s v="Evaluación opciones de mejora a través de nuevos criterios para definir los destinos óptimos y la estrategia de leyes de corte"/>
    <s v="UG"/>
    <n v="120000"/>
    <s v="Solicitud Directa"/>
    <n v="3"/>
    <d v="2024-08-01T00:00:00"/>
    <s v="Si"/>
    <m/>
  </r>
  <r>
    <n v="101"/>
    <s v="ING"/>
    <s v="AZ"/>
    <s v="PA"/>
    <x v="2"/>
    <x v="3"/>
    <s v="OCP"/>
    <s v="Cobriza"/>
    <s v="Diagnostico operaciónal y construcción de planes alternativos (Blue Sky y potencial)"/>
    <s v="UG"/>
    <n v="180000"/>
    <s v="Licitación"/>
    <n v="3"/>
    <d v="2024-10-01T00:00:00"/>
    <s v="Si"/>
    <m/>
  </r>
  <r>
    <n v="102"/>
    <s v="ING"/>
    <s v="FR"/>
    <s v="PA"/>
    <x v="0"/>
    <x v="1"/>
    <s v="CMP"/>
    <s v="CNN"/>
    <s v="Mejoras Operacionales CNN FEL3 (upgrade de la evaluación del proyecto de ampliación)"/>
    <s v="OP"/>
    <n v="100000"/>
    <s v="Licitación"/>
    <n v="3"/>
    <d v="2024-10-01T00:00:00"/>
    <s v="Si"/>
    <m/>
  </r>
  <r>
    <n v="103"/>
    <s v="ING"/>
    <s v="PV"/>
    <s v="PA"/>
    <x v="0"/>
    <x v="4"/>
    <s v="Twin Metals"/>
    <s v="Birch Lake - Maturi "/>
    <s v="Prefactibilidad para el conjunto Birch Lake - Maturi"/>
    <s v="UG"/>
    <n v="480000"/>
    <s v="Solicitud Directa"/>
    <n v="6"/>
    <d v="2025-01-01T00:00:00"/>
    <s v="Si"/>
    <m/>
  </r>
  <r>
    <n v="104"/>
    <s v="ING"/>
    <s v="AS"/>
    <s v="PA"/>
    <x v="0"/>
    <x v="0"/>
    <s v="Lhg"/>
    <s v="Autazes"/>
    <s v="Taller y evaluación de información en contexto de riesgos y oportunidades"/>
    <s v="UG"/>
    <n v="40000"/>
    <s v="Solicitud Directa"/>
    <n v="1"/>
    <d v="2024-08-01T00:00:00"/>
    <s v="Si"/>
    <m/>
  </r>
  <r>
    <n v="105"/>
    <s v="ING"/>
    <s v="OD"/>
    <s v="PA"/>
    <x v="1"/>
    <x v="2"/>
    <s v="Seligdar"/>
    <s v="Seligdar"/>
    <s v="Construccion de wireframes de cuerpo mineral y modelos de bloque de 2 yacimientos: Nerundinskoye y Mukodek"/>
    <s v="UG"/>
    <n v="150000"/>
    <s v="Solicitud Directa"/>
    <n v="3"/>
    <d v="2024-10-01T00:00:00"/>
    <s v="Si"/>
    <m/>
  </r>
  <r>
    <n v="106"/>
    <s v="ING"/>
    <s v="AZ"/>
    <s v="PA"/>
    <x v="2"/>
    <x v="3"/>
    <s v="Las Bambas"/>
    <s v="Ferrobamba"/>
    <s v="PFS Ferrobamba Deep"/>
    <s v="UG"/>
    <n v="1100000"/>
    <s v="Licitación"/>
    <n v="13"/>
    <d v="2024-10-01T00:00:00"/>
    <s v="Si"/>
    <m/>
  </r>
  <r>
    <n v="107"/>
    <s v="ING"/>
    <s v="ER"/>
    <s v="PA"/>
    <x v="0"/>
    <x v="1"/>
    <s v="AMSA"/>
    <s v="Centinela"/>
    <s v="Trade Off Tecnologias de manejo de materiales"/>
    <s v="OP"/>
    <n v="500000"/>
    <s v="Licitación"/>
    <n v="24"/>
    <d v="2024-10-01T00:00:00"/>
    <s v="Si"/>
    <m/>
  </r>
  <r>
    <n v="108"/>
    <s v="ING"/>
    <s v="ER"/>
    <s v="PA"/>
    <x v="0"/>
    <x v="1"/>
    <s v="Capstone Copper"/>
    <s v="Sierra Norte"/>
    <s v="Ing Conceptual: Estudio Extensión Sierra Norte"/>
    <s v="OP"/>
    <n v="250000"/>
    <s v="Solicitud Directa"/>
    <n v="5"/>
    <d v="2024-10-01T00:00:00"/>
    <s v="Si"/>
    <m/>
  </r>
  <r>
    <n v="109"/>
    <s v="ING"/>
    <s v="PA"/>
    <s v="PA"/>
    <x v="1"/>
    <x v="1"/>
    <s v="Carola"/>
    <s v="Carola"/>
    <s v="Apoyo en la planificación de Corto Plazo (SIMPREP)"/>
    <s v="UG"/>
    <n v="66000"/>
    <s v="Solicitud Directa"/>
    <n v="4"/>
    <d v="2024-10-01T00:00:00"/>
    <s v="Si"/>
    <m/>
  </r>
  <r>
    <n v="110"/>
    <s v="ING"/>
    <s v="MM"/>
    <s v="PA"/>
    <x v="0"/>
    <x v="1"/>
    <s v="Codelco"/>
    <s v="DMH"/>
    <s v="INGENIERÍA EXPLORATORIA DEL PROYECTO DMH NORTE"/>
    <s v="UG"/>
    <n v="75000"/>
    <s v="Licitación"/>
    <n v="3"/>
    <d v="2024-11-01T00:00:00"/>
    <s v="Si"/>
    <m/>
  </r>
  <r>
    <n v="111"/>
    <s v="ING"/>
    <s v="CH"/>
    <s v="PA"/>
    <x v="1"/>
    <x v="3"/>
    <s v="Sierra Metals"/>
    <s v="Yauricocha"/>
    <s v="ESTUDIO DE VENTILACIÓN UNIDAD MINERA YAURICOCHA"/>
    <s v="UG"/>
    <n v="250000"/>
    <s v="Licitación"/>
    <n v="6"/>
    <d v="2024-10-01T00:00:00"/>
    <s v="No"/>
    <m/>
  </r>
  <r>
    <n v="112"/>
    <s v="ING"/>
    <s v="OD"/>
    <s v="FR"/>
    <x v="1"/>
    <x v="2"/>
    <s v="Highland Gold"/>
    <s v="Taleveem mine"/>
    <s v="Scoping Study"/>
    <s v="OP"/>
    <n v="240000"/>
    <s v="Solicitud Directa"/>
    <n v="3"/>
    <d v="2024-12-01T00:00:00"/>
    <s v="Si"/>
    <m/>
  </r>
  <r>
    <n v="113"/>
    <s v="ING"/>
    <s v="OD"/>
    <s v="FR"/>
    <x v="1"/>
    <x v="2"/>
    <s v="Highland Gold"/>
    <s v="Valunisty mine"/>
    <s v="PFS OP"/>
    <s v="OP"/>
    <n v="500000"/>
    <s v="Solicitud Directa"/>
    <n v="6"/>
    <d v="2024-12-01T00:00:00"/>
    <s v="Si"/>
    <m/>
  </r>
  <r>
    <n v="114"/>
    <s v="ING"/>
    <s v="AS"/>
    <s v="FR"/>
    <x v="2"/>
    <x v="0"/>
    <s v="Vale"/>
    <s v="Gongo Soco"/>
    <s v="Estudio Conceptual"/>
    <s v="OP"/>
    <n v="150000"/>
    <s v="Solicitud Directa"/>
    <n v="3"/>
    <d v="2024-12-01T00:00:00"/>
    <s v="Si"/>
    <m/>
  </r>
  <r>
    <n v="115"/>
    <s v="ING"/>
    <s v="AS"/>
    <s v="FR"/>
    <x v="0"/>
    <x v="0"/>
    <s v="Mosaic"/>
    <s v="CTV"/>
    <s v="Proyecto integral CTV Fase 2"/>
    <s v="UG"/>
    <n v="355000"/>
    <s v="Solicitud Directa"/>
    <n v="6"/>
    <d v="2024-12-01T00:00:00"/>
    <s v="Si"/>
    <m/>
  </r>
  <r>
    <n v="116"/>
    <s v="ING"/>
    <s v="FR"/>
    <s v="PA"/>
    <x v="0"/>
    <x v="3"/>
    <s v="Minera Hampton"/>
    <s v="Los Calatos"/>
    <s v="Los Calatos Pre-FP Study (V3)"/>
    <s v="UG"/>
    <n v="270000"/>
    <s v="Solicitud Directa"/>
    <n v="6"/>
    <d v="2024-12-01T00:00:00"/>
    <s v="Si"/>
    <m/>
  </r>
  <r>
    <n v="117"/>
    <s v="ING"/>
    <s v="AZ"/>
    <s v="AS"/>
    <x v="1"/>
    <x v="3"/>
    <s v="Hudbay Perú S.A.C"/>
    <s v="Constancia"/>
    <s v="Estudio de Factibilidad del WRF y Tajo Constancia para la 4ta MEIA"/>
    <s v="OP"/>
    <n v="190000"/>
    <s v="Licitación"/>
    <n v="3"/>
    <d v="2024-12-01T00:00:00"/>
    <s v="Si"/>
    <m/>
  </r>
  <r>
    <n v="118"/>
    <s v="ING"/>
    <s v="PV"/>
    <m/>
    <x v="1"/>
    <x v="4"/>
    <s v="Highland Copper"/>
    <s v="Copperword"/>
    <s v="FS STUDY"/>
    <s v="UG"/>
    <n v="1300000"/>
    <s v="Licitación"/>
    <n v="12"/>
    <d v="2024-12-01T00:00:00"/>
    <s v="No"/>
    <m/>
  </r>
  <r>
    <n v="119"/>
    <s v="ING"/>
    <s v="FR"/>
    <m/>
    <x v="0"/>
    <x v="3"/>
    <s v="Buenaventura"/>
    <s v="Tantahuatay"/>
    <s v="servicio de capacitación en DBS y SIMPLAN"/>
    <s v="OP"/>
    <n v="20000"/>
    <s v="Solicitud Directa"/>
    <n v="2"/>
    <d v="2024-10-01T00:00:00"/>
    <s v="Si"/>
    <m/>
  </r>
  <r>
    <n v="120"/>
    <s v="ING"/>
    <s v="MM"/>
    <m/>
    <x v="0"/>
    <x v="1"/>
    <s v="Codelco"/>
    <m/>
    <s v="SERVICIO DE APOYO A LA DOCUMENTACIÓN DE PRACTICAS DE PLANIFICACIÓN DE CORTO PLAZO Y SU NORMATIVA INTERNA"/>
    <s v="UG"/>
    <n v="14000"/>
    <s v="Licitación"/>
    <n v="3"/>
    <m/>
    <s v="Si"/>
    <m/>
  </r>
  <r>
    <n v="121"/>
    <s v="ING"/>
    <s v="OD"/>
    <s v="PV"/>
    <x v="2"/>
    <x v="2"/>
    <s v="EMCO"/>
    <m/>
    <s v="Optimización de rutas de transporte, Simulación, Modelos geotécnico y monitoreo "/>
    <s v="UG"/>
    <n v="334000"/>
    <s v="Licitación"/>
    <n v="3"/>
    <m/>
    <s v="No"/>
    <m/>
  </r>
  <r>
    <n v="122"/>
    <s v="ING"/>
    <s v="FR"/>
    <m/>
    <x v="0"/>
    <x v="1"/>
    <s v="CMP"/>
    <s v="Tofo Norte"/>
    <s v="Actualización tamaño negocio Tofo Norte"/>
    <s v="UG"/>
    <n v="45000"/>
    <s v="Solicitud Directa"/>
    <n v="3"/>
    <m/>
    <s v="Si"/>
    <m/>
  </r>
  <r>
    <n v="123"/>
    <s v="ING"/>
    <s v="RM"/>
    <m/>
    <x v="1"/>
    <x v="1"/>
    <s v="Seprocal"/>
    <m/>
    <s v="Ingenieria de detalle de fortificación de piques"/>
    <s v="UG"/>
    <n v="160000"/>
    <s v="Solicitud Directa"/>
    <n v="3"/>
    <m/>
    <s v="No"/>
    <m/>
  </r>
  <r>
    <n v="124"/>
    <s v="ING"/>
    <s v="MM"/>
    <m/>
    <x v="0"/>
    <x v="1"/>
    <s v="Codelco"/>
    <m/>
    <s v="Actualización de la normativa de reportabilidad de reservas y recursos"/>
    <s v="OP"/>
    <n v="80000"/>
    <s v="Licitación"/>
    <n v="1"/>
    <m/>
    <s v="Si"/>
    <m/>
  </r>
  <r>
    <n v="125"/>
    <s v="ING"/>
    <s v="CH"/>
    <m/>
    <x v="2"/>
    <x v="1"/>
    <s v="CMP"/>
    <s v="Algarrobo"/>
    <s v="Evaluación caso de negocio explotación SLS"/>
    <s v="UG"/>
    <n v="170000"/>
    <s v="Solicitud Directa"/>
    <n v="3"/>
    <m/>
    <s v="Si"/>
    <m/>
  </r>
  <r>
    <n v="126"/>
    <s v="ING"/>
    <s v="PV"/>
    <m/>
    <x v="2"/>
    <x v="4"/>
    <s v="Rio Tinto"/>
    <s v="Oyu Tolgoi"/>
    <s v="Soporte caso de litigio Rio Tinto vs Gobierno Mongolia"/>
    <s v="UG"/>
    <n v="566000"/>
    <s v="Solicitud Directa"/>
    <n v="3"/>
    <m/>
    <s v="Si"/>
    <m/>
  </r>
  <r>
    <n v="127"/>
    <s v="ING"/>
    <s v="AS"/>
    <m/>
    <x v="2"/>
    <x v="0"/>
    <s v="Vale"/>
    <m/>
    <s v="Servicio IQS para nueve assets"/>
    <s v="OP"/>
    <n v="1600000"/>
    <s v="Licitación"/>
    <n v="24"/>
    <m/>
    <s v="No"/>
    <m/>
  </r>
  <r>
    <n v="128"/>
    <s v="ING"/>
    <s v="OD"/>
    <s v="PA"/>
    <x v="0"/>
    <x v="2"/>
    <s v="Atlas Mining"/>
    <m/>
    <s v="Construcción de modelo Geologico y de Recursos"/>
    <s v="OP"/>
    <n v="215000"/>
    <s v="Licitación"/>
    <n v="2"/>
    <m/>
    <s v="Si"/>
    <m/>
  </r>
  <r>
    <n v="129"/>
    <s v="ING"/>
    <s v="OD"/>
    <s v="PA"/>
    <x v="2"/>
    <x v="2"/>
    <s v="Atlas Mining"/>
    <m/>
    <s v="Plan LOM de distintas estrategias de crecimiento de la planta"/>
    <s v="OP"/>
    <n v="425000"/>
    <s v="Licitación"/>
    <n v="2"/>
    <m/>
    <s v="Si"/>
    <m/>
  </r>
  <r>
    <n v="130"/>
    <s v="ING"/>
    <s v="AS"/>
    <s v="PA"/>
    <x v="0"/>
    <x v="0"/>
    <s v="Aura Minerals"/>
    <m/>
    <s v="Estudio transición OP/UG: Lom estrategico UG"/>
    <s v="UG"/>
    <n v="224000"/>
    <s v="Solicitud Directa"/>
    <n v="3"/>
    <m/>
    <s v="Si"/>
    <m/>
  </r>
  <r>
    <n v="131"/>
    <s v="ING"/>
    <s v="MF"/>
    <s v="PA"/>
    <x v="2"/>
    <x v="1"/>
    <s v="CAP"/>
    <s v="Guarelo"/>
    <s v="Estudio integral de LOM Mina Guarelo: Acompañamiento desde el plan de captura de información hasta el LOM"/>
    <s v="OP"/>
    <n v="60000"/>
    <s v="Solicitud Directa"/>
    <n v="24"/>
    <m/>
    <s v="Si"/>
    <m/>
  </r>
  <r>
    <n v="132"/>
    <s v="ING"/>
    <s v="PA"/>
    <s v="PA"/>
    <x v="1"/>
    <x v="3"/>
    <s v="Minera Reliquias"/>
    <m/>
    <s v="Due Diligence Mina-Planta"/>
    <s v="UG"/>
    <n v="250000"/>
    <s v="Solicitud Directa"/>
    <n v="1"/>
    <m/>
    <s v="Si"/>
    <m/>
  </r>
  <r>
    <n v="133"/>
    <s v="ING"/>
    <s v="PA"/>
    <s v="PA"/>
    <x v="1"/>
    <x v="1"/>
    <s v="Anglo American"/>
    <s v="Andina"/>
    <s v="Due Diligence Higlevel  Mina-Planta-Infraestrutura de Andina"/>
    <s v="UG"/>
    <n v="150000"/>
    <s v="Solicitud Directa"/>
    <n v="1"/>
    <m/>
    <s v="Si"/>
    <m/>
  </r>
  <r>
    <n v="134"/>
    <s v="ING"/>
    <s v="MM"/>
    <m/>
    <x v="0"/>
    <x v="1"/>
    <s v="Codelco"/>
    <s v="DRT"/>
    <s v="Servicio de Estándar y Procedimiento Cierre Topográfico"/>
    <s v="OP"/>
    <n v="38000"/>
    <s v="Licitación"/>
    <n v="3"/>
    <m/>
    <s v="No"/>
    <m/>
  </r>
  <r>
    <n v="135"/>
    <s v="ING"/>
    <s v="PV"/>
    <s v="PA"/>
    <x v="2"/>
    <x v="4"/>
    <s v="McCarthy Abogados"/>
    <s v="Alio Gold"/>
    <s v="Technical Expert Support of the plaintiff’s allegation to Alio Gold Inc"/>
    <s v="UG"/>
    <n v="340000"/>
    <s v="Solicitud Directa"/>
    <n v="3"/>
    <m/>
    <s v="Si"/>
    <m/>
  </r>
  <r>
    <n v="136"/>
    <s v="ING"/>
    <s v="MF"/>
    <s v="PA"/>
    <x v="2"/>
    <x v="3"/>
    <s v="Minsur"/>
    <s v="San Rafael"/>
    <s v="Preparación IV MEIA San German"/>
    <s v="UG"/>
    <n v="240000"/>
    <s v="Solicitud Directa"/>
    <n v="3"/>
    <m/>
    <s v="Si"/>
    <m/>
  </r>
  <r>
    <n v="137"/>
    <s v="ING"/>
    <s v="PA"/>
    <s v="PA"/>
    <x v="2"/>
    <x v="3"/>
    <s v="Volcan"/>
    <m/>
    <s v="Revisión de validación reportes R&amp;R (15 assets)"/>
    <s v="UG"/>
    <n v="220000"/>
    <s v="Licitación"/>
    <n v="2"/>
    <m/>
    <s v="Si"/>
    <m/>
  </r>
  <r>
    <n v="138"/>
    <s v="ING"/>
    <s v="PA"/>
    <s v="PA"/>
    <x v="0"/>
    <x v="1"/>
    <s v="BHP"/>
    <s v="Cerro Colorado"/>
    <s v="Ing de factibilidad: Diseño de botaderos"/>
    <s v="OP"/>
    <n v="450000"/>
    <s v="Licitación"/>
    <n v="5"/>
    <m/>
    <s v="Si"/>
    <m/>
  </r>
  <r>
    <n v="139"/>
    <s v="ING"/>
    <s v="RM"/>
    <s v="PA"/>
    <x v="2"/>
    <x v="1"/>
    <s v="Anglo American"/>
    <s v="Los Bronces"/>
    <s v="Ing. Pre factibilidad perforación DHH"/>
    <s v="OP"/>
    <n v="180000"/>
    <s v="Solicitud Directa"/>
    <n v="4"/>
    <m/>
    <s v="No"/>
    <m/>
  </r>
  <r>
    <n v="140"/>
    <s v="ING"/>
    <s v="PV"/>
    <s v="PV"/>
    <x v="0"/>
    <x v="4"/>
    <s v="BHP"/>
    <s v="Resolution"/>
    <s v="Soporte en diseño y planificación"/>
    <s v="UG"/>
    <n v="260000"/>
    <s v="Solicitud Directa"/>
    <n v="4"/>
    <m/>
    <s v="Si"/>
    <m/>
  </r>
  <r>
    <n v="141"/>
    <s v="ING"/>
    <s v="FR"/>
    <s v="FR"/>
    <x v="0"/>
    <x v="1"/>
    <s v="BCG"/>
    <s v="Codelco"/>
    <s v="Evaluación de la planificación de Codelco"/>
    <s v="OP"/>
    <n v="30000"/>
    <s v="Solicitud Directa"/>
    <n v="1"/>
    <m/>
    <s v="Si"/>
    <m/>
  </r>
  <r>
    <n v="142"/>
    <s v="ING"/>
    <s v="ER"/>
    <s v="PA"/>
    <x v="3"/>
    <x v="1"/>
    <s v="Capstone Copper"/>
    <m/>
    <s v="Sistema Integrado de Gestión de Riesgos Geotécnicos "/>
    <s v="OP"/>
    <n v="900000"/>
    <s v="Solicitud Directa"/>
    <n v="12"/>
    <m/>
    <s v="No"/>
    <m/>
  </r>
  <r>
    <n v="143"/>
    <s v="ING"/>
    <s v="PA"/>
    <s v="PA"/>
    <x v="3"/>
    <x v="1"/>
    <s v="Lundin"/>
    <s v="Candelaria"/>
    <s v="Ing Basica MHD UG"/>
    <s v="UG"/>
    <n v="450000"/>
    <s v="Licitación"/>
    <n v="8"/>
    <m/>
    <s v="No"/>
    <m/>
  </r>
  <r>
    <n v="144"/>
    <s v="ING"/>
    <s v="PA"/>
    <s v="PA"/>
    <x v="2"/>
    <x v="1"/>
    <s v="First Quantum"/>
    <s v="Cobre Panama"/>
    <s v="Lom estrategico "/>
    <s v="OP"/>
    <n v="200000"/>
    <s v="Solicitud Directa"/>
    <n v="3"/>
    <m/>
    <s v="Si"/>
    <m/>
  </r>
  <r>
    <n v="145"/>
    <s v="ING"/>
    <s v="MF"/>
    <s v="MF"/>
    <x v="0"/>
    <x v="3"/>
    <s v="Minsur"/>
    <s v="Raura"/>
    <s v="Análisis y Sustento LOM 25"/>
    <s v="UG"/>
    <n v="50000"/>
    <s v="Solicitud Directa"/>
    <n v="3"/>
    <m/>
    <s v="Si"/>
    <m/>
  </r>
  <r>
    <n v="146"/>
    <s v="ING"/>
    <s v="FR"/>
    <s v="FR"/>
    <x v="2"/>
    <x v="1"/>
    <s v="Anglo American"/>
    <s v="Los Bronces"/>
    <s v="Estudio de productividad"/>
    <s v="OP"/>
    <n v="100000"/>
    <s v="Solicitud Directa"/>
    <n v="3"/>
    <m/>
    <s v="Si"/>
    <m/>
  </r>
  <r>
    <n v="147"/>
    <s v="ING"/>
    <s v="PA"/>
    <s v="PA"/>
    <x v="2"/>
    <x v="1"/>
    <s v="BHP"/>
    <s v="Spence"/>
    <s v="Análisis de confiabilidad y detección de cuellos de botella del LoA 25 – Proyecto SCUT"/>
    <s v="OP"/>
    <n v="45000"/>
    <s v="Solicitud Directa"/>
    <n v="1"/>
    <m/>
    <s v="Si"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  <r>
    <m/>
    <m/>
    <m/>
    <m/>
    <x v="4"/>
    <x v="5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  <x v="0"/>
    <s v="AS"/>
    <m/>
    <x v="0"/>
    <x v="0"/>
    <s v="Mosaic"/>
    <s v="Cajati"/>
    <s v="Contrato Mosaic CAJ Optimización OP"/>
    <x v="0"/>
    <n v="78846.600000000006"/>
    <s v="Marco"/>
    <n v="5"/>
    <d v="2024-01-01T00:00:00"/>
    <s v="Si"/>
    <m/>
  </r>
  <r>
    <x v="1"/>
    <x v="0"/>
    <s v="AS"/>
    <m/>
    <x v="0"/>
    <x v="0"/>
    <s v="J&amp;F"/>
    <s v="Mina Urucum"/>
    <s v="Recuperación de Pilares Mina Urucum"/>
    <x v="1"/>
    <n v="263238.40000000002"/>
    <s v="Solicitud Directa"/>
    <n v="8"/>
    <d v="2024-05-01T00:00:00"/>
    <s v="Si"/>
    <m/>
  </r>
  <r>
    <x v="2"/>
    <x v="0"/>
    <s v="RM"/>
    <m/>
    <x v="0"/>
    <x v="1"/>
    <s v="Lundin"/>
    <s v="Candelaria"/>
    <s v="Ingeniería de valor para Robustecer el Proyecto CUGEP"/>
    <x v="1"/>
    <n v="200000"/>
    <s v="Solicitud Directa"/>
    <n v="3"/>
    <d v="2024-03-01T00:00:00"/>
    <s v="Si"/>
    <m/>
  </r>
  <r>
    <x v="3"/>
    <x v="0"/>
    <s v="FR"/>
    <m/>
    <x v="0"/>
    <x v="1"/>
    <s v="AMSA"/>
    <s v="Centinela"/>
    <s v="Mejoramiento Plan 2024 y de Performance de Cumplimiento para Minera Centinela"/>
    <x v="2"/>
    <s v="Adjudicada"/>
    <s v="Solicitud Directa"/>
    <n v="4"/>
    <d v="2024-02-01T00:00:00"/>
    <s v="Si"/>
    <m/>
  </r>
  <r>
    <x v="4"/>
    <x v="0"/>
    <s v="PV"/>
    <m/>
    <x v="0"/>
    <x v="1"/>
    <s v="BHP"/>
    <s v="MEL"/>
    <s v="ESTUDIO FEL -1 DE OPCIONES DE ACCESO EXPLORATORIO - ESCONDIDA EAST DEEP "/>
    <x v="0"/>
    <s v="Adjudicada"/>
    <s v="Solicitud Directa"/>
    <n v="4"/>
    <d v="2024-04-01T00:00:00"/>
    <s v="Si"/>
    <m/>
  </r>
  <r>
    <x v="5"/>
    <x v="1"/>
    <s v="CH"/>
    <m/>
    <x v="0"/>
    <x v="1"/>
    <s v="CEOM/Hoshschield"/>
    <s v="Inmaculada"/>
    <s v="Asesoría Técnica para la Identificación de Oportunidades de Mejora para Incremento de Producción Mina"/>
    <x v="1"/>
    <s v="Adjudicada"/>
    <s v="Solicitud Directa"/>
    <n v="1"/>
    <d v="2024-02-01T00:00:00"/>
    <s v="Si"/>
    <m/>
  </r>
  <r>
    <x v="6"/>
    <x v="0"/>
    <s v="OD"/>
    <m/>
    <x v="0"/>
    <x v="2"/>
    <s v="Seligdar"/>
    <s v="Kyuchus"/>
    <s v="Execution of the Pre-Feasibility Study for the Kyuchus Mining Project"/>
    <x v="1"/>
    <s v="Adjudicada"/>
    <s v="Licitación"/>
    <n v="14"/>
    <d v="2024-05-01T00:00:00"/>
    <s v="No"/>
    <m/>
  </r>
  <r>
    <x v="7"/>
    <x v="1"/>
    <s v="CH"/>
    <m/>
    <x v="0"/>
    <x v="0"/>
    <s v="Mosaic"/>
    <s v="Cajati"/>
    <s v="Actualizacion analisis de Estabilidad OP"/>
    <x v="0"/>
    <s v="Adjudicada"/>
    <s v="Marco"/>
    <n v="3"/>
    <d v="2024-07-01T00:00:00"/>
    <s v="Si"/>
    <m/>
  </r>
  <r>
    <x v="8"/>
    <x v="0"/>
    <s v="FR"/>
    <m/>
    <x v="0"/>
    <x v="1"/>
    <s v="MCI"/>
    <s v="Los Bronces"/>
    <s v="Los Bronces Mine Plan Review"/>
    <x v="0"/>
    <s v="Adjudicada"/>
    <s v="Solicitud Directa"/>
    <n v="4"/>
    <d v="2024-07-01T00:00:00"/>
    <s v="Si"/>
    <m/>
  </r>
  <r>
    <x v="9"/>
    <x v="0"/>
    <s v="FR"/>
    <m/>
    <x v="0"/>
    <x v="1"/>
    <s v="CMP"/>
    <s v="Romeral"/>
    <s v="Acompañamiento y ing para puesta en marcha de mina SLS Romeral"/>
    <x v="0"/>
    <s v="Adjudicada"/>
    <s v="Solicitud Directa"/>
    <n v="12"/>
    <d v="2024-07-01T00:00:00"/>
    <s v="Si"/>
    <m/>
  </r>
  <r>
    <x v="10"/>
    <x v="0"/>
    <s v="MM"/>
    <m/>
    <x v="1"/>
    <x v="1"/>
    <s v="Lundin"/>
    <s v="Candelaria"/>
    <s v="Mejoras operacionales (Simprep y optimización P&amp;T subterranea)"/>
    <x v="1"/>
    <s v="No Adjudicada"/>
    <s v="Solicitud Directa"/>
    <n v="3"/>
    <d v="2024-08-01T00:00:00"/>
    <s v="Si"/>
    <m/>
  </r>
  <r>
    <x v="11"/>
    <x v="0"/>
    <s v="RM"/>
    <s v="PA"/>
    <x v="1"/>
    <x v="1"/>
    <s v="Zublin - Strabag"/>
    <s v="Teniente"/>
    <s v="Aplicación Simprep en proyecto diamante"/>
    <x v="1"/>
    <s v="No Adjudicada"/>
    <s v="Solicitud Directa"/>
    <n v="4"/>
    <d v="2024-06-01T00:00:00"/>
    <s v="Si"/>
    <m/>
  </r>
  <r>
    <x v="12"/>
    <x v="0"/>
    <s v="OD"/>
    <m/>
    <x v="1"/>
    <x v="2"/>
    <s v="KMARUDA"/>
    <s v="Planta N°3"/>
    <s v="Elaboración de PFS Y ING de detalle para la planta de procesamiento N°3"/>
    <x v="0"/>
    <s v="No Adjudicada"/>
    <s v="Solicitud Directa"/>
    <n v="12"/>
    <d v="2024-06-01T00:00:00"/>
    <s v="No"/>
    <s v="Sin Información"/>
  </r>
  <r>
    <x v="13"/>
    <x v="0"/>
    <s v="AZ"/>
    <m/>
    <x v="0"/>
    <x v="3"/>
    <s v="Glencore"/>
    <s v="Coroccohuayco"/>
    <s v="Estudios Mineros para la PFS"/>
    <x v="0"/>
    <s v="Adjudicada"/>
    <s v="Licitación"/>
    <n v="3"/>
    <d v="2024-03-01T00:00:00"/>
    <s v="Si"/>
    <m/>
  </r>
  <r>
    <x v="14"/>
    <x v="0"/>
    <s v="PV"/>
    <m/>
    <x v="0"/>
    <x v="4"/>
    <s v="McCarthy Abogados"/>
    <s v="-"/>
    <s v="Servicio de apoyo experto para defensa de Rio Tinto en Litigio en su contra"/>
    <x v="1"/>
    <s v="Adjudicada"/>
    <s v="Solicitud Directa"/>
    <n v="5"/>
    <d v="2024-04-01T00:00:00"/>
    <s v="Si"/>
    <m/>
  </r>
  <r>
    <x v="15"/>
    <x v="0"/>
    <s v="PV"/>
    <m/>
    <x v="1"/>
    <x v="4"/>
    <s v="Ivanhoe Electric"/>
    <s v="Santa Cruz"/>
    <s v="Estudio PFS"/>
    <x v="1"/>
    <s v="No Adjudicada"/>
    <s v="Solicitud Directa"/>
    <n v="12"/>
    <d v="2024-06-01T00:00:00"/>
    <s v="Si"/>
    <s v="Estrategia no Adecuada"/>
  </r>
  <r>
    <x v="16"/>
    <x v="1"/>
    <s v="CH"/>
    <m/>
    <x v="1"/>
    <x v="1"/>
    <s v="Lundin"/>
    <s v="Candelaria"/>
    <s v="Actualización Modelo Geomecánico LOM/Corto Plazo"/>
    <x v="1"/>
    <s v="No Adjudicada"/>
    <s v="Solicitud Directa"/>
    <n v="6"/>
    <d v="2024-06-01T00:00:00"/>
    <s v="Si"/>
    <s v="Sin Información"/>
  </r>
  <r>
    <x v="17"/>
    <x v="0"/>
    <s v="OD"/>
    <m/>
    <x v="1"/>
    <x v="2"/>
    <s v="Evraz"/>
    <s v="-"/>
    <s v="Selección de equipos mineros"/>
    <x v="1"/>
    <s v="No Adjudicada"/>
    <s v="Solicitud Directa"/>
    <m/>
    <d v="2024-06-01T00:00:00"/>
    <s v="Si"/>
    <s v="Sin Información"/>
  </r>
  <r>
    <x v="18"/>
    <x v="0"/>
    <s v="PV"/>
    <m/>
    <x v="1"/>
    <x v="4"/>
    <s v="Ivanhoe Electric"/>
    <s v="Alacran"/>
    <s v="Asistencia de revisiones y supervisión de Ing. De Detalle de la planta del proyecto Alacran de Cordoba Mining"/>
    <x v="1"/>
    <s v="No Adjudicada"/>
    <s v="Solicitud Directa"/>
    <n v="12"/>
    <d v="2024-04-01T00:00:00"/>
    <s v="Si"/>
    <s v="Sin Información"/>
  </r>
  <r>
    <x v="19"/>
    <x v="0"/>
    <s v="FR"/>
    <s v="FR"/>
    <x v="1"/>
    <x v="1"/>
    <s v="Norte Abierto SpA"/>
    <s v="Cerro Casale"/>
    <s v="Optimización de Pit y Diseño de Fase"/>
    <x v="0"/>
    <s v="No Adjudicada"/>
    <s v="Licitación"/>
    <n v="4"/>
    <d v="2024-03-01T00:00:00"/>
    <s v="Si"/>
    <s v="Costos muy altos"/>
  </r>
  <r>
    <x v="20"/>
    <x v="0"/>
    <s v="RM"/>
    <m/>
    <x v="1"/>
    <x v="1"/>
    <s v="Las Cenizas"/>
    <s v="El Sauce"/>
    <s v="Optimización del desarrollo (Simprep)"/>
    <x v="1"/>
    <s v="No Adjudicada"/>
    <s v="Solicitud Directa"/>
    <n v="3"/>
    <d v="2024-04-01T00:00:00"/>
    <s v="Si"/>
    <s v="Costos muy altos"/>
  </r>
  <r>
    <x v="21"/>
    <x v="0"/>
    <s v="ER"/>
    <s v="PA"/>
    <x v="0"/>
    <x v="1"/>
    <s v="Capstone Copper"/>
    <s v="4 operaciones"/>
    <s v="Methodology for Estimating Mine Plan Reliability (Px) - Phase (1 &amp; 2) (Cozamin, Pinto valley, mantoverde, mantos blancos)"/>
    <x v="0"/>
    <s v="Adjudicada"/>
    <s v="Solicitud Directa"/>
    <n v="4"/>
    <d v="2024-05-01T00:00:00"/>
    <s v="Si"/>
    <m/>
  </r>
  <r>
    <x v="22"/>
    <x v="0"/>
    <s v="RM"/>
    <m/>
    <x v="1"/>
    <x v="1"/>
    <s v="Anglo American"/>
    <s v="Chagres"/>
    <s v="Estudio de Prefactibilidad de Proyecto de Minería Urbana "/>
    <x v="3"/>
    <s v="No Adjudicada"/>
    <s v="Solicitud Directa"/>
    <n v="10"/>
    <d v="2024-05-01T00:00:00"/>
    <s v="No"/>
    <s v="Sin Información"/>
  </r>
  <r>
    <x v="23"/>
    <x v="0"/>
    <s v="FR"/>
    <m/>
    <x v="0"/>
    <x v="1"/>
    <s v="AMSA"/>
    <s v="-"/>
    <s v="Mínimos Estándares de Planificación"/>
    <x v="0"/>
    <s v="Adjudicada"/>
    <s v="Solicitud Directa"/>
    <n v="4"/>
    <d v="2024-03-01T00:00:00"/>
    <s v="Si"/>
    <m/>
  </r>
  <r>
    <x v="24"/>
    <x v="0"/>
    <s v="MM"/>
    <m/>
    <x v="1"/>
    <x v="1"/>
    <s v="Codelco"/>
    <s v="DCH"/>
    <s v="SERVICIO DE ESTUDIO EVALUACION CRECIMIENTO MB NORTE 4 CHUQUICAMATA SUBTERRÁNEA "/>
    <x v="1"/>
    <s v="No Adjudicada"/>
    <s v="Licitación"/>
    <n v="3"/>
    <d v="2024-06-01T00:00:00"/>
    <s v="Si"/>
    <m/>
  </r>
  <r>
    <x v="25"/>
    <x v="0"/>
    <s v="ER"/>
    <s v="PA"/>
    <x v="1"/>
    <x v="1"/>
    <s v="Matrix"/>
    <s v="-"/>
    <s v="Revisión de PFS y operaciones (4)"/>
    <x v="0"/>
    <s v="No Adjudicada"/>
    <s v="Solicitud Directa"/>
    <n v="4"/>
    <d v="2024-03-01T00:00:00"/>
    <s v="Si"/>
    <s v="Alcance ineficiente"/>
  </r>
  <r>
    <x v="26"/>
    <x v="0"/>
    <s v="ER"/>
    <s v="PA"/>
    <x v="0"/>
    <x v="1"/>
    <s v="Santander"/>
    <s v="Yauricocha / Bolivar"/>
    <s v="Revisión en terreno de dos operacones para evaluar fatal flaws."/>
    <x v="1"/>
    <s v="Adjudicada"/>
    <s v="Solicitud Directa"/>
    <n v="1"/>
    <d v="2024-05-01T00:00:00"/>
    <s v="Si"/>
    <m/>
  </r>
  <r>
    <x v="27"/>
    <x v="0"/>
    <s v="OD"/>
    <m/>
    <x v="1"/>
    <x v="2"/>
    <s v="Polyus"/>
    <s v="-"/>
    <s v="Sistema de ore-control para la planificación de corto plazo"/>
    <x v="1"/>
    <s v="No Adjudicada"/>
    <s v="Solicitud Directa"/>
    <n v="6"/>
    <d v="2024-06-01T00:00:00"/>
    <s v="No"/>
    <s v="Sin Información"/>
  </r>
  <r>
    <x v="28"/>
    <x v="0"/>
    <s v="OD"/>
    <m/>
    <x v="1"/>
    <x v="2"/>
    <s v="EMCO"/>
    <s v="Solnechny"/>
    <s v="Optimization of Current Operation and Long-Term Strategy and Trade Off analysis of Transportation System."/>
    <x v="1"/>
    <s v="No Adjudicada"/>
    <s v="Licitación"/>
    <n v="10"/>
    <d v="2024-06-01T00:00:00"/>
    <s v="Si"/>
    <s v="Sin Información"/>
  </r>
  <r>
    <x v="29"/>
    <x v="0"/>
    <s v="OD"/>
    <m/>
    <x v="1"/>
    <x v="2"/>
    <s v="Alrosa"/>
    <s v="-"/>
    <s v="Propuesta Tecnologica para MIR"/>
    <x v="1"/>
    <s v="No Adjudicada"/>
    <s v="Solicitud Directa"/>
    <n v="6"/>
    <d v="2024-06-01T00:00:00"/>
    <s v="No"/>
    <s v="Sin Información"/>
  </r>
  <r>
    <x v="30"/>
    <x v="0"/>
    <s v="PV"/>
    <m/>
    <x v="1"/>
    <x v="4"/>
    <s v="Rockhaven"/>
    <s v="-"/>
    <s v="Mining Trade Off Study"/>
    <x v="1"/>
    <s v="No Adjudicada"/>
    <s v="Solicitud Directa"/>
    <n v="3"/>
    <d v="2024-08-01T00:00:00"/>
    <s v="Si"/>
    <m/>
  </r>
  <r>
    <x v="31"/>
    <x v="0"/>
    <s v="MF"/>
    <m/>
    <x v="1"/>
    <x v="3"/>
    <s v="Minsur"/>
    <s v="San Rafael"/>
    <s v="Definición de KPIs de gestion para Minsur y continuidad proceso SGOP de San Rafael"/>
    <x v="1"/>
    <s v="No Adjudicada"/>
    <s v="Solicitud Directa"/>
    <n v="11"/>
    <d v="2024-03-01T00:00:00"/>
    <s v="Si"/>
    <s v="Costos muy altos"/>
  </r>
  <r>
    <x v="32"/>
    <x v="0"/>
    <s v="MF"/>
    <m/>
    <x v="1"/>
    <x v="1"/>
    <s v="Las Cenizas"/>
    <s v="Mina Sauce"/>
    <s v="Estrategia de Relleno en Pasta para_x000a_Maximizar la Recuperación Minera_x000a_en Mina Sauce"/>
    <x v="1"/>
    <s v="No Adjudicada"/>
    <s v="Solicitud Directa"/>
    <n v="4"/>
    <d v="2024-03-01T00:00:00"/>
    <s v="Si"/>
    <s v="Costos muy altos"/>
  </r>
  <r>
    <x v="33"/>
    <x v="0"/>
    <s v="AZ"/>
    <m/>
    <x v="1"/>
    <x v="3"/>
    <s v="Glencore"/>
    <s v="Pachon"/>
    <s v="Estudio de diseños de alternativas de chancado"/>
    <x v="0"/>
    <s v="No Adjudicada"/>
    <s v="Licitación"/>
    <n v="4"/>
    <d v="2024-04-01T00:00:00"/>
    <s v="Si"/>
    <s v="Estrategia no Adecuada"/>
  </r>
  <r>
    <x v="34"/>
    <x v="1"/>
    <s v="OD"/>
    <m/>
    <x v="1"/>
    <x v="2"/>
    <s v="Alrosa"/>
    <s v="Yubileynaya"/>
    <s v="Assestment geomecanico para los parametros del Block Caving"/>
    <x v="1"/>
    <s v="No Adjudicada"/>
    <s v="Solicitud Directa"/>
    <n v="7"/>
    <d v="2024-06-01T00:00:00"/>
    <s v="Si"/>
    <s v="Costos muy altos"/>
  </r>
  <r>
    <x v="35"/>
    <x v="1"/>
    <s v="OD"/>
    <m/>
    <x v="1"/>
    <x v="2"/>
    <s v="Eurochem"/>
    <s v="Zhelezniy"/>
    <s v="Determinar la estabilidad de los taludes del Rajo y de los emplazamientos y bancos locales del Rajo abierto de Zhelezniy"/>
    <x v="0"/>
    <s v="No Adjudicada"/>
    <s v="Solicitud Directa"/>
    <n v="7"/>
    <d v="2024-06-01T00:00:00"/>
    <s v="Si"/>
    <s v="Costos muy altos"/>
  </r>
  <r>
    <x v="36"/>
    <x v="0"/>
    <s v="AZ"/>
    <m/>
    <x v="0"/>
    <x v="3"/>
    <s v="Coripuno"/>
    <s v="Torremani"/>
    <s v="ALTERNATIVAS DEL METODO DE MINADO EN EL PROYECTO MINERO TORREMANI"/>
    <x v="1"/>
    <s v="Adjudicada"/>
    <s v="Licitación"/>
    <n v="3"/>
    <d v="2024-05-01T00:00:00"/>
    <s v="Si"/>
    <m/>
  </r>
  <r>
    <x v="37"/>
    <x v="0"/>
    <s v="AZ"/>
    <m/>
    <x v="1"/>
    <x v="3"/>
    <s v="Minera Chinalco Perú S.A"/>
    <s v="Chinalco"/>
    <s v="Estimación de Reservas Minerales y Plan de Vida de Mina"/>
    <x v="0"/>
    <s v="No Adjudicada"/>
    <s v="Licitación"/>
    <n v="4"/>
    <d v="2024-09-01T00:00:00"/>
    <s v="Si"/>
    <s v="Anulación de licitación"/>
  </r>
  <r>
    <x v="38"/>
    <x v="0"/>
    <s v="AS"/>
    <m/>
    <x v="1"/>
    <x v="0"/>
    <s v="Equinox"/>
    <s v="Santa Cruz"/>
    <s v="DIAGNÓSTICO INTEGRADO DE LA MINA SANTA LUZ (MINA-PLANTA-FUNDICIÓN)"/>
    <x v="1"/>
    <s v="No Adjudicada"/>
    <s v="Solicitud Directa"/>
    <n v="2"/>
    <d v="2024-03-01T00:00:00"/>
    <s v="Si"/>
    <s v="Costos muy altos"/>
  </r>
  <r>
    <x v="39"/>
    <x v="0"/>
    <s v="MM"/>
    <m/>
    <x v="1"/>
    <x v="1"/>
    <s v="Codelco"/>
    <s v="DMH"/>
    <s v="INGENIERÍA PARA ESTUDIO DE PREFACTIBILIDAD_x000a_- ETAPA FEL2A Y FEL2B - RAMPA DE EXPLORACIÓN DMH SUBTERRÁNEO"/>
    <x v="1"/>
    <s v="No Adjudicada"/>
    <s v="Marco"/>
    <n v="3"/>
    <d v="2024-02-01T00:00:00"/>
    <s v="Si"/>
    <s v="Costos muy altos"/>
  </r>
  <r>
    <x v="40"/>
    <x v="0"/>
    <s v="RM"/>
    <m/>
    <x v="1"/>
    <x v="1"/>
    <s v="Lundin"/>
    <s v="Candelaria"/>
    <s v="Mejoras Operacionales Mina Candelaria"/>
    <x v="1"/>
    <s v="No Adjudicada"/>
    <s v="Solicitud Directa"/>
    <n v="6"/>
    <d v="2024-02-01T00:00:00"/>
    <s v="Si"/>
    <s v="Selección empresa local"/>
  </r>
  <r>
    <x v="41"/>
    <x v="0"/>
    <s v="AZ"/>
    <m/>
    <x v="1"/>
    <x v="3"/>
    <s v="Antamina"/>
    <s v="Antamina"/>
    <s v="Servicio de Ingeniería de Integración del Proyecto Túnel Exploratorio"/>
    <x v="0"/>
    <s v="No Adjudicada"/>
    <s v="Licitación"/>
    <n v="12"/>
    <d v="2024-02-01T00:00:00"/>
    <s v="Si"/>
    <s v="Costos muy altos"/>
  </r>
  <r>
    <x v="42"/>
    <x v="1"/>
    <s v="CH"/>
    <m/>
    <x v="1"/>
    <x v="3"/>
    <s v="Calibre Mining "/>
    <s v="Limon"/>
    <s v="Revisión del análisis de estabilidad de taludes pit limón fase 4 "/>
    <x v="0"/>
    <s v="No Adjudicada"/>
    <s v="Licitación"/>
    <n v="5"/>
    <d v="2024-02-01T00:00:00"/>
    <s v="Si"/>
    <s v="Costos muy altos"/>
  </r>
  <r>
    <x v="43"/>
    <x v="1"/>
    <s v="CH"/>
    <m/>
    <x v="1"/>
    <x v="3"/>
    <s v="Calibre Mining "/>
    <s v="Limon"/>
    <s v="Servicio de Diseño e Ingeniería del Portal "/>
    <x v="0"/>
    <s v="No Adjudicada"/>
    <s v="Licitación"/>
    <n v="4"/>
    <d v="2024-02-01T00:00:00"/>
    <s v="Si"/>
    <s v="Costos muy altos"/>
  </r>
  <r>
    <x v="44"/>
    <x v="1"/>
    <s v="CH"/>
    <m/>
    <x v="1"/>
    <x v="3"/>
    <s v="Calibre Mining "/>
    <s v="Limon"/>
    <s v="Servicio de Analisis de Estabilidad de los DME del tajo abierto El Limón"/>
    <x v="0"/>
    <s v="No Adjudicada"/>
    <s v="Licitación"/>
    <n v="5"/>
    <d v="2024-03-01T00:00:00"/>
    <s v="Si"/>
    <s v="Costos muy altos"/>
  </r>
  <r>
    <x v="45"/>
    <x v="1"/>
    <s v="OD"/>
    <m/>
    <x v="1"/>
    <x v="2"/>
    <s v="ERG"/>
    <s v="-"/>
    <s v="Geotechnical slope validtion"/>
    <x v="1"/>
    <s v="No Adjudicada"/>
    <s v="Licitación"/>
    <n v="3"/>
    <d v="2024-03-01T00:00:00"/>
    <s v="Si"/>
    <s v="Costos muy altos"/>
  </r>
  <r>
    <x v="46"/>
    <x v="1"/>
    <s v="PV"/>
    <m/>
    <x v="1"/>
    <x v="4"/>
    <s v="Ivanhoe Electric"/>
    <s v="Santa Cruz"/>
    <s v="IE RFP 005 - Geotechnical Studies"/>
    <x v="1"/>
    <s v="No Adjudicada"/>
    <s v="Licitación"/>
    <n v="12"/>
    <d v="2024-01-01T00:00:00"/>
    <s v="Si"/>
    <s v="Costos muy altos"/>
  </r>
  <r>
    <x v="47"/>
    <x v="1"/>
    <s v="PV"/>
    <m/>
    <x v="1"/>
    <x v="4"/>
    <s v="Ivanhoe Electric"/>
    <s v="Santa Cruz"/>
    <s v="IE RFP 005 - Geotechnical Studies - 3rd Party Review"/>
    <x v="1"/>
    <s v="No Adjudicada"/>
    <s v="Licitación"/>
    <n v="12"/>
    <d v="2024-02-01T00:00:00"/>
    <s v="Si"/>
    <s v="Costos muy altos"/>
  </r>
  <r>
    <x v="48"/>
    <x v="0"/>
    <s v="PV"/>
    <m/>
    <x v="1"/>
    <x v="4"/>
    <s v="Ivanhoe Electric"/>
    <s v="Santa Cruz"/>
    <s v="IE RFP 006 - Mineral Resources Estimate - Reviewer"/>
    <x v="1"/>
    <s v="No Adjudicada"/>
    <s v="Licitación"/>
    <n v="12"/>
    <d v="2024-02-01T00:00:00"/>
    <s v="Si"/>
    <s v="Costos muy altos"/>
  </r>
  <r>
    <x v="49"/>
    <x v="1"/>
    <s v="OD"/>
    <m/>
    <x v="1"/>
    <x v="2"/>
    <s v="Polyus"/>
    <s v="Sukhoy Log"/>
    <s v="3D Numerical Analysis of Trial open pit stability"/>
    <x v="0"/>
    <s v="No Adjudicada"/>
    <s v="Solicitud Directa"/>
    <n v="3"/>
    <d v="2024-06-01T00:00:00"/>
    <s v="Si"/>
    <s v="Costos muy altos"/>
  </r>
  <r>
    <x v="50"/>
    <x v="0"/>
    <s v="MF"/>
    <s v="PA"/>
    <x v="0"/>
    <x v="3"/>
    <s v="Minsur"/>
    <s v="San Rafael"/>
    <s v="Soporte para la elaboración del FQ1, FQ3 y Budget 25"/>
    <x v="1"/>
    <s v="Adjudicada"/>
    <s v="Solicitud Directa"/>
    <n v="3"/>
    <d v="2024-03-01T00:00:00"/>
    <s v="Si"/>
    <m/>
  </r>
  <r>
    <x v="51"/>
    <x v="0"/>
    <s v="MF"/>
    <s v="PA"/>
    <x v="0"/>
    <x v="3"/>
    <s v="Minsur"/>
    <s v="San Rafael"/>
    <s v="Apoyo a la planificación:  Integración de Información Planeamiento-Geomecánica //  Estudio Conceptual de Justificación Rampa de Acceso Sector San German"/>
    <x v="1"/>
    <s v="Adjudicada"/>
    <s v="Solicitud Directa"/>
    <n v="3"/>
    <d v="2024-04-01T00:00:00"/>
    <s v="Si"/>
    <m/>
  </r>
  <r>
    <x v="52"/>
    <x v="0"/>
    <s v="OD"/>
    <m/>
    <x v="0"/>
    <x v="2"/>
    <s v="EUROCHEM"/>
    <s v="Himmelfarb"/>
    <s v="auditoría para un &quot; Scoping Study&quot; para reducir Opex y Capex"/>
    <x v="1"/>
    <s v="Adjudicada"/>
    <s v="Solicitud Directa"/>
    <n v="2"/>
    <d v="2024-04-01T00:00:00"/>
    <s v="Si"/>
    <m/>
  </r>
  <r>
    <x v="53"/>
    <x v="0"/>
    <s v="RM"/>
    <m/>
    <x v="1"/>
    <x v="1"/>
    <s v="Mineria Activa"/>
    <s v="Pampa Camarones"/>
    <s v="Análisis 360 de la operación"/>
    <x v="1"/>
    <s v="No Adjudicada"/>
    <s v="Solicitud Directa"/>
    <n v="3"/>
    <d v="2024-06-01T00:00:00"/>
    <s v="Si"/>
    <s v="Costos muy altos"/>
  </r>
  <r>
    <x v="54"/>
    <x v="0"/>
    <s v="FR"/>
    <s v="FR"/>
    <x v="0"/>
    <x v="1"/>
    <s v="BHP"/>
    <s v="Spence"/>
    <s v="Analisis de confiabilidad de planes mineros"/>
    <x v="0"/>
    <s v="Adjudicada"/>
    <s v="Solicitud Directa"/>
    <n v="1"/>
    <d v="2024-03-01T00:00:00"/>
    <s v="Si"/>
    <m/>
  </r>
  <r>
    <x v="55"/>
    <x v="0"/>
    <s v="CH"/>
    <s v="CH"/>
    <x v="0"/>
    <x v="1"/>
    <s v="CEOM/Hoshschield"/>
    <s v="Inmaculada"/>
    <s v="Fase 2: mejoras de Corto Plazo"/>
    <x v="1"/>
    <s v="Adjudicada"/>
    <s v="Solicitud Directa"/>
    <n v="3"/>
    <d v="2024-06-01T00:00:00"/>
    <s v="Si"/>
    <m/>
  </r>
  <r>
    <x v="56"/>
    <x v="0"/>
    <s v="CH"/>
    <s v="PA"/>
    <x v="1"/>
    <x v="3"/>
    <s v="Volcan"/>
    <s v="Romina"/>
    <s v="ING Detalle Sistema Ventilación"/>
    <x v="1"/>
    <s v="No Adjudicada"/>
    <s v="Licitación"/>
    <n v="2"/>
    <d v="2024-06-01T00:00:00"/>
    <s v="No"/>
    <s v="Selección empresa local"/>
  </r>
  <r>
    <x v="57"/>
    <x v="0"/>
    <s v="CH"/>
    <s v="PA"/>
    <x v="1"/>
    <x v="3"/>
    <s v="Volcan"/>
    <s v="Romina"/>
    <s v="ING Detalle Sistema Bombeo"/>
    <x v="1"/>
    <s v="No Adjudicada"/>
    <s v="Licitación"/>
    <n v="3"/>
    <d v="2024-04-01T00:00:00"/>
    <s v="No"/>
    <s v="Selección empresa local"/>
  </r>
  <r>
    <x v="58"/>
    <x v="0"/>
    <s v="OD"/>
    <s v="RM"/>
    <x v="1"/>
    <x v="2"/>
    <s v="ERG"/>
    <s v="-"/>
    <s v="Desarrollo plan LOM y plan de cierre"/>
    <x v="0"/>
    <s v="No Adjudicada"/>
    <s v="Licitación"/>
    <n v="12"/>
    <d v="2024-09-01T00:00:00"/>
    <s v="Si"/>
    <s v="Anulación de licitación"/>
  </r>
  <r>
    <x v="59"/>
    <x v="0"/>
    <s v="FR"/>
    <s v="FR"/>
    <x v="1"/>
    <x v="1"/>
    <s v="BCG"/>
    <s v="-"/>
    <s v="Apoyo consultivo  procesos de planificación minera"/>
    <x v="0"/>
    <s v="No Adjudicada"/>
    <s v="Solicitud Directa"/>
    <n v="1"/>
    <d v="2024-05-01T00:00:00"/>
    <s v="Si"/>
    <s v="Sin Información"/>
  </r>
  <r>
    <x v="60"/>
    <x v="1"/>
    <s v="CH"/>
    <s v="PA"/>
    <x v="1"/>
    <x v="3"/>
    <s v="Hoshschield"/>
    <s v="Inmaculada"/>
    <s v="Revisión Geotecnica de Juicio experto"/>
    <x v="1"/>
    <s v="No Adjudicada"/>
    <s v="Solicitud Directa"/>
    <n v="2"/>
    <d v="2024-05-01T00:00:00"/>
    <s v="No"/>
    <s v="Selección empresa local"/>
  </r>
  <r>
    <x v="61"/>
    <x v="1"/>
    <s v="CH"/>
    <s v="CH"/>
    <x v="1"/>
    <x v="3"/>
    <s v="Hoshschield"/>
    <s v="Inmaculada"/>
    <s v="Servicio de logeo geomecanico"/>
    <x v="1"/>
    <s v="No Adjudicada"/>
    <s v="Solicitud Directa"/>
    <n v="6"/>
    <d v="2024-05-01T00:00:00"/>
    <s v="No"/>
    <s v="Selección empresa local"/>
  </r>
  <r>
    <x v="62"/>
    <x v="0"/>
    <s v="MF"/>
    <s v="PA"/>
    <x v="0"/>
    <x v="3"/>
    <s v="Minsur"/>
    <s v="Raura"/>
    <s v="Apoyo MEIA Raura"/>
    <x v="1"/>
    <s v="Adjudicada"/>
    <s v="Solicitud Directa"/>
    <n v="1"/>
    <d v="2024-04-01T00:00:00"/>
    <s v="Si"/>
    <m/>
  </r>
  <r>
    <x v="63"/>
    <x v="0"/>
    <s v="ER"/>
    <s v="PA"/>
    <x v="0"/>
    <x v="1"/>
    <s v="Glencore"/>
    <s v="Lomas Bayas"/>
    <s v="Actualización y capacitación de los modelos MineHaul y MinePlan"/>
    <x v="0"/>
    <s v="Adjudicada"/>
    <s v="Solicitud Directa"/>
    <n v="2"/>
    <d v="2024-05-01T00:00:00"/>
    <s v="Si"/>
    <m/>
  </r>
  <r>
    <x v="64"/>
    <x v="0"/>
    <s v="PV"/>
    <s v="PA"/>
    <x v="1"/>
    <x v="4"/>
    <s v="EMX Royalty"/>
    <s v="Bunker Hill"/>
    <s v="Technical Review and Independent Value Assessment (Value@Risk) of Bunker Hill Operation "/>
    <x v="1"/>
    <s v="Adjudicada"/>
    <s v="Solicitud Directa"/>
    <n v="1"/>
    <d v="2024-06-01T00:00:00"/>
    <s v="Si"/>
    <s v="Anulación de licitación"/>
  </r>
  <r>
    <x v="65"/>
    <x v="0"/>
    <s v="AS"/>
    <s v="PA"/>
    <x v="0"/>
    <x v="0"/>
    <s v="Mosaic"/>
    <s v="Taquari Vassouras "/>
    <s v="Taquari Vassouras - Fase II - Planificación corto plazo (+Cpacitación Deswik&amp;Ventsim)"/>
    <x v="1"/>
    <s v="Adjudicada"/>
    <s v="Marco"/>
    <n v="1"/>
    <d v="2024-03-01T00:00:00"/>
    <s v="Si"/>
    <m/>
  </r>
  <r>
    <x v="66"/>
    <x v="0"/>
    <s v="ER"/>
    <s v="PA"/>
    <x v="1"/>
    <x v="4"/>
    <s v="Anglo Gold Ashanti"/>
    <s v="Merlin"/>
    <s v="Technical Expert Support_x000a_Merlin Conceptual Study"/>
    <x v="1"/>
    <s v="Adjudicada"/>
    <s v="Solicitud Directa"/>
    <n v="4"/>
    <d v="2024-05-01T00:00:00"/>
    <s v="Si"/>
    <s v="Selección empresa local"/>
  </r>
  <r>
    <x v="67"/>
    <x v="0"/>
    <s v="ER"/>
    <s v="MF"/>
    <x v="1"/>
    <x v="3"/>
    <s v="Minsur"/>
    <s v="Raura"/>
    <s v="Apoyo y mejoramiento de planeamiento de corto plazo"/>
    <x v="1"/>
    <s v="Adjudicada"/>
    <s v="Solicitud Directa"/>
    <n v="4"/>
    <d v="2024-06-01T00:00:00"/>
    <s v="Si"/>
    <m/>
  </r>
  <r>
    <x v="68"/>
    <x v="0"/>
    <s v="FR"/>
    <s v="PA"/>
    <x v="0"/>
    <x v="1"/>
    <s v="CMP"/>
    <s v="Tofo Norte"/>
    <s v="Revisión de estrategia Tofo Norte, modularizado"/>
    <x v="1"/>
    <s v="Adjudicada"/>
    <s v="Solicitud Directa"/>
    <n v="1"/>
    <d v="2024-06-01T00:00:00"/>
    <s v="Si"/>
    <m/>
  </r>
  <r>
    <x v="69"/>
    <x v="0"/>
    <s v="PV"/>
    <m/>
    <x v="0"/>
    <x v="4"/>
    <s v="EMX Royalty"/>
    <s v="Quilla Project"/>
    <s v="Metallurgical expert to perform a desktop review"/>
    <x v="1"/>
    <s v="Adjudicada"/>
    <s v="Solicitud Directa"/>
    <n v="1"/>
    <d v="2024-04-01T00:00:00"/>
    <s v="Si"/>
    <m/>
  </r>
  <r>
    <x v="70"/>
    <x v="0"/>
    <s v="FR"/>
    <s v="PA"/>
    <x v="0"/>
    <x v="1"/>
    <s v="CMP"/>
    <s v="Los Colorados"/>
    <s v="“Plan Minero Base Escenario Brownfield MLC"/>
    <x v="0"/>
    <s v="Adjudicada"/>
    <s v="Solicitud Directa"/>
    <n v="1"/>
    <d v="2024-05-01T00:00:00"/>
    <s v="Si"/>
    <m/>
  </r>
  <r>
    <x v="71"/>
    <x v="1"/>
    <s v="CH"/>
    <m/>
    <x v="0"/>
    <x v="3"/>
    <s v="Minsur"/>
    <s v="San Rafael"/>
    <s v=" Geomechanical Analyses of Mine Plan-Mejoramiento de Datos Geotécnicos _x000a_de Entrada y Refinamiento _x000a_Geométrico de Sólidos 3D"/>
    <x v="1"/>
    <s v="Adjudicada"/>
    <s v="Solicitud Directa"/>
    <n v="1"/>
    <d v="2024-05-01T00:00:00"/>
    <s v="Si"/>
    <m/>
  </r>
  <r>
    <x v="72"/>
    <x v="0"/>
    <s v="AZ"/>
    <s v="PA"/>
    <x v="1"/>
    <x v="3"/>
    <s v="Hudbay Perú S.A.C"/>
    <s v="Constancia"/>
    <s v="Análisis de Cumplimiento del Plan y Evaluación de Rutas de Alternativas"/>
    <x v="0"/>
    <s v="Adjudicada"/>
    <s v="Solicitud Directa"/>
    <n v="2"/>
    <d v="2024-08-01T00:00:00"/>
    <s v="Si"/>
    <m/>
  </r>
  <r>
    <x v="73"/>
    <x v="0"/>
    <s v="PV"/>
    <m/>
    <x v="0"/>
    <x v="4"/>
    <s v="Ivanhoe Electric"/>
    <s v="Santa Cruz"/>
    <s v="Mine planning support for PFS"/>
    <x v="1"/>
    <s v="Adjudicada"/>
    <s v="Solicitud Directa"/>
    <n v="3"/>
    <d v="2024-06-01T00:00:00"/>
    <s v="Si"/>
    <m/>
  </r>
  <r>
    <x v="74"/>
    <x v="0"/>
    <s v="AZ"/>
    <s v="PA"/>
    <x v="0"/>
    <x v="3"/>
    <s v="Sierra Metals"/>
    <s v="Yauricocha"/>
    <s v="Actualizar los diseños de labores y envolvente del Nivel 1320 al Nivel 1620"/>
    <x v="1"/>
    <s v="Adjudicada"/>
    <s v="Solicitud Directa"/>
    <n v="2"/>
    <d v="2024-06-01T00:00:00"/>
    <s v="Si"/>
    <m/>
  </r>
  <r>
    <x v="75"/>
    <x v="0"/>
    <s v="FR"/>
    <s v="PA"/>
    <x v="0"/>
    <x v="1"/>
    <s v="CMP"/>
    <s v="CNN, MLC"/>
    <s v="Apoyo LOM 2024 Faenas MLC y CNN"/>
    <x v="0"/>
    <s v="Adjudicada"/>
    <s v="Solicitud Directa"/>
    <n v="2"/>
    <d v="2024-05-01T00:00:00"/>
    <s v="Si"/>
    <m/>
  </r>
  <r>
    <x v="76"/>
    <x v="0"/>
    <s v="PV"/>
    <m/>
    <x v="0"/>
    <x v="4"/>
    <s v="EMX Royalty"/>
    <s v="Chapi"/>
    <s v="Due Diligence de Chapi (Quilla Resources)"/>
    <x v="0"/>
    <s v="Adjudicada"/>
    <s v="Solicitud Directa"/>
    <n v="2"/>
    <d v="2024-06-01T00:00:00"/>
    <s v="Si"/>
    <m/>
  </r>
  <r>
    <x v="77"/>
    <x v="0"/>
    <s v="PV"/>
    <m/>
    <x v="1"/>
    <x v="4"/>
    <s v="EMX Royalty"/>
    <s v="Anaconda Mining"/>
    <s v="Due Diligence de Goldboro Gold Project (Anaconda Mining)"/>
    <x v="1"/>
    <s v="Adjudicada"/>
    <s v="Solicitud Directa"/>
    <n v="2"/>
    <d v="2024-06-01T00:00:00"/>
    <s v="Si"/>
    <s v="Anulación de licitación"/>
  </r>
  <r>
    <x v="78"/>
    <x v="0"/>
    <s v="OD"/>
    <s v="RM"/>
    <x v="1"/>
    <x v="2"/>
    <s v="EVRAZ"/>
    <m/>
    <s v="Propuesta sistema de simulación"/>
    <x v="1"/>
    <s v="Adjudicada"/>
    <s v="Licitación"/>
    <n v="14"/>
    <d v="2024-08-01T00:00:00"/>
    <s v="No"/>
    <m/>
  </r>
  <r>
    <x v="79"/>
    <x v="0"/>
    <s v="MF"/>
    <s v="PA"/>
    <x v="0"/>
    <x v="3"/>
    <s v="Minsur"/>
    <s v="San Rafael"/>
    <s v="Proceso de actualización del LoM"/>
    <x v="1"/>
    <s v="Adjudicada"/>
    <s v="Solicitud Directa"/>
    <n v="2"/>
    <d v="2024-06-01T00:00:00"/>
    <s v="Si"/>
    <m/>
  </r>
  <r>
    <x v="80"/>
    <x v="0"/>
    <s v="MF"/>
    <s v="PA"/>
    <x v="0"/>
    <x v="3"/>
    <s v="Minsur"/>
    <s v="San Rafael"/>
    <s v="Evaluación de recursos marginales"/>
    <x v="1"/>
    <s v="Adjudicada"/>
    <s v="Solicitud Directa"/>
    <n v="2"/>
    <d v="2024-08-01T00:00:00"/>
    <s v="Si"/>
    <m/>
  </r>
  <r>
    <x v="81"/>
    <x v="0"/>
    <m/>
    <s v="PA"/>
    <x v="1"/>
    <x v="1"/>
    <s v="Minera Tres valles"/>
    <m/>
    <s v="Modelo de flujo gravitacional"/>
    <x v="1"/>
    <s v="Adjudicada"/>
    <s v="Solicitud Directa"/>
    <n v="2"/>
    <d v="2024-07-01T00:00:00"/>
    <s v="Si"/>
    <m/>
  </r>
  <r>
    <x v="82"/>
    <x v="0"/>
    <s v="AS"/>
    <s v="PA"/>
    <x v="0"/>
    <x v="0"/>
    <s v="Mosaic"/>
    <s v="Cajati"/>
    <s v="Metodologia para evaluar cumplimiento del plan con KPIs reales"/>
    <x v="1"/>
    <s v="Adjudicada"/>
    <s v="Solicitud Directa"/>
    <n v="2"/>
    <d v="2024-09-01T00:00:00"/>
    <s v="Si"/>
    <m/>
  </r>
  <r>
    <x v="83"/>
    <x v="0"/>
    <s v="AS"/>
    <s v="PA"/>
    <x v="0"/>
    <x v="0"/>
    <s v="J&amp;F"/>
    <m/>
    <s v="Due Diligence study for greenfield project in Brazil (Autazes Potash Project)"/>
    <x v="1"/>
    <s v="Adjudicada"/>
    <s v="Solicitud Directa"/>
    <n v="1"/>
    <d v="2024-06-01T00:00:00"/>
    <s v="Si"/>
    <m/>
  </r>
  <r>
    <x v="84"/>
    <x v="0"/>
    <m/>
    <s v="PA"/>
    <x v="0"/>
    <x v="1"/>
    <s v="BHP"/>
    <s v="Escondida"/>
    <s v="Modelo predictivo para Definir ubicación óptima de pozos de drenaje"/>
    <x v="1"/>
    <s v="Adjudicada"/>
    <s v="Solicitud Directa"/>
    <n v="2"/>
    <d v="2024-08-01T00:00:00"/>
    <s v="No"/>
    <m/>
  </r>
  <r>
    <x v="85"/>
    <x v="0"/>
    <s v="MM"/>
    <s v="PV"/>
    <x v="1"/>
    <x v="1"/>
    <s v="Codelco"/>
    <s v="DRT"/>
    <s v="Análisis y cuantificación de cobre en riesgo por expansión del OP"/>
    <x v="0"/>
    <s v="Adjudicada"/>
    <s v="Solicitud Directa"/>
    <n v="2"/>
    <d v="2024-08-01T00:00:00"/>
    <s v="Si"/>
    <m/>
  </r>
  <r>
    <x v="86"/>
    <x v="0"/>
    <s v="MM"/>
    <s v="PA"/>
    <x v="1"/>
    <x v="3"/>
    <s v="Minsur"/>
    <s v="-"/>
    <s v="Estandarización, control y seguimiento de KPIs/resultados de corto/mediano plazo para Minsur "/>
    <x v="1"/>
    <s v="Adjudicada"/>
    <s v="Solicitud Directa"/>
    <n v="4"/>
    <d v="2024-08-01T00:00:00"/>
    <s v="Si"/>
    <m/>
  </r>
  <r>
    <x v="87"/>
    <x v="0"/>
    <s v="AZ"/>
    <s v="PA"/>
    <x v="1"/>
    <x v="3"/>
    <s v="Buenaventura"/>
    <s v="El Brocal"/>
    <s v="Estudio de ingeniería de factibilidad para la Ampliación del Tajo Norte"/>
    <x v="0"/>
    <s v="Adjudicada"/>
    <s v="Licitación"/>
    <n v="3"/>
    <d v="2024-08-01T00:00:00"/>
    <s v="Si"/>
    <s v="Costos muy altos"/>
  </r>
  <r>
    <x v="88"/>
    <x v="0"/>
    <s v="AZ"/>
    <s v="PA"/>
    <x v="0"/>
    <x v="3"/>
    <s v="Minsur"/>
    <s v="Mina Justa"/>
    <s v="Estudio técnico – económico para fase de perfil proyecto achupallas"/>
    <x v="0"/>
    <s v="Adjudicada"/>
    <s v="Licitación"/>
    <n v="2"/>
    <d v="2024-08-01T00:00:00"/>
    <s v="Si"/>
    <m/>
  </r>
  <r>
    <x v="89"/>
    <x v="0"/>
    <s v="FR"/>
    <s v="PA"/>
    <x v="1"/>
    <x v="1"/>
    <s v="Codelco"/>
    <s v="DRT"/>
    <s v="REVISIÓN INDEPENDIENTE MODELO DE RECURSOS DRT"/>
    <x v="0"/>
    <s v="Adjudicada"/>
    <s v="Licitación"/>
    <n v="2"/>
    <d v="2024-08-01T00:00:00"/>
    <s v="No"/>
    <s v="Anulación de licitación"/>
  </r>
  <r>
    <x v="90"/>
    <x v="0"/>
    <s v="MM"/>
    <s v="PA"/>
    <x v="0"/>
    <x v="1"/>
    <s v="Codelco"/>
    <s v="DMH"/>
    <s v="Estudio Análisis Opciones de Vaciado Mineral Subterránea Vía Rajo Horizonte Corto-Mediano Plazo"/>
    <x v="0"/>
    <s v="Adjudicada"/>
    <s v="Licitación"/>
    <n v="3"/>
    <d v="2024-08-01T00:00:00"/>
    <s v="Si"/>
    <m/>
  </r>
  <r>
    <x v="91"/>
    <x v="0"/>
    <s v="OD"/>
    <s v="RM"/>
    <x v="1"/>
    <x v="2"/>
    <s v="Atlas Mining"/>
    <m/>
    <s v="Ing PFS Mina"/>
    <x v="0"/>
    <s v="Adjudicada"/>
    <s v="Licitación"/>
    <n v="6"/>
    <d v="2024-09-01T00:00:00"/>
    <s v="Si"/>
    <m/>
  </r>
  <r>
    <x v="92"/>
    <x v="1"/>
    <s v="OD"/>
    <s v="RM"/>
    <x v="1"/>
    <x v="2"/>
    <s v="Kuzbass"/>
    <s v="Ugol"/>
    <s v="Modelo 3d geologica de 2 yacimientos"/>
    <x v="0"/>
    <s v="Adjudicada"/>
    <s v="Licitación"/>
    <n v="12"/>
    <d v="2024-09-01T00:00:00"/>
    <s v="Si"/>
    <m/>
  </r>
  <r>
    <x v="93"/>
    <x v="0"/>
    <s v="FR"/>
    <m/>
    <x v="0"/>
    <x v="1"/>
    <s v="CMP"/>
    <s v="CNN"/>
    <s v="Upgrade Plan Minero CNN -_x000a_4.5 Mt Pellet Fee"/>
    <x v="0"/>
    <s v="Adjudicada"/>
    <s v="Solicitud Directa"/>
    <n v="3"/>
    <d v="2024-08-01T00:00:00"/>
    <s v="Si"/>
    <m/>
  </r>
  <r>
    <x v="94"/>
    <x v="0"/>
    <s v="FR"/>
    <s v="PA"/>
    <x v="0"/>
    <x v="1"/>
    <s v="BHP"/>
    <s v="Spence"/>
    <s v="Análisis de confiabilidad del plan LoA 2025-26"/>
    <x v="0"/>
    <s v="Adjudicada"/>
    <s v="Solicitud Directa"/>
    <n v="1"/>
    <d v="2024-08-01T00:00:00"/>
    <s v="Si"/>
    <m/>
  </r>
  <r>
    <x v="95"/>
    <x v="0"/>
    <s v="FR"/>
    <s v="CH"/>
    <x v="0"/>
    <x v="1"/>
    <s v="CMP"/>
    <s v="Algarrobo"/>
    <s v="Nuevos alcances: Proyecto Algarrobo Finos"/>
    <x v="0"/>
    <s v="Adjudicada"/>
    <s v="Solicitud Directa"/>
    <n v="10"/>
    <d v="2024-08-01T00:00:00"/>
    <s v="Si"/>
    <m/>
  </r>
  <r>
    <x v="96"/>
    <x v="0"/>
    <s v="MM"/>
    <s v="PA"/>
    <x v="1"/>
    <x v="1"/>
    <s v="Codelco"/>
    <s v="DET"/>
    <s v="ESTUDIO SISTEMA DE GESTIÓN PREMIN DET"/>
    <x v="1"/>
    <s v="Adjudicada"/>
    <s v="Licitación"/>
    <n v="6"/>
    <d v="2024-12-01T00:00:00"/>
    <s v="Si"/>
    <m/>
  </r>
  <r>
    <x v="97"/>
    <x v="0"/>
    <s v="PV"/>
    <m/>
    <x v="1"/>
    <x v="4"/>
    <s v="Cementation"/>
    <m/>
    <s v="Estimación de reservas, mine plan"/>
    <x v="0"/>
    <s v="Adjudicada"/>
    <s v="Solicitud Directa"/>
    <n v="6"/>
    <d v="2024-08-01T00:00:00"/>
    <s v="No"/>
    <m/>
  </r>
  <r>
    <x v="98"/>
    <x v="0"/>
    <s v="FR"/>
    <s v="PA"/>
    <x v="0"/>
    <x v="1"/>
    <s v="Lundin"/>
    <s v="Candelaria"/>
    <s v="Diagnóstico de gaps de planificación y operaciones (Foco en riesgos geomecánicos) "/>
    <x v="1"/>
    <s v="Adjudicada"/>
    <s v="Solicitud Directa"/>
    <n v="1"/>
    <d v="2024-09-01T00:00:00"/>
    <s v="Si"/>
    <m/>
  </r>
  <r>
    <x v="99"/>
    <x v="0"/>
    <s v="FR"/>
    <s v="PA"/>
    <x v="0"/>
    <x v="1"/>
    <s v="Lundin"/>
    <s v="Caserones"/>
    <s v="Evaluación opciones de mejora a través de nuevos criterios para definir los destinos óptimos y la estrategia de leyes de corte"/>
    <x v="1"/>
    <s v="Adjudicada"/>
    <s v="Solicitud Directa"/>
    <n v="3"/>
    <d v="2024-08-01T00:00:00"/>
    <s v="Si"/>
    <m/>
  </r>
  <r>
    <x v="100"/>
    <x v="0"/>
    <s v="AZ"/>
    <s v="PA"/>
    <x v="2"/>
    <x v="3"/>
    <s v="OCP"/>
    <s v="Cobriza"/>
    <s v="Diagnostico operaciónal y construcción de planes alternativos (Blue Sky y potencial)"/>
    <x v="1"/>
    <s v="Adjudicada"/>
    <s v="Licitación"/>
    <n v="3"/>
    <d v="2024-10-01T00:00:00"/>
    <s v="Si"/>
    <m/>
  </r>
  <r>
    <x v="101"/>
    <x v="0"/>
    <s v="FR"/>
    <s v="PA"/>
    <x v="0"/>
    <x v="1"/>
    <s v="CMP"/>
    <s v="CNN"/>
    <s v="Mejoras Operacionales CNN FEL3 (upgrade de la evaluación del proyecto de ampliación)"/>
    <x v="0"/>
    <s v="Adjudicada"/>
    <s v="Licitación"/>
    <n v="3"/>
    <d v="2024-10-01T00:00:00"/>
    <s v="Si"/>
    <m/>
  </r>
  <r>
    <x v="102"/>
    <x v="0"/>
    <s v="PV"/>
    <s v="PA"/>
    <x v="0"/>
    <x v="4"/>
    <s v="Twin Metals"/>
    <s v="Birch Lake - Maturi "/>
    <s v="Prefactibilidad para el conjunto Birch Lake - Maturi"/>
    <x v="1"/>
    <s v="Adjudicada"/>
    <s v="Solicitud Directa"/>
    <n v="6"/>
    <d v="2025-01-01T00:00:00"/>
    <s v="Si"/>
    <m/>
  </r>
  <r>
    <x v="103"/>
    <x v="0"/>
    <s v="AS"/>
    <s v="PA"/>
    <x v="0"/>
    <x v="0"/>
    <s v="Lhg"/>
    <s v="Autazes"/>
    <s v="Taller y evaluación de información en contexto de riesgos y oportunidades"/>
    <x v="1"/>
    <s v="Adjudicada"/>
    <s v="Solicitud Directa"/>
    <n v="1"/>
    <d v="2024-08-01T00:00:00"/>
    <s v="Si"/>
    <m/>
  </r>
  <r>
    <x v="104"/>
    <x v="0"/>
    <s v="OD"/>
    <s v="PA"/>
    <x v="1"/>
    <x v="2"/>
    <s v="Seligdar"/>
    <s v="Seligdar"/>
    <s v="Construccion de wireframes de cuerpo mineral y modelos de bloque de 2 yacimientos: Nerundinskoye y Mukodek"/>
    <x v="1"/>
    <s v="Adjudicada"/>
    <s v="Solicitud Directa"/>
    <n v="3"/>
    <d v="2024-10-01T00:00:00"/>
    <s v="Si"/>
    <m/>
  </r>
  <r>
    <x v="105"/>
    <x v="0"/>
    <s v="AZ"/>
    <s v="PA"/>
    <x v="2"/>
    <x v="3"/>
    <s v="Las Bambas"/>
    <s v="Ferrobamba"/>
    <s v="PFS Ferrobamba Deep"/>
    <x v="1"/>
    <s v="Adjudicada"/>
    <s v="Licitación"/>
    <n v="13"/>
    <d v="2024-10-01T00:00:00"/>
    <s v="Si"/>
    <m/>
  </r>
  <r>
    <x v="106"/>
    <x v="0"/>
    <s v="ER"/>
    <s v="PA"/>
    <x v="0"/>
    <x v="1"/>
    <s v="AMSA"/>
    <s v="Centinela"/>
    <s v="Trade Off Tecnologias de manejo de materiales"/>
    <x v="0"/>
    <s v="Adjudicada"/>
    <s v="Licitación"/>
    <n v="24"/>
    <d v="2024-10-01T00:00:00"/>
    <s v="Si"/>
    <m/>
  </r>
  <r>
    <x v="107"/>
    <x v="0"/>
    <s v="ER"/>
    <s v="PA"/>
    <x v="0"/>
    <x v="1"/>
    <s v="Capstone Copper"/>
    <s v="Sierra Norte"/>
    <s v="Ing Conceptual: Estudio Extensión Sierra Norte"/>
    <x v="0"/>
    <s v="Adjudicada"/>
    <s v="Solicitud Directa"/>
    <n v="5"/>
    <d v="2024-10-01T00:00:00"/>
    <s v="Si"/>
    <m/>
  </r>
  <r>
    <x v="108"/>
    <x v="0"/>
    <s v="PA"/>
    <s v="PA"/>
    <x v="1"/>
    <x v="1"/>
    <s v="Carola"/>
    <s v="Carola"/>
    <s v="Apoyo en la planificación de Corto Plazo (SIMPREP)"/>
    <x v="1"/>
    <s v="Adjudicada"/>
    <s v="Solicitud Directa"/>
    <n v="4"/>
    <d v="2024-10-01T00:00:00"/>
    <s v="Si"/>
    <m/>
  </r>
  <r>
    <x v="109"/>
    <x v="0"/>
    <s v="MM"/>
    <s v="PA"/>
    <x v="0"/>
    <x v="1"/>
    <s v="Codelco"/>
    <s v="DMH"/>
    <s v="INGENIERÍA EXPLORATORIA DEL PROYECTO DMH NORTE"/>
    <x v="1"/>
    <s v="Adjudicada"/>
    <s v="Licitación"/>
    <n v="3"/>
    <d v="2024-11-01T00:00:00"/>
    <s v="Si"/>
    <m/>
  </r>
  <r>
    <x v="110"/>
    <x v="0"/>
    <s v="CH"/>
    <s v="PA"/>
    <x v="1"/>
    <x v="3"/>
    <s v="Sierra Metals"/>
    <s v="Yauricocha"/>
    <s v="ESTUDIO DE VENTILACIÓN UNIDAD MINERA YAURICOCHA"/>
    <x v="1"/>
    <s v="Adjudicada"/>
    <s v="Licitación"/>
    <n v="6"/>
    <d v="2024-10-01T00:00:00"/>
    <s v="No"/>
    <m/>
  </r>
  <r>
    <x v="111"/>
    <x v="0"/>
    <s v="OD"/>
    <s v="FR"/>
    <x v="1"/>
    <x v="2"/>
    <s v="Highland Gold"/>
    <s v="Taleveem mine"/>
    <s v="Scoping Study"/>
    <x v="0"/>
    <s v="Adjudicada"/>
    <s v="Solicitud Directa"/>
    <n v="3"/>
    <d v="2024-12-01T00:00:00"/>
    <s v="Si"/>
    <m/>
  </r>
  <r>
    <x v="112"/>
    <x v="0"/>
    <s v="OD"/>
    <s v="FR"/>
    <x v="1"/>
    <x v="2"/>
    <s v="Highland Gold"/>
    <s v="Valunisty mine"/>
    <s v="PFS OP"/>
    <x v="0"/>
    <s v="Adjudicada"/>
    <s v="Solicitud Directa"/>
    <n v="6"/>
    <d v="2024-12-01T00:00:00"/>
    <s v="Si"/>
    <m/>
  </r>
  <r>
    <x v="113"/>
    <x v="0"/>
    <s v="AS"/>
    <s v="FR"/>
    <x v="2"/>
    <x v="0"/>
    <s v="Vale"/>
    <s v="Gongo Soco"/>
    <s v="Estudio Conceptual"/>
    <x v="0"/>
    <s v="Adjudicada"/>
    <s v="Solicitud Directa"/>
    <n v="3"/>
    <d v="2024-12-01T00:00:00"/>
    <s v="Si"/>
    <m/>
  </r>
  <r>
    <x v="114"/>
    <x v="0"/>
    <s v="AS"/>
    <s v="FR"/>
    <x v="0"/>
    <x v="0"/>
    <s v="Mosaic"/>
    <s v="CTV"/>
    <s v="Proyecto integral CTV Fase 2"/>
    <x v="1"/>
    <s v="Adjudicada"/>
    <s v="Solicitud Directa"/>
    <n v="6"/>
    <d v="2024-12-01T00:00:00"/>
    <s v="Si"/>
    <m/>
  </r>
  <r>
    <x v="115"/>
    <x v="0"/>
    <s v="FR"/>
    <s v="PA"/>
    <x v="0"/>
    <x v="3"/>
    <s v="Minera Hampton"/>
    <s v="Los Calatos"/>
    <s v="Los Calatos Pre-FP Study (V3)"/>
    <x v="1"/>
    <s v="Adjudicada"/>
    <s v="Solicitud Directa"/>
    <n v="6"/>
    <d v="2024-12-01T00:00:00"/>
    <s v="Si"/>
    <m/>
  </r>
  <r>
    <x v="116"/>
    <x v="0"/>
    <s v="AZ"/>
    <s v="AS"/>
    <x v="1"/>
    <x v="3"/>
    <s v="Hudbay Perú S.A.C"/>
    <s v="Constancia"/>
    <s v="Estudio de Factibilidad del WRF y Tajo Constancia para la 4ta MEIA"/>
    <x v="0"/>
    <s v="Adjudicada"/>
    <s v="Licitación"/>
    <n v="3"/>
    <d v="2024-12-01T00:00:00"/>
    <s v="Si"/>
    <m/>
  </r>
  <r>
    <x v="117"/>
    <x v="0"/>
    <s v="PV"/>
    <m/>
    <x v="1"/>
    <x v="4"/>
    <s v="Highland Copper"/>
    <s v="Copperword"/>
    <s v="FS STUDY"/>
    <x v="1"/>
    <s v="Adjudicada"/>
    <s v="Licitación"/>
    <n v="12"/>
    <d v="2024-12-01T00:00:00"/>
    <s v="No"/>
    <m/>
  </r>
  <r>
    <x v="118"/>
    <x v="0"/>
    <s v="FR"/>
    <m/>
    <x v="0"/>
    <x v="3"/>
    <s v="Buenaventura"/>
    <s v="Tantahuatay"/>
    <s v="servicio de capacitación en DBS y SIMPLAN"/>
    <x v="0"/>
    <s v="Adjudicada"/>
    <s v="Solicitud Directa"/>
    <n v="2"/>
    <d v="2024-10-01T00:00:00"/>
    <s v="Si"/>
    <m/>
  </r>
  <r>
    <x v="119"/>
    <x v="0"/>
    <s v="MM"/>
    <m/>
    <x v="0"/>
    <x v="1"/>
    <s v="Codelco"/>
    <m/>
    <s v="SERVICIO DE APOYO A LA DOCUMENTACIÓN DE PRACTICAS DE PLANIFICACIÓN DE CORTO PLAZO Y SU NORMATIVA INTERNA"/>
    <x v="1"/>
    <s v="Adjudicada"/>
    <s v="Licitación"/>
    <n v="3"/>
    <m/>
    <s v="Si"/>
    <m/>
  </r>
  <r>
    <x v="120"/>
    <x v="0"/>
    <s v="OD"/>
    <s v="PV"/>
    <x v="2"/>
    <x v="2"/>
    <s v="EMCO"/>
    <m/>
    <s v="Optimización de rutas de transporte, Simulación, Modelos geotécnico y monitoreo "/>
    <x v="1"/>
    <s v="Adjudicada"/>
    <s v="Licitación"/>
    <n v="3"/>
    <m/>
    <s v="No"/>
    <m/>
  </r>
  <r>
    <x v="121"/>
    <x v="0"/>
    <s v="FR"/>
    <m/>
    <x v="0"/>
    <x v="1"/>
    <s v="CMP"/>
    <s v="Tofo Norte"/>
    <s v="Actualización tamaño negocio Tofo Norte"/>
    <x v="1"/>
    <s v="Adjudicada"/>
    <s v="Solicitud Directa"/>
    <n v="3"/>
    <m/>
    <s v="Si"/>
    <m/>
  </r>
  <r>
    <x v="122"/>
    <x v="0"/>
    <s v="RM"/>
    <m/>
    <x v="1"/>
    <x v="1"/>
    <s v="Seprocal"/>
    <m/>
    <s v="Ingenieria de detalle de fortificación de piques"/>
    <x v="1"/>
    <s v="Adjudicada"/>
    <s v="Solicitud Directa"/>
    <n v="3"/>
    <m/>
    <s v="No"/>
    <m/>
  </r>
  <r>
    <x v="123"/>
    <x v="0"/>
    <s v="MM"/>
    <m/>
    <x v="0"/>
    <x v="1"/>
    <s v="Codelco"/>
    <m/>
    <s v="Actualización de la normativa de reportabilidad de reservas y recursos"/>
    <x v="0"/>
    <s v="Adjudicada"/>
    <s v="Licitación"/>
    <n v="1"/>
    <m/>
    <s v="Si"/>
    <m/>
  </r>
  <r>
    <x v="124"/>
    <x v="0"/>
    <s v="CH"/>
    <m/>
    <x v="2"/>
    <x v="1"/>
    <s v="CMP"/>
    <s v="Algarrobo"/>
    <s v="Evaluación caso de negocio explotación SLS"/>
    <x v="1"/>
    <s v="Adjudicada"/>
    <s v="Solicitud Directa"/>
    <n v="3"/>
    <m/>
    <s v="Si"/>
    <m/>
  </r>
  <r>
    <x v="125"/>
    <x v="0"/>
    <s v="PV"/>
    <m/>
    <x v="2"/>
    <x v="4"/>
    <s v="Rio Tinto"/>
    <s v="Oyu Tolgoi"/>
    <s v="Soporte caso de litigio Rio Tinto vs Gobierno Mongolia"/>
    <x v="1"/>
    <s v="Adjudicada"/>
    <s v="Solicitud Directa"/>
    <n v="3"/>
    <m/>
    <s v="Si"/>
    <m/>
  </r>
  <r>
    <x v="126"/>
    <x v="1"/>
    <s v="AS"/>
    <m/>
    <x v="2"/>
    <x v="0"/>
    <s v="Vale"/>
    <m/>
    <s v="Servicio IQS para nueve assets"/>
    <x v="0"/>
    <s v="Adjudicada"/>
    <s v="Licitación"/>
    <n v="24"/>
    <m/>
    <s v="No"/>
    <m/>
  </r>
  <r>
    <x v="127"/>
    <x v="0"/>
    <s v="OD"/>
    <s v="PA"/>
    <x v="0"/>
    <x v="2"/>
    <s v="Atlas Mining"/>
    <m/>
    <s v="Construcción de modelo Geologico y de Recursos"/>
    <x v="0"/>
    <s v="Adjudicada"/>
    <s v="Licitación"/>
    <n v="2"/>
    <m/>
    <s v="Si"/>
    <m/>
  </r>
  <r>
    <x v="128"/>
    <x v="0"/>
    <s v="OD"/>
    <s v="PA"/>
    <x v="2"/>
    <x v="2"/>
    <s v="Atlas Mining"/>
    <m/>
    <s v="Plan LOM de distintas estrategias de crecimiento de la planta"/>
    <x v="0"/>
    <s v="Adjudicada"/>
    <s v="Licitación"/>
    <n v="2"/>
    <m/>
    <s v="Si"/>
    <m/>
  </r>
  <r>
    <x v="129"/>
    <x v="0"/>
    <s v="AS"/>
    <s v="PA"/>
    <x v="0"/>
    <x v="0"/>
    <s v="Aura Minerals"/>
    <m/>
    <s v="Estudio transición OP/UG: Lom estrategico UG"/>
    <x v="1"/>
    <n v="224000"/>
    <s v="Solicitud Directa"/>
    <n v="3"/>
    <m/>
    <s v="Si"/>
    <m/>
  </r>
  <r>
    <x v="130"/>
    <x v="0"/>
    <s v="MF"/>
    <s v="PA"/>
    <x v="2"/>
    <x v="1"/>
    <s v="CAP"/>
    <s v="Guarelo"/>
    <s v="Estudio integral de LOM Mina Guarelo: Acompañamiento desde el plan de captura de información hasta el LOM"/>
    <x v="0"/>
    <n v="60000"/>
    <s v="Solicitud Directa"/>
    <n v="24"/>
    <m/>
    <s v="Si"/>
    <m/>
  </r>
  <r>
    <x v="131"/>
    <x v="0"/>
    <s v="PA"/>
    <s v="PA"/>
    <x v="1"/>
    <x v="3"/>
    <s v="Minera Reliquias"/>
    <m/>
    <s v="Due Diligence Mina-Planta"/>
    <x v="1"/>
    <n v="250000"/>
    <s v="Solicitud Directa"/>
    <n v="1"/>
    <m/>
    <s v="Si"/>
    <m/>
  </r>
  <r>
    <x v="132"/>
    <x v="0"/>
    <s v="PA"/>
    <s v="PA"/>
    <x v="1"/>
    <x v="1"/>
    <s v="Anglo American"/>
    <s v="Andina"/>
    <s v="Due Diligence Higlevel  Mina-Planta-Infraestrutura de Andina"/>
    <x v="1"/>
    <n v="150000"/>
    <s v="Solicitud Directa"/>
    <n v="1"/>
    <m/>
    <s v="Si"/>
    <m/>
  </r>
  <r>
    <x v="133"/>
    <x v="0"/>
    <s v="MM"/>
    <m/>
    <x v="0"/>
    <x v="1"/>
    <s v="Codelco"/>
    <s v="DRT"/>
    <s v="Servicio de Estándar y Procedimiento Cierre Topográfico"/>
    <x v="0"/>
    <n v="38000"/>
    <s v="Licitación"/>
    <n v="3"/>
    <m/>
    <s v="No"/>
    <m/>
  </r>
  <r>
    <x v="134"/>
    <x v="0"/>
    <s v="PV"/>
    <s v="PA"/>
    <x v="2"/>
    <x v="4"/>
    <s v="McCarthy Abogados"/>
    <s v="Alio Gold"/>
    <s v="Technical Expert Support of the plaintiff’s allegation to Alio Gold Inc"/>
    <x v="1"/>
    <n v="340000"/>
    <s v="Solicitud Directa"/>
    <n v="3"/>
    <m/>
    <s v="Si"/>
    <m/>
  </r>
  <r>
    <x v="135"/>
    <x v="0"/>
    <s v="MF"/>
    <s v="PA"/>
    <x v="2"/>
    <x v="3"/>
    <s v="Minsur"/>
    <s v="San Rafael"/>
    <s v="Preparación IV MEIA San German"/>
    <x v="1"/>
    <n v="240000"/>
    <s v="Solicitud Directa"/>
    <n v="3"/>
    <m/>
    <s v="Si"/>
    <m/>
  </r>
  <r>
    <x v="136"/>
    <x v="0"/>
    <s v="PA"/>
    <s v="PA"/>
    <x v="2"/>
    <x v="3"/>
    <s v="Volcan"/>
    <m/>
    <s v="Revisión de validación reportes R&amp;R (15 assets)"/>
    <x v="1"/>
    <n v="220000"/>
    <s v="Licitación"/>
    <n v="2"/>
    <m/>
    <s v="Si"/>
    <m/>
  </r>
  <r>
    <x v="137"/>
    <x v="0"/>
    <s v="PA"/>
    <s v="PA"/>
    <x v="0"/>
    <x v="1"/>
    <s v="BHP"/>
    <s v="Cerro Colorado"/>
    <s v="Ing de factibilidad: Diseño de botaderos"/>
    <x v="0"/>
    <n v="450000"/>
    <s v="Licitación"/>
    <n v="5"/>
    <m/>
    <s v="Si"/>
    <m/>
  </r>
  <r>
    <x v="138"/>
    <x v="0"/>
    <s v="RM"/>
    <s v="PA"/>
    <x v="2"/>
    <x v="1"/>
    <s v="Anglo American"/>
    <s v="Los Bronces"/>
    <s v="Ing. Pre factibilidad perforación DHH"/>
    <x v="0"/>
    <n v="180000"/>
    <s v="Solicitud Directa"/>
    <n v="4"/>
    <m/>
    <s v="No"/>
    <m/>
  </r>
  <r>
    <x v="139"/>
    <x v="0"/>
    <s v="PV"/>
    <s v="PV"/>
    <x v="0"/>
    <x v="4"/>
    <s v="BHP"/>
    <s v="Resolution"/>
    <s v="Soporte en diseño y planificación"/>
    <x v="1"/>
    <n v="260000"/>
    <s v="Solicitud Directa"/>
    <n v="4"/>
    <m/>
    <s v="Si"/>
    <m/>
  </r>
  <r>
    <x v="140"/>
    <x v="0"/>
    <s v="FR"/>
    <s v="FR"/>
    <x v="0"/>
    <x v="1"/>
    <s v="BCG"/>
    <s v="Codelco"/>
    <s v="Evaluación de la planificación de Codelco"/>
    <x v="0"/>
    <n v="30000"/>
    <s v="Solicitud Directa"/>
    <n v="1"/>
    <m/>
    <s v="Si"/>
    <m/>
  </r>
  <r>
    <x v="141"/>
    <x v="0"/>
    <s v="ER"/>
    <s v="PA"/>
    <x v="3"/>
    <x v="1"/>
    <s v="Capstone Copper"/>
    <m/>
    <s v="Sistema Integrado de Gestión de Riesgos Geotécnicos "/>
    <x v="0"/>
    <n v="900000"/>
    <s v="Solicitud Directa"/>
    <n v="12"/>
    <m/>
    <s v="No"/>
    <m/>
  </r>
  <r>
    <x v="142"/>
    <x v="0"/>
    <s v="PA"/>
    <s v="PA"/>
    <x v="3"/>
    <x v="1"/>
    <s v="Lundin"/>
    <s v="Candelaria"/>
    <s v="Ing Basica MHD UG"/>
    <x v="1"/>
    <n v="450000"/>
    <s v="Licitación"/>
    <n v="8"/>
    <m/>
    <s v="No"/>
    <m/>
  </r>
  <r>
    <x v="143"/>
    <x v="0"/>
    <s v="PA"/>
    <s v="PA"/>
    <x v="2"/>
    <x v="1"/>
    <s v="First Quantum"/>
    <s v="Cobre Panama"/>
    <s v="Lom estrategico "/>
    <x v="0"/>
    <n v="200000"/>
    <s v="Solicitud Directa"/>
    <n v="3"/>
    <m/>
    <s v="Si"/>
    <m/>
  </r>
  <r>
    <x v="144"/>
    <x v="0"/>
    <s v="MF"/>
    <s v="MF"/>
    <x v="0"/>
    <x v="3"/>
    <s v="Minsur"/>
    <s v="Raura"/>
    <s v="Análisis y Sustento LOM 25"/>
    <x v="1"/>
    <n v="50000"/>
    <s v="Solicitud Directa"/>
    <n v="3"/>
    <m/>
    <s v="Si"/>
    <m/>
  </r>
  <r>
    <x v="145"/>
    <x v="0"/>
    <s v="FR"/>
    <s v="FR"/>
    <x v="2"/>
    <x v="1"/>
    <s v="Anglo American"/>
    <s v="Los Bronces"/>
    <s v="Estudio de productividad"/>
    <x v="0"/>
    <n v="100000"/>
    <s v="Solicitud Directa"/>
    <n v="3"/>
    <m/>
    <s v="Si"/>
    <m/>
  </r>
  <r>
    <x v="146"/>
    <x v="0"/>
    <s v="PA"/>
    <s v="PA"/>
    <x v="2"/>
    <x v="1"/>
    <s v="BHP"/>
    <s v="Spence"/>
    <s v="Análisis de confiabilidad y detección de cuellos de botella del LoA 25 – Proyecto SCUT"/>
    <x v="0"/>
    <n v="45000"/>
    <s v="Solicitud Directa"/>
    <n v="1"/>
    <m/>
    <s v="Si"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  <r>
    <x v="147"/>
    <x v="2"/>
    <m/>
    <m/>
    <x v="4"/>
    <x v="5"/>
    <m/>
    <m/>
    <m/>
    <x v="2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s v="ING"/>
    <s v="AS"/>
    <m/>
    <x v="0"/>
    <s v="Brasil"/>
    <s v="Mosaic"/>
    <s v="Cajati"/>
    <s v="Contrato Mosaic CAJ Optimización OP"/>
    <s v="OP"/>
    <n v="78846.600000000006"/>
    <s v="Marco"/>
    <n v="5"/>
    <x v="0"/>
    <s v="Si"/>
    <m/>
  </r>
  <r>
    <x v="1"/>
    <s v="ING"/>
    <s v="AS"/>
    <m/>
    <x v="0"/>
    <s v="Brasil"/>
    <s v="J&amp;F"/>
    <s v="Mina Urucum"/>
    <s v="Recuperación de Pilares Mina Urucum"/>
    <s v="UG"/>
    <n v="263238.40000000002"/>
    <s v="Solicitud Directa"/>
    <n v="8"/>
    <x v="1"/>
    <s v="Si"/>
    <m/>
  </r>
  <r>
    <x v="2"/>
    <s v="ING"/>
    <s v="RM"/>
    <m/>
    <x v="0"/>
    <s v="Chile"/>
    <s v="Lundin"/>
    <s v="Candelaria"/>
    <s v="Ingeniería de valor para Robustecer el Proyecto CUGEP"/>
    <s v="UG"/>
    <n v="200000"/>
    <s v="Solicitud Directa"/>
    <n v="3"/>
    <x v="2"/>
    <s v="Si"/>
    <m/>
  </r>
  <r>
    <x v="3"/>
    <s v="ING"/>
    <s v="FR"/>
    <m/>
    <x v="0"/>
    <s v="Chile"/>
    <s v="AMSA"/>
    <s v="Centinela"/>
    <s v="Mejoramiento Plan 2024 y de Performance de Cumplimiento para Minera Centinela"/>
    <m/>
    <n v="225000"/>
    <s v="Solicitud Directa"/>
    <n v="4"/>
    <x v="3"/>
    <s v="Si"/>
    <m/>
  </r>
  <r>
    <x v="4"/>
    <s v="ING"/>
    <s v="PV"/>
    <m/>
    <x v="0"/>
    <s v="Chile"/>
    <s v="BHP"/>
    <s v="MEL"/>
    <s v="ESTUDIO FEL -1 DE OPCIONES DE ACCESO EXPLORATORIO - ESCONDIDA EAST DEEP "/>
    <s v="OP"/>
    <n v="200000"/>
    <s v="Solicitud Directa"/>
    <n v="4"/>
    <x v="4"/>
    <s v="Si"/>
    <m/>
  </r>
  <r>
    <x v="5"/>
    <s v="GEOT"/>
    <s v="CH"/>
    <m/>
    <x v="0"/>
    <s v="Chile"/>
    <s v="CEOM/Hoshschield"/>
    <s v="Inmaculada"/>
    <s v="Asesoría Técnica para la Identificación de Oportunidades de Mejora para Incremento de Producción Mina"/>
    <s v="UG"/>
    <n v="54000"/>
    <s v="Solicitud Directa"/>
    <n v="1"/>
    <x v="3"/>
    <s v="Si"/>
    <m/>
  </r>
  <r>
    <x v="6"/>
    <s v="ING"/>
    <s v="OD"/>
    <m/>
    <x v="0"/>
    <s v="Rusia"/>
    <s v="Seligdar"/>
    <s v="Kyuchus"/>
    <s v="Execution of the Pre-Feasibility Study for the Kyuchus Mining Project"/>
    <s v="UG"/>
    <n v="4339980"/>
    <s v="Licitación"/>
    <n v="14"/>
    <x v="1"/>
    <s v="No"/>
    <m/>
  </r>
  <r>
    <x v="7"/>
    <s v="GEOT"/>
    <s v="CH"/>
    <m/>
    <x v="0"/>
    <s v="Brasil"/>
    <s v="Mosaic"/>
    <s v="Cajati"/>
    <s v="Actualizacion analisis de Estabilidad OP"/>
    <s v="OP"/>
    <n v="90000"/>
    <s v="Marco"/>
    <n v="3"/>
    <x v="5"/>
    <s v="Si"/>
    <m/>
  </r>
  <r>
    <x v="8"/>
    <s v="ING"/>
    <s v="FR"/>
    <m/>
    <x v="0"/>
    <s v="Chile"/>
    <s v="MCI"/>
    <s v="Los Bronces"/>
    <s v="Los Bronces Mine Plan Review"/>
    <s v="OP"/>
    <n v="239000"/>
    <s v="Solicitud Directa"/>
    <n v="4"/>
    <x v="5"/>
    <s v="Si"/>
    <m/>
  </r>
  <r>
    <x v="9"/>
    <s v="ING"/>
    <s v="FR"/>
    <m/>
    <x v="0"/>
    <s v="Chile"/>
    <s v="CMP"/>
    <s v="Romeral"/>
    <s v="Acompañamiento y ing para puesta en marcha de mina SLS Romeral"/>
    <s v="OP"/>
    <n v="840000"/>
    <s v="Solicitud Directa"/>
    <n v="12"/>
    <x v="5"/>
    <s v="Si"/>
    <m/>
  </r>
  <r>
    <x v="10"/>
    <s v="ING"/>
    <s v="MM"/>
    <m/>
    <x v="1"/>
    <s v="Chile"/>
    <s v="Lundin"/>
    <s v="Candelaria"/>
    <s v="Mejoras operacionales (Simprep y optimización P&amp;T subterranea)"/>
    <s v="UG"/>
    <s v="-"/>
    <s v="Solicitud Directa"/>
    <n v="3"/>
    <x v="6"/>
    <s v="Si"/>
    <m/>
  </r>
  <r>
    <x v="11"/>
    <s v="ING"/>
    <s v="RM"/>
    <s v="PA"/>
    <x v="1"/>
    <s v="Chile"/>
    <s v="Zublin - Strabag"/>
    <s v="Teniente"/>
    <s v="Aplicación Simprep en proyecto diamante"/>
    <s v="UG"/>
    <n v="130000"/>
    <s v="Solicitud Directa"/>
    <n v="4"/>
    <x v="7"/>
    <s v="Si"/>
    <m/>
  </r>
  <r>
    <x v="12"/>
    <s v="ING"/>
    <s v="OD"/>
    <m/>
    <x v="1"/>
    <s v="Rusia"/>
    <s v="KMARUDA"/>
    <s v="Planta N°3"/>
    <s v="Elaboración de PFS Y ING de detalle para la planta de procesamiento N°3"/>
    <s v="OP"/>
    <s v="-"/>
    <s v="Solicitud Directa"/>
    <n v="12"/>
    <x v="7"/>
    <s v="No"/>
    <s v="Sin Información"/>
  </r>
  <r>
    <x v="13"/>
    <s v="ING"/>
    <s v="AZ"/>
    <m/>
    <x v="0"/>
    <s v="Perú"/>
    <s v="Glencore"/>
    <s v="Coroccohuayco"/>
    <s v="Estudios Mineros para la PFS"/>
    <s v="OP"/>
    <n v="196600"/>
    <s v="Licitación"/>
    <n v="3"/>
    <x v="2"/>
    <s v="Si"/>
    <m/>
  </r>
  <r>
    <x v="14"/>
    <s v="ING"/>
    <s v="PV"/>
    <m/>
    <x v="0"/>
    <s v="EEUU"/>
    <s v="McCarthy Abogados"/>
    <s v="-"/>
    <s v="Servicio de apoyo experto para defensa de Rio Tinto en Litigio en su contra"/>
    <s v="UG"/>
    <n v="612000"/>
    <s v="Solicitud Directa"/>
    <n v="5"/>
    <x v="4"/>
    <s v="Si"/>
    <m/>
  </r>
  <r>
    <x v="15"/>
    <s v="ING"/>
    <s v="PV"/>
    <m/>
    <x v="1"/>
    <s v="EEUU"/>
    <s v="Ivanhoe Electric"/>
    <s v="Santa Cruz"/>
    <s v="Estudio PFS"/>
    <s v="UG"/>
    <n v="800000"/>
    <s v="Solicitud Directa"/>
    <n v="12"/>
    <x v="7"/>
    <s v="Si"/>
    <s v="Estrategia no Adecuada"/>
  </r>
  <r>
    <x v="16"/>
    <s v="GEOT"/>
    <s v="CH"/>
    <m/>
    <x v="1"/>
    <s v="Chile"/>
    <s v="Lundin"/>
    <s v="Candelaria"/>
    <s v="Actualización Modelo Geomecánico LOM/Corto Plazo"/>
    <s v="UG"/>
    <n v="250000"/>
    <s v="Solicitud Directa"/>
    <n v="6"/>
    <x v="7"/>
    <s v="Si"/>
    <s v="Sin Información"/>
  </r>
  <r>
    <x v="17"/>
    <s v="ING"/>
    <s v="OD"/>
    <m/>
    <x v="1"/>
    <s v="Rusia"/>
    <s v="Evraz"/>
    <s v="-"/>
    <s v="Selección de equipos mineros"/>
    <s v="UG"/>
    <n v="725000"/>
    <s v="Solicitud Directa"/>
    <n v="3"/>
    <x v="7"/>
    <s v="Si"/>
    <s v="Sin Información"/>
  </r>
  <r>
    <x v="18"/>
    <s v="ING"/>
    <s v="PV"/>
    <m/>
    <x v="1"/>
    <s v="EEUU"/>
    <s v="Ivanhoe Electric"/>
    <s v="Alacran"/>
    <s v="Asistencia de revisiones y supervisión de Ing. De Detalle de la planta del proyecto Alacran de Cordoba Mining"/>
    <s v="UG"/>
    <n v="1650000"/>
    <s v="Solicitud Directa"/>
    <n v="12"/>
    <x v="4"/>
    <s v="Si"/>
    <s v="Sin Información"/>
  </r>
  <r>
    <x v="19"/>
    <s v="ING"/>
    <s v="FR"/>
    <s v="FR"/>
    <x v="1"/>
    <s v="Chile"/>
    <s v="Norte Abierto SpA"/>
    <s v="Cerro Casale"/>
    <s v="Optimización de Pit y Diseño de Fase"/>
    <s v="OP"/>
    <n v="317000"/>
    <s v="Licitación"/>
    <n v="4"/>
    <x v="2"/>
    <s v="Si"/>
    <s v="Costos muy altos"/>
  </r>
  <r>
    <x v="20"/>
    <s v="ING"/>
    <s v="RM"/>
    <m/>
    <x v="1"/>
    <s v="Chile"/>
    <s v="Las Cenizas"/>
    <s v="El Sauce"/>
    <s v="Optimización del desarrollo (Simprep)"/>
    <s v="UG"/>
    <n v="60000"/>
    <s v="Solicitud Directa"/>
    <n v="3"/>
    <x v="4"/>
    <s v="Si"/>
    <s v="Costos muy altos"/>
  </r>
  <r>
    <x v="21"/>
    <s v="ING"/>
    <s v="ER"/>
    <s v="PA"/>
    <x v="0"/>
    <s v="Chile"/>
    <s v="Capstone Copper"/>
    <s v="4 operaciones"/>
    <s v="Methodology for Estimating Mine Plan Reliability (Px) - Phase (1 &amp; 2) (Cozamin, Pinto valley, mantoverde, mantos blancos)"/>
    <s v="OP"/>
    <n v="300000"/>
    <s v="Solicitud Directa"/>
    <n v="4"/>
    <x v="1"/>
    <s v="Si"/>
    <m/>
  </r>
  <r>
    <x v="22"/>
    <s v="ING"/>
    <s v="RM"/>
    <m/>
    <x v="1"/>
    <s v="Chile"/>
    <s v="Anglo American"/>
    <s v="Chagres"/>
    <s v="Estudio de Prefactibilidad de Proyecto de Minería Urbana "/>
    <s v="-"/>
    <n v="145000"/>
    <s v="Solicitud Directa"/>
    <n v="10"/>
    <x v="1"/>
    <s v="No"/>
    <s v="Sin Información"/>
  </r>
  <r>
    <x v="23"/>
    <s v="ING"/>
    <s v="FR"/>
    <m/>
    <x v="0"/>
    <s v="Chile"/>
    <s v="AMSA"/>
    <s v="-"/>
    <s v="Mínimos Estándares de Planificación"/>
    <s v="OP"/>
    <n v="91650"/>
    <s v="Solicitud Directa"/>
    <n v="4"/>
    <x v="2"/>
    <s v="Si"/>
    <m/>
  </r>
  <r>
    <x v="24"/>
    <s v="ING"/>
    <s v="MM"/>
    <m/>
    <x v="1"/>
    <s v="Chile"/>
    <s v="Codelco"/>
    <s v="DCH"/>
    <s v="SERVICIO DE ESTUDIO EVALUACION CRECIMIENTO MB NORTE 4 CHUQUICAMATA SUBTERRÁNEA "/>
    <s v="UG"/>
    <n v="78000"/>
    <s v="Licitación"/>
    <n v="3"/>
    <x v="7"/>
    <s v="Si"/>
    <m/>
  </r>
  <r>
    <x v="25"/>
    <s v="ING"/>
    <s v="ER"/>
    <s v="PA"/>
    <x v="1"/>
    <s v="Chile"/>
    <s v="Matrix"/>
    <s v="-"/>
    <s v="Revisión de PFS y operaciones (4)"/>
    <s v="OP"/>
    <n v="1100000"/>
    <s v="Solicitud Directa"/>
    <n v="4"/>
    <x v="2"/>
    <s v="Si"/>
    <s v="Alcance ineficiente"/>
  </r>
  <r>
    <x v="26"/>
    <s v="ING"/>
    <s v="ER"/>
    <s v="PA"/>
    <x v="0"/>
    <s v="Chile"/>
    <s v="Santander"/>
    <s v="Yauricocha / Bolivar"/>
    <s v="Revisión en terreno de dos operacones para evaluar fatal flaws."/>
    <s v="UG"/>
    <n v="88166"/>
    <s v="Solicitud Directa"/>
    <n v="1"/>
    <x v="1"/>
    <s v="Si"/>
    <m/>
  </r>
  <r>
    <x v="27"/>
    <s v="ING"/>
    <s v="OD"/>
    <m/>
    <x v="1"/>
    <s v="Rusia"/>
    <s v="Polyus"/>
    <s v="-"/>
    <s v="Sistema de ore-control para la planificación de corto plazo"/>
    <s v="UG"/>
    <n v="202300"/>
    <s v="Solicitud Directa"/>
    <n v="6"/>
    <x v="7"/>
    <s v="No"/>
    <s v="Sin Información"/>
  </r>
  <r>
    <x v="28"/>
    <s v="ING"/>
    <s v="OD"/>
    <m/>
    <x v="1"/>
    <s v="Rusia"/>
    <s v="EMCO"/>
    <s v="Solnechny"/>
    <s v="Optimization of Current Operation and Long-Term Strategy and Trade Off analysis of Transportation System."/>
    <s v="UG"/>
    <n v="600000"/>
    <s v="Licitación"/>
    <n v="10"/>
    <x v="7"/>
    <s v="Si"/>
    <s v="Sin Información"/>
  </r>
  <r>
    <x v="29"/>
    <s v="ING"/>
    <s v="OD"/>
    <m/>
    <x v="1"/>
    <s v="Rusia"/>
    <s v="Alrosa"/>
    <s v="-"/>
    <s v="Propuesta Tecnologica para MIR"/>
    <s v="UG"/>
    <n v="324700"/>
    <s v="Solicitud Directa"/>
    <n v="6"/>
    <x v="7"/>
    <s v="No"/>
    <s v="Sin Información"/>
  </r>
  <r>
    <x v="30"/>
    <s v="ING"/>
    <s v="PV"/>
    <m/>
    <x v="1"/>
    <s v="EEUU"/>
    <s v="Rockhaven"/>
    <s v="-"/>
    <s v="Mining Trade Off Study"/>
    <s v="UG"/>
    <n v="173900"/>
    <s v="Solicitud Directa"/>
    <n v="3"/>
    <x v="6"/>
    <s v="Si"/>
    <m/>
  </r>
  <r>
    <x v="31"/>
    <s v="ING"/>
    <s v="MF"/>
    <m/>
    <x v="1"/>
    <s v="Perú"/>
    <s v="Minsur"/>
    <s v="San Rafael"/>
    <s v="Definición de KPIs de gestion para Minsur y continuidad proceso SGOP de San Rafael"/>
    <s v="UG"/>
    <n v="492580"/>
    <s v="Solicitud Directa"/>
    <n v="11"/>
    <x v="2"/>
    <s v="Si"/>
    <s v="Costos muy altos"/>
  </r>
  <r>
    <x v="32"/>
    <s v="ING"/>
    <s v="MF"/>
    <m/>
    <x v="1"/>
    <s v="Chile"/>
    <s v="Las Cenizas"/>
    <s v="Mina Sauce"/>
    <s v="Estrategia de Relleno en Pasta para_x000a_Maximizar la Recuperación Minera_x000a_en Mina Sauce"/>
    <s v="UG"/>
    <n v="162000"/>
    <s v="Solicitud Directa"/>
    <n v="4"/>
    <x v="2"/>
    <s v="Si"/>
    <s v="Costos muy altos"/>
  </r>
  <r>
    <x v="33"/>
    <s v="ING"/>
    <s v="AZ"/>
    <m/>
    <x v="1"/>
    <s v="Perú"/>
    <s v="Glencore"/>
    <s v="Pachon"/>
    <s v="Estudio de diseños de alternativas de chancado"/>
    <s v="OP"/>
    <n v="236000"/>
    <s v="Licitación"/>
    <n v="4"/>
    <x v="4"/>
    <s v="Si"/>
    <s v="Estrategia no Adecuada"/>
  </r>
  <r>
    <x v="34"/>
    <s v="GEOT"/>
    <s v="OD"/>
    <m/>
    <x v="1"/>
    <s v="Rusia"/>
    <s v="Alrosa"/>
    <s v="Yubileynaya"/>
    <s v="Assestment geomecanico para los parametros del Block Caving"/>
    <s v="UG"/>
    <n v="395205"/>
    <s v="Solicitud Directa"/>
    <n v="7"/>
    <x v="7"/>
    <s v="Si"/>
    <s v="Costos muy altos"/>
  </r>
  <r>
    <x v="35"/>
    <s v="GEOT"/>
    <s v="OD"/>
    <m/>
    <x v="1"/>
    <s v="Rusia"/>
    <s v="Eurochem"/>
    <s v="Zhelezniy"/>
    <s v="Determinar la estabilidad de los taludes del Rajo y de los emplazamientos y bancos locales del Rajo abierto de Zhelezniy"/>
    <s v="OP"/>
    <n v="375000"/>
    <s v="Solicitud Directa"/>
    <n v="7"/>
    <x v="7"/>
    <s v="Si"/>
    <s v="Costos muy altos"/>
  </r>
  <r>
    <x v="36"/>
    <s v="ING"/>
    <s v="AZ"/>
    <m/>
    <x v="0"/>
    <s v="Perú"/>
    <s v="Coripuno"/>
    <s v="Torremani"/>
    <s v="ALTERNATIVAS DEL METODO DE MINADO EN EL PROYECTO MINERO TORREMANI"/>
    <s v="UG"/>
    <n v="105000"/>
    <s v="Licitación"/>
    <n v="3"/>
    <x v="1"/>
    <s v="Si"/>
    <m/>
  </r>
  <r>
    <x v="37"/>
    <s v="ING"/>
    <s v="AZ"/>
    <m/>
    <x v="1"/>
    <s v="Perú"/>
    <s v="Minera Chinalco Perú S.A"/>
    <s v="Chinalco"/>
    <s v="Estimación de Reservas Minerales y Plan de Vida de Mina"/>
    <s v="OP"/>
    <n v="200000"/>
    <s v="Licitación"/>
    <n v="4"/>
    <x v="8"/>
    <s v="Si"/>
    <s v="Anulación de licitación"/>
  </r>
  <r>
    <x v="38"/>
    <s v="ING"/>
    <s v="AS"/>
    <m/>
    <x v="1"/>
    <s v="Brasil"/>
    <s v="Equinox"/>
    <s v="Santa Cruz"/>
    <s v="DIAGNÓSTICO INTEGRADO DE LA MINA SANTA LUZ (MINA-PLANTA-FUNDICIÓN)"/>
    <s v="UG"/>
    <n v="101000"/>
    <s v="Solicitud Directa"/>
    <n v="2"/>
    <x v="2"/>
    <s v="Si"/>
    <s v="Costos muy altos"/>
  </r>
  <r>
    <x v="39"/>
    <s v="ING"/>
    <s v="MM"/>
    <m/>
    <x v="1"/>
    <s v="Chile"/>
    <s v="Codelco"/>
    <s v="DMH"/>
    <s v="INGENIERÍA PARA ESTUDIO DE PREFACTIBILIDAD_x000a_- ETAPA FEL2A Y FEL2B - RAMPA DE EXPLORACIÓN DMH SUBTERRÁNEO"/>
    <s v="UG"/>
    <n v="200000"/>
    <s v="Marco"/>
    <n v="3"/>
    <x v="3"/>
    <s v="Si"/>
    <s v="Costos muy altos"/>
  </r>
  <r>
    <x v="40"/>
    <s v="ING"/>
    <s v="RM"/>
    <m/>
    <x v="1"/>
    <s v="Chile"/>
    <s v="Lundin"/>
    <s v="Candelaria"/>
    <s v="Mejoras Operacionales Mina Candelaria"/>
    <s v="UG"/>
    <n v="520000"/>
    <s v="Solicitud Directa"/>
    <n v="6"/>
    <x v="3"/>
    <s v="Si"/>
    <s v="Selección empresa local"/>
  </r>
  <r>
    <x v="41"/>
    <s v="ING"/>
    <s v="AZ"/>
    <m/>
    <x v="1"/>
    <s v="Perú"/>
    <s v="Antamina"/>
    <s v="Antamina"/>
    <s v="Servicio de Ingeniería de Integración del Proyecto Túnel Exploratorio"/>
    <s v="OP"/>
    <n v="285000"/>
    <s v="Licitación"/>
    <n v="12"/>
    <x v="3"/>
    <s v="Si"/>
    <s v="Costos muy altos"/>
  </r>
  <r>
    <x v="42"/>
    <s v="GEOT"/>
    <s v="CH"/>
    <m/>
    <x v="1"/>
    <s v="Perú"/>
    <s v="Calibre Mining "/>
    <s v="Limon"/>
    <s v="Revisión del análisis de estabilidad de taludes pit limón fase 4 "/>
    <s v="OP"/>
    <n v="102545"/>
    <s v="Licitación"/>
    <n v="5"/>
    <x v="3"/>
    <s v="Si"/>
    <s v="Costos muy altos"/>
  </r>
  <r>
    <x v="43"/>
    <s v="GEOT"/>
    <s v="CH"/>
    <m/>
    <x v="1"/>
    <s v="Perú"/>
    <s v="Calibre Mining "/>
    <s v="Limon"/>
    <s v="Servicio de Diseño e Ingeniería del Portal "/>
    <s v="OP"/>
    <n v="149657"/>
    <s v="Licitación"/>
    <n v="4"/>
    <x v="3"/>
    <s v="Si"/>
    <s v="Costos muy altos"/>
  </r>
  <r>
    <x v="44"/>
    <s v="GEOT"/>
    <s v="CH"/>
    <m/>
    <x v="1"/>
    <s v="Perú"/>
    <s v="Calibre Mining "/>
    <s v="Limon"/>
    <s v="Servicio de Analisis de Estabilidad de los DME del tajo abierto El Limón"/>
    <s v="OP"/>
    <n v="90120"/>
    <s v="Licitación"/>
    <n v="5"/>
    <x v="2"/>
    <s v="Si"/>
    <s v="Costos muy altos"/>
  </r>
  <r>
    <x v="45"/>
    <s v="GEOT"/>
    <s v="OD"/>
    <m/>
    <x v="1"/>
    <s v="Rusia"/>
    <s v="ERG"/>
    <s v="-"/>
    <s v="Geotechnical slope validtion"/>
    <s v="UG"/>
    <n v="150000"/>
    <s v="Licitación"/>
    <n v="3"/>
    <x v="2"/>
    <s v="Si"/>
    <s v="Costos muy altos"/>
  </r>
  <r>
    <x v="46"/>
    <s v="GEOT"/>
    <s v="PV"/>
    <m/>
    <x v="1"/>
    <s v="EEUU"/>
    <s v="Ivanhoe Electric"/>
    <s v="Santa Cruz"/>
    <s v="IE RFP 005 - Geotechnical Studies"/>
    <s v="UG"/>
    <n v="651000"/>
    <s v="Licitación"/>
    <n v="12"/>
    <x v="0"/>
    <s v="Si"/>
    <s v="Costos muy altos"/>
  </r>
  <r>
    <x v="47"/>
    <s v="GEOT"/>
    <s v="PV"/>
    <m/>
    <x v="1"/>
    <s v="EEUU"/>
    <s v="Ivanhoe Electric"/>
    <s v="Santa Cruz"/>
    <s v="IE RFP 005 - Geotechnical Studies - 3rd Party Review"/>
    <s v="UG"/>
    <n v="200000"/>
    <s v="Licitación"/>
    <n v="12"/>
    <x v="3"/>
    <s v="Si"/>
    <s v="Costos muy altos"/>
  </r>
  <r>
    <x v="48"/>
    <s v="ING"/>
    <s v="PV"/>
    <m/>
    <x v="1"/>
    <s v="EEUU"/>
    <s v="Ivanhoe Electric"/>
    <s v="Santa Cruz"/>
    <s v="IE RFP 006 - Mineral Resources Estimate - Reviewer"/>
    <s v="UG"/>
    <n v="300000"/>
    <s v="Licitación"/>
    <n v="12"/>
    <x v="3"/>
    <s v="Si"/>
    <s v="Costos muy altos"/>
  </r>
  <r>
    <x v="49"/>
    <s v="GEOT"/>
    <s v="OD"/>
    <m/>
    <x v="1"/>
    <s v="Rusia"/>
    <s v="Polyus"/>
    <s v="Sukhoy Log"/>
    <s v="3D Numerical Analysis of Trial open pit stability"/>
    <s v="OP"/>
    <n v="198000"/>
    <s v="Solicitud Directa"/>
    <n v="3"/>
    <x v="7"/>
    <s v="Si"/>
    <s v="Costos muy altos"/>
  </r>
  <r>
    <x v="50"/>
    <s v="ING"/>
    <s v="MF"/>
    <s v="PA"/>
    <x v="0"/>
    <s v="Perú"/>
    <s v="Minsur"/>
    <s v="San Rafael"/>
    <s v="Soporte para la elaboración del FQ1, FQ3 y Budget 25"/>
    <s v="UG"/>
    <n v="119000"/>
    <s v="Solicitud Directa"/>
    <n v="3"/>
    <x v="2"/>
    <s v="Si"/>
    <m/>
  </r>
  <r>
    <x v="51"/>
    <s v="ING"/>
    <s v="MF"/>
    <s v="PA"/>
    <x v="0"/>
    <s v="Perú"/>
    <s v="Minsur"/>
    <s v="San Rafael"/>
    <s v="Apoyo a la planificación:  Integración de Información Planeamiento-Geomecánica //  Estudio Conceptual de Justificación Rampa de Acceso Sector San German"/>
    <s v="UG"/>
    <n v="74000"/>
    <s v="Solicitud Directa"/>
    <n v="3"/>
    <x v="4"/>
    <s v="Si"/>
    <m/>
  </r>
  <r>
    <x v="52"/>
    <s v="ING"/>
    <s v="OD"/>
    <m/>
    <x v="0"/>
    <s v="Rusia"/>
    <s v="EUROCHEM"/>
    <s v="Himmelfarb"/>
    <s v="auditoría para un &quot; Scoping Study&quot; para reducir Opex y Capex"/>
    <s v="UG"/>
    <n v="155000"/>
    <s v="Solicitud Directa"/>
    <n v="2"/>
    <x v="4"/>
    <s v="Si"/>
    <m/>
  </r>
  <r>
    <x v="53"/>
    <s v="ING"/>
    <s v="RM"/>
    <m/>
    <x v="1"/>
    <s v="Chile"/>
    <s v="Mineria Activa"/>
    <s v="Pampa Camarones"/>
    <s v="Análisis 360 de la operación"/>
    <s v="UG"/>
    <n v="40000"/>
    <s v="Solicitud Directa"/>
    <n v="3"/>
    <x v="7"/>
    <s v="Si"/>
    <s v="Costos muy altos"/>
  </r>
  <r>
    <x v="54"/>
    <s v="ING"/>
    <s v="FR"/>
    <s v="FR"/>
    <x v="0"/>
    <s v="Chile"/>
    <s v="BHP"/>
    <s v="Spence"/>
    <s v="Analisis de confiabilidad de planes mineros"/>
    <s v="OP"/>
    <n v="35600"/>
    <s v="Solicitud Directa"/>
    <n v="2"/>
    <x v="2"/>
    <s v="Si"/>
    <m/>
  </r>
  <r>
    <x v="55"/>
    <s v="ING"/>
    <s v="CH"/>
    <s v="CH"/>
    <x v="0"/>
    <s v="Chile"/>
    <s v="CEOM/Hoshschield"/>
    <s v="Inmaculada"/>
    <s v="Fase 2: mejoras de Corto Plazo"/>
    <s v="UG"/>
    <n v="30000"/>
    <s v="Solicitud Directa"/>
    <n v="3"/>
    <x v="7"/>
    <s v="Si"/>
    <m/>
  </r>
  <r>
    <x v="56"/>
    <s v="ING"/>
    <s v="CH"/>
    <s v="PA"/>
    <x v="1"/>
    <s v="Perú"/>
    <s v="Volcan"/>
    <s v="Romina"/>
    <s v="ING Detalle Sistema Ventilación"/>
    <s v="UG"/>
    <n v="200000"/>
    <s v="Licitación"/>
    <n v="2"/>
    <x v="7"/>
    <s v="No"/>
    <s v="Selección empresa local"/>
  </r>
  <r>
    <x v="57"/>
    <s v="ING"/>
    <s v="CH"/>
    <s v="PA"/>
    <x v="1"/>
    <s v="Perú"/>
    <s v="Volcan"/>
    <s v="Romina"/>
    <s v="ING Detalle Sistema Bombeo"/>
    <s v="UG"/>
    <n v="100000"/>
    <s v="Licitación"/>
    <n v="3"/>
    <x v="4"/>
    <s v="No"/>
    <s v="Selección empresa local"/>
  </r>
  <r>
    <x v="58"/>
    <s v="ING"/>
    <s v="OD"/>
    <s v="RM"/>
    <x v="1"/>
    <s v="Rusia"/>
    <s v="ERG"/>
    <s v="-"/>
    <s v="Desarrollo plan LOM y plan de cierre"/>
    <s v="OP"/>
    <n v="1000000"/>
    <s v="Licitación"/>
    <n v="12"/>
    <x v="8"/>
    <s v="Si"/>
    <s v="Anulación de licitación"/>
  </r>
  <r>
    <x v="59"/>
    <s v="ING"/>
    <s v="FR"/>
    <s v="FR"/>
    <x v="1"/>
    <s v="Chile"/>
    <s v="BCG"/>
    <s v="-"/>
    <s v="Apoyo consultivo  procesos de planificación minera"/>
    <s v="OP"/>
    <n v="12500"/>
    <s v="Solicitud Directa"/>
    <n v="2"/>
    <x v="1"/>
    <s v="Si"/>
    <s v="Sin Información"/>
  </r>
  <r>
    <x v="60"/>
    <s v="GEOT"/>
    <s v="CH"/>
    <s v="PA"/>
    <x v="1"/>
    <s v="Perú"/>
    <s v="Hoshschield"/>
    <s v="Inmaculada"/>
    <s v="Revisión Geotecnica de Juicio experto"/>
    <s v="UG"/>
    <n v="40053"/>
    <s v="Solicitud Directa"/>
    <n v="2"/>
    <x v="1"/>
    <s v="No"/>
    <s v="Selección empresa local"/>
  </r>
  <r>
    <x v="61"/>
    <s v="GEOT"/>
    <s v="CH"/>
    <s v="CH"/>
    <x v="1"/>
    <s v="Perú"/>
    <s v="Hoshschield"/>
    <s v="Inmaculada"/>
    <s v="Servicio de logeo geomecanico"/>
    <s v="UG"/>
    <n v="85000"/>
    <s v="Solicitud Directa"/>
    <n v="6"/>
    <x v="1"/>
    <s v="No"/>
    <s v="Selección empresa local"/>
  </r>
  <r>
    <x v="62"/>
    <s v="ING"/>
    <s v="MF"/>
    <s v="PA"/>
    <x v="0"/>
    <s v="Perú"/>
    <s v="Minsur"/>
    <s v="Raura"/>
    <s v="Apoyo MEIA Raura"/>
    <s v="UG"/>
    <n v="8000"/>
    <s v="Solicitud Directa"/>
    <n v="1"/>
    <x v="4"/>
    <s v="Si"/>
    <m/>
  </r>
  <r>
    <x v="63"/>
    <s v="ING"/>
    <s v="ER"/>
    <s v="PA"/>
    <x v="0"/>
    <s v="Chile"/>
    <s v="Glencore"/>
    <s v="Lomas Bayas"/>
    <s v="Actualización y capacitación de los modelos MineHaul y MinePlan"/>
    <s v="OP"/>
    <n v="12000"/>
    <s v="Solicitud Directa"/>
    <n v="2"/>
    <x v="1"/>
    <s v="Si"/>
    <m/>
  </r>
  <r>
    <x v="64"/>
    <s v="ING"/>
    <s v="PV"/>
    <s v="PA"/>
    <x v="1"/>
    <s v="EEUU"/>
    <s v="EMX Royalty"/>
    <s v="Bunker Hill"/>
    <s v="Technical Review and Independent Value Assessment (Value@Risk) of Bunker Hill Operation "/>
    <s v="UG"/>
    <n v="97000"/>
    <s v="Solicitud Directa"/>
    <n v="2"/>
    <x v="7"/>
    <s v="Si"/>
    <s v="Anulación de licitación"/>
  </r>
  <r>
    <x v="65"/>
    <s v="ING"/>
    <s v="AS"/>
    <s v="PA"/>
    <x v="0"/>
    <s v="Brasil"/>
    <s v="Mosaic"/>
    <s v="Taquari Vassouras "/>
    <s v="Taquari Vassouras - Fase II - Planificación corto plazo (+Cpacitación Deswik&amp;Ventsim)"/>
    <s v="UG"/>
    <n v="67000"/>
    <s v="Marco"/>
    <n v="2"/>
    <x v="2"/>
    <s v="Si"/>
    <m/>
  </r>
  <r>
    <x v="66"/>
    <s v="ING"/>
    <s v="ER"/>
    <s v="PA"/>
    <x v="1"/>
    <s v="EEUU"/>
    <s v="Anglo Gold Ashanti"/>
    <s v="Merlin"/>
    <s v="Technical Expert Support_x000a_Merlin Conceptual Study"/>
    <s v="UG"/>
    <n v="370000"/>
    <s v="Solicitud Directa"/>
    <n v="4"/>
    <x v="1"/>
    <s v="Si"/>
    <s v="Selección empresa local"/>
  </r>
  <r>
    <x v="67"/>
    <s v="ING"/>
    <s v="ER"/>
    <s v="MF"/>
    <x v="1"/>
    <s v="Perú"/>
    <s v="Minsur"/>
    <s v="Raura"/>
    <s v="Apoyo y mejoramiento de planeamiento de corto plazo"/>
    <s v="UG"/>
    <n v="197000"/>
    <s v="Solicitud Directa"/>
    <n v="4"/>
    <x v="7"/>
    <s v="Si"/>
    <m/>
  </r>
  <r>
    <x v="68"/>
    <s v="ING"/>
    <s v="FR"/>
    <s v="PA"/>
    <x v="0"/>
    <s v="Chile"/>
    <s v="CMP"/>
    <s v="Tofo Norte"/>
    <s v="Revisión de estrategia Tofo Norte, modularizado"/>
    <s v="UG"/>
    <n v="50000"/>
    <s v="Solicitud Directa"/>
    <n v="2"/>
    <x v="7"/>
    <s v="Si"/>
    <m/>
  </r>
  <r>
    <x v="69"/>
    <s v="ING"/>
    <s v="PV"/>
    <m/>
    <x v="0"/>
    <s v="EEUU"/>
    <s v="EMX Royalty"/>
    <s v="Quilla Project"/>
    <s v="Metallurgical expert to perform a desktop review"/>
    <s v="UG"/>
    <n v="15000"/>
    <s v="Solicitud Directa"/>
    <n v="2"/>
    <x v="4"/>
    <s v="Si"/>
    <m/>
  </r>
  <r>
    <x v="70"/>
    <s v="ING"/>
    <s v="FR"/>
    <s v="PA"/>
    <x v="0"/>
    <s v="Chile"/>
    <s v="CMP"/>
    <s v="Los Colorados"/>
    <s v="“Plan Minero Base Escenario Brownfield MLC"/>
    <s v="OP"/>
    <n v="43000"/>
    <s v="Solicitud Directa"/>
    <n v="2"/>
    <x v="1"/>
    <s v="Si"/>
    <m/>
  </r>
  <r>
    <x v="71"/>
    <s v="GEOT"/>
    <s v="CH"/>
    <m/>
    <x v="0"/>
    <s v="Perú"/>
    <s v="Minsur"/>
    <s v="San Rafael"/>
    <s v=" Geomechanical Analyses of Mine Plan-Mejoramiento de Datos Geotécnicos _x000a_de Entrada y Refinamiento _x000a_Geométrico de Sólidos 3D"/>
    <s v="UG"/>
    <n v="27000"/>
    <s v="Solicitud Directa"/>
    <n v="2"/>
    <x v="1"/>
    <s v="Si"/>
    <m/>
  </r>
  <r>
    <x v="72"/>
    <s v="ING"/>
    <s v="AZ"/>
    <s v="PA"/>
    <x v="1"/>
    <s v="Perú"/>
    <s v="Hudbay Perú S.A.C"/>
    <s v="Constancia"/>
    <s v="Análisis de Cumplimiento del Plan y Evaluación de Rutas de Alternativas"/>
    <s v="OP"/>
    <n v="38000"/>
    <s v="Solicitud Directa"/>
    <n v="2"/>
    <x v="6"/>
    <s v="Si"/>
    <m/>
  </r>
  <r>
    <x v="73"/>
    <s v="ING"/>
    <s v="PV"/>
    <m/>
    <x v="0"/>
    <s v="EEUU"/>
    <s v="Ivanhoe Electric"/>
    <s v="Santa Cruz"/>
    <s v="Mine planning support for PFS"/>
    <s v="UG"/>
    <n v="196000"/>
    <s v="Solicitud Directa"/>
    <n v="3"/>
    <x v="7"/>
    <s v="Si"/>
    <m/>
  </r>
  <r>
    <x v="74"/>
    <s v="ING"/>
    <s v="AZ"/>
    <s v="PA"/>
    <x v="0"/>
    <s v="Perú"/>
    <s v="Sierra Metals"/>
    <s v="Yauricocha"/>
    <s v="Actualizar los diseños de labores y envolvente del Nivel 1320 al Nivel 1620"/>
    <s v="UG"/>
    <n v="83000"/>
    <s v="Solicitud Directa"/>
    <n v="2"/>
    <x v="7"/>
    <s v="Si"/>
    <m/>
  </r>
  <r>
    <x v="75"/>
    <s v="ING"/>
    <s v="FR"/>
    <s v="PA"/>
    <x v="0"/>
    <s v="Chile"/>
    <s v="CMP"/>
    <s v="CNN, MLC"/>
    <s v="Apoyo LOM 2024 Faenas MLC y CNN"/>
    <s v="OP"/>
    <n v="95000"/>
    <s v="Solicitud Directa"/>
    <n v="2"/>
    <x v="1"/>
    <s v="Si"/>
    <m/>
  </r>
  <r>
    <x v="76"/>
    <s v="ING"/>
    <s v="PV"/>
    <m/>
    <x v="0"/>
    <s v="EEUU"/>
    <s v="EMX Royalty"/>
    <s v="Chapi"/>
    <s v="Due Diligence de Chapi (Quilla Resources)"/>
    <s v="OP"/>
    <n v="98000"/>
    <s v="Solicitud Directa"/>
    <n v="2"/>
    <x v="7"/>
    <s v="Si"/>
    <m/>
  </r>
  <r>
    <x v="77"/>
    <s v="ING"/>
    <s v="PV"/>
    <m/>
    <x v="1"/>
    <s v="EEUU"/>
    <s v="EMX Royalty"/>
    <s v="Anaconda Mining"/>
    <s v="Due Diligence de Goldboro Gold Project (Anaconda Mining)"/>
    <s v="UG"/>
    <n v="70000"/>
    <s v="Solicitud Directa"/>
    <n v="2"/>
    <x v="7"/>
    <s v="Si"/>
    <s v="Anulación de licitación"/>
  </r>
  <r>
    <x v="78"/>
    <s v="ING"/>
    <s v="OD"/>
    <s v="RM"/>
    <x v="1"/>
    <s v="Rusia"/>
    <s v="EVRAZ"/>
    <m/>
    <s v="Propuesta sistema de simulación"/>
    <s v="UG"/>
    <n v="1500000"/>
    <s v="Licitación"/>
    <n v="14"/>
    <x v="6"/>
    <s v="No"/>
    <m/>
  </r>
  <r>
    <x v="79"/>
    <s v="ING"/>
    <s v="MF"/>
    <s v="PA"/>
    <x v="0"/>
    <s v="Perú"/>
    <s v="Minsur"/>
    <s v="San Rafael"/>
    <s v="Proceso de actualización del LoM"/>
    <s v="UG"/>
    <n v="90000"/>
    <s v="Solicitud Directa"/>
    <n v="2"/>
    <x v="7"/>
    <s v="Si"/>
    <m/>
  </r>
  <r>
    <x v="80"/>
    <s v="ING"/>
    <s v="MF"/>
    <s v="PA"/>
    <x v="0"/>
    <s v="Perú"/>
    <s v="Minsur"/>
    <s v="San Rafael"/>
    <s v="Evaluación de recursos marginales"/>
    <s v="UG"/>
    <n v="70000"/>
    <s v="Solicitud Directa"/>
    <n v="2"/>
    <x v="6"/>
    <s v="Si"/>
    <m/>
  </r>
  <r>
    <x v="81"/>
    <s v="ING"/>
    <m/>
    <s v="PA"/>
    <x v="1"/>
    <s v="Chile"/>
    <s v="Minera Tres valles"/>
    <m/>
    <s v="Modelo de flujo gravitacional"/>
    <s v="UG"/>
    <n v="81000"/>
    <s v="Solicitud Directa"/>
    <n v="2"/>
    <x v="5"/>
    <s v="Si"/>
    <m/>
  </r>
  <r>
    <x v="82"/>
    <s v="ING"/>
    <s v="AS"/>
    <s v="PA"/>
    <x v="0"/>
    <s v="Brasil"/>
    <s v="Mosaic"/>
    <s v="Cajati"/>
    <s v="Metodologia para evaluar cumplimiento del plan con KPIs reales"/>
    <s v="UG"/>
    <n v="60000"/>
    <s v="Solicitud Directa"/>
    <n v="2"/>
    <x v="8"/>
    <s v="Si"/>
    <m/>
  </r>
  <r>
    <x v="83"/>
    <s v="ING"/>
    <s v="AS"/>
    <s v="PA"/>
    <x v="0"/>
    <s v="Brasil"/>
    <s v="J&amp;F"/>
    <m/>
    <s v="Due Diligence study for greenfield project in Brazil (Autazes Potash Project)"/>
    <s v="UG"/>
    <n v="70000"/>
    <s v="Solicitud Directa"/>
    <n v="2"/>
    <x v="7"/>
    <s v="Si"/>
    <m/>
  </r>
  <r>
    <x v="84"/>
    <s v="ING"/>
    <m/>
    <s v="PA"/>
    <x v="0"/>
    <s v="Chile"/>
    <s v="BHP"/>
    <s v="Escondida"/>
    <s v="Modelo predictivo para Definir ubicación óptima de pozos de drenaje"/>
    <s v="UG"/>
    <n v="190000"/>
    <s v="Solicitud Directa"/>
    <n v="2"/>
    <x v="6"/>
    <s v="No"/>
    <m/>
  </r>
  <r>
    <x v="85"/>
    <s v="ING"/>
    <s v="MM"/>
    <s v="PV"/>
    <x v="1"/>
    <s v="Chile"/>
    <s v="Codelco"/>
    <s v="DRT"/>
    <s v="Análisis y cuantificación de cobre en riesgo por expansión del OP"/>
    <s v="OP"/>
    <n v="100000"/>
    <s v="Solicitud Directa"/>
    <n v="2"/>
    <x v="6"/>
    <s v="Si"/>
    <m/>
  </r>
  <r>
    <x v="86"/>
    <s v="ING"/>
    <s v="MM"/>
    <s v="PA"/>
    <x v="1"/>
    <s v="Perú"/>
    <s v="Minsur"/>
    <s v="-"/>
    <s v="Estandarización, control y seguimiento de KPIs/resultados de corto/mediano plazo para Minsur "/>
    <s v="UG"/>
    <n v="125000"/>
    <s v="Solicitud Directa"/>
    <n v="4"/>
    <x v="6"/>
    <s v="Si"/>
    <m/>
  </r>
  <r>
    <x v="87"/>
    <s v="ING"/>
    <s v="AZ"/>
    <s v="PA"/>
    <x v="1"/>
    <s v="Perú"/>
    <s v="Buenaventura"/>
    <s v="El Brocal"/>
    <s v="Estudio de ingeniería de factibilidad para la Ampliación del Tajo Norte"/>
    <s v="OP"/>
    <n v="80000"/>
    <s v="Licitación"/>
    <n v="3"/>
    <x v="6"/>
    <s v="Si"/>
    <s v="Costos muy altos"/>
  </r>
  <r>
    <x v="88"/>
    <s v="ING"/>
    <s v="AZ"/>
    <s v="PA"/>
    <x v="0"/>
    <s v="Perú"/>
    <s v="Minsur"/>
    <s v="Mina Justa"/>
    <s v="Estudio técnico – económico para fase de perfil proyecto achupallas"/>
    <s v="OP"/>
    <n v="133000"/>
    <s v="Licitación"/>
    <n v="2"/>
    <x v="6"/>
    <s v="Si"/>
    <m/>
  </r>
  <r>
    <x v="89"/>
    <s v="ING"/>
    <s v="FR"/>
    <s v="PA"/>
    <x v="1"/>
    <s v="Chile"/>
    <s v="Codelco"/>
    <s v="DRT"/>
    <s v="REVISIÓN INDEPENDIENTE MODELO DE RECURSOS DRT"/>
    <s v="OP"/>
    <n v="45000"/>
    <s v="Licitación"/>
    <n v="2"/>
    <x v="6"/>
    <s v="No"/>
    <s v="Anulación de licitación"/>
  </r>
  <r>
    <x v="90"/>
    <s v="ING"/>
    <s v="MM"/>
    <s v="PA"/>
    <x v="0"/>
    <s v="Chile"/>
    <s v="Codelco"/>
    <s v="DMH"/>
    <s v="Estudio Análisis Opciones de Vaciado Mineral Subterránea Vía Rajo Horizonte Corto-Mediano Plazo"/>
    <s v="OP"/>
    <n v="85000"/>
    <s v="Licitación"/>
    <n v="3"/>
    <x v="6"/>
    <s v="Si"/>
    <m/>
  </r>
  <r>
    <x v="91"/>
    <s v="ING"/>
    <s v="OD"/>
    <s v="RM"/>
    <x v="1"/>
    <s v="Rusia"/>
    <s v="Atlas Mining"/>
    <m/>
    <s v="Ing PFS Mina"/>
    <s v="OP"/>
    <n v="1000000"/>
    <s v="Licitación"/>
    <n v="6"/>
    <x v="8"/>
    <s v="Si"/>
    <m/>
  </r>
  <r>
    <x v="92"/>
    <s v="GEOT"/>
    <s v="OD"/>
    <s v="RM"/>
    <x v="1"/>
    <s v="Rusia"/>
    <s v="Kuzbass"/>
    <s v="Ugol"/>
    <s v="Modelo 3d geologica de 2 yacimientos"/>
    <s v="OP"/>
    <n v="720000"/>
    <s v="Licitación"/>
    <n v="12"/>
    <x v="8"/>
    <s v="Si"/>
    <m/>
  </r>
  <r>
    <x v="93"/>
    <s v="ING"/>
    <s v="FR"/>
    <m/>
    <x v="0"/>
    <s v="Chile"/>
    <s v="CMP"/>
    <s v="CNN"/>
    <s v="Upgrade Plan Minero CNN -_x000a_4.5 Mt Pellet Fee"/>
    <s v="OP"/>
    <n v="45000"/>
    <s v="Solicitud Directa"/>
    <n v="3"/>
    <x v="6"/>
    <s v="Si"/>
    <m/>
  </r>
  <r>
    <x v="94"/>
    <s v="ING"/>
    <s v="FR"/>
    <s v="PA"/>
    <x v="0"/>
    <s v="Chile"/>
    <s v="BHP"/>
    <s v="Spence"/>
    <s v="Análisis de confiabilidad del plan LoA 2025-26"/>
    <s v="OP"/>
    <n v="70000"/>
    <s v="Solicitud Directa"/>
    <n v="2"/>
    <x v="6"/>
    <s v="Si"/>
    <m/>
  </r>
  <r>
    <x v="95"/>
    <s v="ING"/>
    <s v="FR"/>
    <s v="CH"/>
    <x v="0"/>
    <s v="Chile"/>
    <s v="CMP"/>
    <s v="Algarrobo"/>
    <s v="Nuevos alcances: Proyecto Algarrobo Finos"/>
    <s v="OP"/>
    <n v="100000"/>
    <s v="Solicitud Directa"/>
    <n v="10"/>
    <x v="6"/>
    <s v="Si"/>
    <m/>
  </r>
  <r>
    <x v="96"/>
    <s v="ING"/>
    <s v="MM"/>
    <s v="PA"/>
    <x v="1"/>
    <s v="Chile"/>
    <s v="Codelco"/>
    <s v="DET"/>
    <s v="ESTUDIO SISTEMA DE GESTIÓN PREMIN DET"/>
    <s v="UG"/>
    <n v="90000"/>
    <s v="Licitación"/>
    <n v="6"/>
    <x v="9"/>
    <s v="Si"/>
    <m/>
  </r>
  <r>
    <x v="97"/>
    <s v="ING"/>
    <s v="PV"/>
    <m/>
    <x v="1"/>
    <s v="EEUU"/>
    <s v="Cementation"/>
    <m/>
    <s v="Estimación de reservas, mine plan"/>
    <s v="OP"/>
    <n v="500000"/>
    <s v="Solicitud Directa"/>
    <n v="6"/>
    <x v="6"/>
    <s v="No"/>
    <m/>
  </r>
  <r>
    <x v="98"/>
    <s v="ING"/>
    <s v="FR"/>
    <s v="PA"/>
    <x v="0"/>
    <s v="Chile"/>
    <s v="Lundin"/>
    <s v="Candelaria"/>
    <s v="Diagnóstico de gaps de planificación y operaciones (Foco en riesgos geomecánicos) "/>
    <s v="UG"/>
    <n v="66000"/>
    <s v="Solicitud Directa"/>
    <n v="2"/>
    <x v="8"/>
    <s v="Si"/>
    <m/>
  </r>
  <r>
    <x v="99"/>
    <s v="ING"/>
    <s v="FR"/>
    <s v="PA"/>
    <x v="0"/>
    <s v="Chile"/>
    <s v="Lundin"/>
    <s v="Caserones"/>
    <s v="Evaluación opciones de mejora a través de nuevos criterios para definir los destinos óptimos y la estrategia de leyes de corte"/>
    <s v="UG"/>
    <n v="120000"/>
    <s v="Solicitud Directa"/>
    <n v="3"/>
    <x v="6"/>
    <s v="Si"/>
    <m/>
  </r>
  <r>
    <x v="100"/>
    <s v="ING"/>
    <s v="AZ"/>
    <s v="PA"/>
    <x v="2"/>
    <s v="Perú"/>
    <s v="OCP"/>
    <s v="Cobriza"/>
    <s v="Diagnostico operaciónal y construcción de planes alternativos (Blue Sky y potencial)"/>
    <s v="UG"/>
    <n v="180000"/>
    <s v="Licitación"/>
    <n v="3"/>
    <x v="10"/>
    <s v="Si"/>
    <m/>
  </r>
  <r>
    <x v="101"/>
    <s v="ING"/>
    <s v="FR"/>
    <s v="PA"/>
    <x v="0"/>
    <s v="Chile"/>
    <s v="CMP"/>
    <s v="CNN"/>
    <s v="Mejoras Operacionales CNN FEL3 (upgrade de la evaluación del proyecto de ampliación)"/>
    <s v="OP"/>
    <n v="100000"/>
    <s v="Licitación"/>
    <n v="3"/>
    <x v="10"/>
    <s v="Si"/>
    <m/>
  </r>
  <r>
    <x v="102"/>
    <s v="ING"/>
    <s v="PV"/>
    <s v="PA"/>
    <x v="0"/>
    <s v="EEUU"/>
    <s v="Twin Metals"/>
    <s v="Birch Lake - Maturi "/>
    <s v="Prefactibilidad para el conjunto Birch Lake - Maturi"/>
    <s v="UG"/>
    <n v="480000"/>
    <s v="Solicitud Directa"/>
    <n v="6"/>
    <x v="11"/>
    <s v="Si"/>
    <m/>
  </r>
  <r>
    <x v="103"/>
    <s v="ING"/>
    <s v="AS"/>
    <s v="PA"/>
    <x v="0"/>
    <s v="Brasil"/>
    <s v="Lhg"/>
    <s v="Autazes"/>
    <s v="Taller y evaluación de información en contexto de riesgos y oportunidades"/>
    <s v="UG"/>
    <n v="40000"/>
    <s v="Solicitud Directa"/>
    <n v="2"/>
    <x v="6"/>
    <s v="Si"/>
    <m/>
  </r>
  <r>
    <x v="104"/>
    <s v="ING"/>
    <s v="OD"/>
    <s v="PA"/>
    <x v="1"/>
    <s v="Rusia"/>
    <s v="Seligdar"/>
    <s v="Seligdar"/>
    <s v="Construccion de wireframes de cuerpo mineral y modelos de bloque de 2 yacimientos: Nerundinskoye y Mukodek"/>
    <s v="UG"/>
    <n v="150000"/>
    <s v="Solicitud Directa"/>
    <n v="3"/>
    <x v="10"/>
    <s v="Si"/>
    <m/>
  </r>
  <r>
    <x v="105"/>
    <s v="ING"/>
    <s v="AZ"/>
    <s v="PA"/>
    <x v="2"/>
    <s v="Perú"/>
    <s v="Las Bambas"/>
    <s v="Ferrobamba"/>
    <s v="PFS Ferrobamba Deep"/>
    <s v="UG"/>
    <n v="1100000"/>
    <s v="Licitación"/>
    <n v="13"/>
    <x v="10"/>
    <s v="Si"/>
    <m/>
  </r>
  <r>
    <x v="106"/>
    <s v="ING"/>
    <s v="ER"/>
    <s v="PA"/>
    <x v="0"/>
    <s v="Chile"/>
    <s v="AMSA"/>
    <s v="Centinela"/>
    <s v="Trade Off Tecnologias de manejo de materiales"/>
    <s v="OP"/>
    <n v="500000"/>
    <s v="Licitación"/>
    <n v="24"/>
    <x v="10"/>
    <s v="Si"/>
    <m/>
  </r>
  <r>
    <x v="107"/>
    <s v="ING"/>
    <s v="ER"/>
    <s v="PA"/>
    <x v="0"/>
    <s v="Chile"/>
    <s v="Capstone Copper"/>
    <s v="Sierra Norte"/>
    <s v="Ing Conceptual: Estudio Extensión Sierra Norte"/>
    <s v="OP"/>
    <n v="250000"/>
    <s v="Solicitud Directa"/>
    <n v="5"/>
    <x v="10"/>
    <s v="Si"/>
    <m/>
  </r>
  <r>
    <x v="108"/>
    <s v="ING"/>
    <s v="PA"/>
    <s v="PA"/>
    <x v="1"/>
    <s v="Chile"/>
    <s v="Carola"/>
    <s v="Carola"/>
    <s v="Apoyo en la planificación de Corto Plazo (SIMPREP)"/>
    <s v="UG"/>
    <n v="66000"/>
    <s v="Solicitud Directa"/>
    <n v="4"/>
    <x v="10"/>
    <s v="Si"/>
    <m/>
  </r>
  <r>
    <x v="109"/>
    <s v="ING"/>
    <s v="MM"/>
    <s v="PA"/>
    <x v="0"/>
    <s v="Chile"/>
    <s v="Codelco"/>
    <s v="DMH"/>
    <s v="INGENIERÍA EXPLORATORIA DEL PROYECTO DMH NORTE"/>
    <s v="UG"/>
    <n v="75000"/>
    <s v="Licitación"/>
    <n v="3"/>
    <x v="12"/>
    <s v="Si"/>
    <m/>
  </r>
  <r>
    <x v="110"/>
    <s v="ING"/>
    <s v="CH"/>
    <s v="PA"/>
    <x v="1"/>
    <s v="Perú"/>
    <s v="Sierra Metals"/>
    <s v="Yauricocha"/>
    <s v="ESTUDIO DE VENTILACIÓN UNIDAD MINERA YAURICOCHA"/>
    <s v="UG"/>
    <n v="250000"/>
    <s v="Licitación"/>
    <n v="6"/>
    <x v="10"/>
    <s v="No"/>
    <m/>
  </r>
  <r>
    <x v="111"/>
    <s v="ING"/>
    <s v="OD"/>
    <s v="FR"/>
    <x v="1"/>
    <s v="Rusia"/>
    <s v="Highland Gold"/>
    <s v="Taleveem mine"/>
    <s v="Scoping Study"/>
    <s v="OP"/>
    <n v="240000"/>
    <s v="Solicitud Directa"/>
    <n v="3"/>
    <x v="9"/>
    <s v="Si"/>
    <m/>
  </r>
  <r>
    <x v="112"/>
    <s v="ING"/>
    <s v="OD"/>
    <s v="FR"/>
    <x v="1"/>
    <s v="Rusia"/>
    <s v="Highland Gold"/>
    <s v="Valunisty mine"/>
    <s v="PFS OP"/>
    <s v="OP"/>
    <n v="500000"/>
    <s v="Solicitud Directa"/>
    <n v="6"/>
    <x v="9"/>
    <s v="Si"/>
    <m/>
  </r>
  <r>
    <x v="113"/>
    <s v="ING"/>
    <s v="AS"/>
    <s v="FR"/>
    <x v="2"/>
    <s v="Brasil"/>
    <s v="Vale"/>
    <s v="Gongo Soco"/>
    <s v="Estudio Conceptual"/>
    <s v="OP"/>
    <n v="150000"/>
    <s v="Solicitud Directa"/>
    <n v="3"/>
    <x v="9"/>
    <s v="Si"/>
    <m/>
  </r>
  <r>
    <x v="114"/>
    <s v="ING"/>
    <s v="AS"/>
    <s v="FR"/>
    <x v="0"/>
    <s v="Brasil"/>
    <s v="Mosaic"/>
    <s v="CTV"/>
    <s v="Proyecto integral CTV Fase 2"/>
    <s v="UG"/>
    <n v="355000"/>
    <s v="Solicitud Directa"/>
    <n v="6"/>
    <x v="9"/>
    <s v="Si"/>
    <m/>
  </r>
  <r>
    <x v="115"/>
    <s v="ING"/>
    <s v="FR"/>
    <s v="PA"/>
    <x v="0"/>
    <s v="Perú"/>
    <s v="Minera Hampton"/>
    <s v="Los Calatos"/>
    <s v="Los Calatos Pre-FP Study (V3)"/>
    <s v="UG"/>
    <n v="270000"/>
    <s v="Solicitud Directa"/>
    <n v="6"/>
    <x v="9"/>
    <s v="Si"/>
    <m/>
  </r>
  <r>
    <x v="116"/>
    <s v="ING"/>
    <s v="AZ"/>
    <s v="AS"/>
    <x v="1"/>
    <s v="Perú"/>
    <s v="Hudbay Perú S.A.C"/>
    <s v="Constancia"/>
    <s v="Estudio de Factibilidad del WRF y Tajo Constancia para la 4ta MEIA"/>
    <s v="OP"/>
    <n v="190000"/>
    <s v="Licitación"/>
    <n v="3"/>
    <x v="9"/>
    <s v="Si"/>
    <m/>
  </r>
  <r>
    <x v="117"/>
    <s v="ING"/>
    <s v="PV"/>
    <m/>
    <x v="1"/>
    <s v="EEUU"/>
    <s v="Highland Copper"/>
    <s v="Copperword"/>
    <s v="FS STUDY"/>
    <s v="UG"/>
    <n v="1300000"/>
    <s v="Licitación"/>
    <n v="12"/>
    <x v="9"/>
    <s v="No"/>
    <m/>
  </r>
  <r>
    <x v="118"/>
    <s v="ING"/>
    <s v="FR"/>
    <m/>
    <x v="0"/>
    <s v="Perú"/>
    <s v="Buenaventura"/>
    <s v="Tantahuatay"/>
    <s v="servicio de capacitación en DBS y SIMPLAN"/>
    <s v="OP"/>
    <n v="20000"/>
    <s v="Solicitud Directa"/>
    <n v="2"/>
    <x v="10"/>
    <s v="Si"/>
    <m/>
  </r>
  <r>
    <x v="119"/>
    <s v="ING"/>
    <s v="MM"/>
    <m/>
    <x v="0"/>
    <s v="Chile"/>
    <s v="Codelco"/>
    <m/>
    <s v="SERVICIO DE APOYO A LA DOCUMENTACIÓN DE PRACTICAS DE PLANIFICACIÓN DE CORTO PLAZO Y SU NORMATIVA INTERNA"/>
    <s v="UG"/>
    <n v="14000"/>
    <s v="Licitación"/>
    <n v="3"/>
    <x v="13"/>
    <s v="Si"/>
    <m/>
  </r>
  <r>
    <x v="120"/>
    <s v="ING"/>
    <s v="OD"/>
    <s v="PV"/>
    <x v="2"/>
    <s v="Rusia"/>
    <s v="EMCO"/>
    <m/>
    <s v="Optimización de rutas de transporte, Simulación, Modelos geotécnico y monitoreo "/>
    <s v="UG"/>
    <n v="334000"/>
    <s v="Licitación"/>
    <n v="3"/>
    <x v="13"/>
    <s v="No"/>
    <m/>
  </r>
  <r>
    <x v="121"/>
    <s v="ING"/>
    <s v="FR"/>
    <m/>
    <x v="0"/>
    <s v="Chile"/>
    <s v="CMP"/>
    <s v="Tofo Norte"/>
    <s v="Actualización tamaño negocio Tofo Norte"/>
    <s v="UG"/>
    <n v="45000"/>
    <s v="Solicitud Directa"/>
    <n v="3"/>
    <x v="13"/>
    <s v="Si"/>
    <m/>
  </r>
  <r>
    <x v="122"/>
    <s v="ING"/>
    <s v="RM"/>
    <m/>
    <x v="1"/>
    <s v="Chile"/>
    <s v="Seprocal"/>
    <m/>
    <s v="Ingenieria de detalle de fortificación de piques"/>
    <s v="UG"/>
    <n v="160000"/>
    <s v="Solicitud Directa"/>
    <n v="3"/>
    <x v="13"/>
    <s v="No"/>
    <m/>
  </r>
  <r>
    <x v="123"/>
    <s v="ING"/>
    <s v="MM"/>
    <m/>
    <x v="0"/>
    <s v="Chile"/>
    <s v="Codelco"/>
    <m/>
    <s v="Actualización de la normativa de reportabilidad de reservas y recursos"/>
    <s v="OP"/>
    <n v="80000"/>
    <s v="Licitación"/>
    <n v="1"/>
    <x v="13"/>
    <s v="Si"/>
    <m/>
  </r>
  <r>
    <x v="124"/>
    <s v="ING"/>
    <s v="CH"/>
    <m/>
    <x v="2"/>
    <s v="Chile"/>
    <s v="CMP"/>
    <s v="Algarrobo"/>
    <s v="Evaluación caso de negocio explotación SLS"/>
    <s v="UG"/>
    <n v="170000"/>
    <s v="Solicitud Directa"/>
    <n v="3"/>
    <x v="13"/>
    <s v="Si"/>
    <m/>
  </r>
  <r>
    <x v="125"/>
    <s v="ING"/>
    <s v="PV"/>
    <m/>
    <x v="2"/>
    <s v="EEUU"/>
    <s v="Rio Tinto"/>
    <s v="Oyu Tolgoi"/>
    <s v="Soporte caso de litigio Rio Tinto vs Gobierno Mongolia"/>
    <s v="UG"/>
    <n v="566000"/>
    <s v="Solicitud Directa"/>
    <n v="3"/>
    <x v="13"/>
    <s v="Si"/>
    <m/>
  </r>
  <r>
    <x v="126"/>
    <s v="GEOT"/>
    <s v="AS"/>
    <m/>
    <x v="2"/>
    <s v="Brasil"/>
    <s v="Vale"/>
    <m/>
    <s v="Servicio IQS para nueve assets"/>
    <s v="OP"/>
    <n v="1600000"/>
    <s v="Licitación"/>
    <n v="24"/>
    <x v="13"/>
    <s v="No"/>
    <m/>
  </r>
  <r>
    <x v="127"/>
    <s v="ING"/>
    <s v="OD"/>
    <s v="PA"/>
    <x v="0"/>
    <s v="Rusia"/>
    <s v="Atlas Mining"/>
    <m/>
    <s v="Construcción de modelo Geologico y de Recursos"/>
    <s v="OP"/>
    <n v="215000"/>
    <s v="Licitación"/>
    <n v="2"/>
    <x v="13"/>
    <s v="Si"/>
    <m/>
  </r>
  <r>
    <x v="128"/>
    <s v="ING"/>
    <s v="OD"/>
    <s v="PA"/>
    <x v="2"/>
    <s v="Rusia"/>
    <s v="Atlas Mining"/>
    <m/>
    <s v="Plan LOM de distintas estrategias de crecimiento de la planta"/>
    <s v="OP"/>
    <n v="425000"/>
    <s v="Licitación"/>
    <n v="2"/>
    <x v="13"/>
    <s v="Si"/>
    <m/>
  </r>
  <r>
    <x v="129"/>
    <s v="ING"/>
    <s v="AS"/>
    <s v="PA"/>
    <x v="0"/>
    <s v="Brasil"/>
    <s v="Aura Minerals"/>
    <m/>
    <s v="Estudio transición OP/UG: Lom estrategico UG"/>
    <s v="UG"/>
    <n v="224000"/>
    <s v="Solicitud Directa"/>
    <n v="3"/>
    <x v="13"/>
    <s v="Si"/>
    <m/>
  </r>
  <r>
    <x v="130"/>
    <s v="ING"/>
    <s v="MF"/>
    <s v="PA"/>
    <x v="2"/>
    <s v="Chile"/>
    <s v="CAP"/>
    <s v="Guarelo"/>
    <s v="Estudio integral de LOM Mina Guarelo: Acompañamiento desde el plan de captura de información hasta el LOM"/>
    <s v="OP"/>
    <n v="60000"/>
    <s v="Solicitud Directa"/>
    <n v="24"/>
    <x v="13"/>
    <s v="Si"/>
    <m/>
  </r>
  <r>
    <x v="131"/>
    <s v="ING"/>
    <s v="PA"/>
    <s v="PA"/>
    <x v="1"/>
    <s v="Perú"/>
    <s v="Minera Reliquias"/>
    <m/>
    <s v="Due Diligence Mina-Planta"/>
    <s v="UG"/>
    <n v="250000"/>
    <s v="Solicitud Directa"/>
    <n v="1"/>
    <x v="13"/>
    <s v="Si"/>
    <m/>
  </r>
  <r>
    <x v="132"/>
    <s v="ING"/>
    <s v="PA"/>
    <s v="PA"/>
    <x v="1"/>
    <s v="Chile"/>
    <s v="Anglo American"/>
    <s v="Andina"/>
    <s v="Due Diligence Higlevel  Mina-Planta-Infraestrutura de Andina"/>
    <s v="UG"/>
    <n v="150000"/>
    <s v="Solicitud Directa"/>
    <n v="1"/>
    <x v="13"/>
    <s v="Si"/>
    <m/>
  </r>
  <r>
    <x v="133"/>
    <s v="ING"/>
    <s v="MM"/>
    <m/>
    <x v="0"/>
    <s v="Chile"/>
    <s v="Codelco"/>
    <s v="DRT"/>
    <s v="Servicio de Estándar y Procedimiento Cierre Topográfico"/>
    <s v="OP"/>
    <n v="38000"/>
    <s v="Licitación"/>
    <n v="3"/>
    <x v="13"/>
    <s v="No"/>
    <m/>
  </r>
  <r>
    <x v="134"/>
    <s v="ING"/>
    <s v="PV"/>
    <s v="PA"/>
    <x v="2"/>
    <s v="EEUU"/>
    <s v="McCarthy Abogados"/>
    <s v="Alio Gold"/>
    <s v="Technical Expert Support of the plaintiff’s allegation to Alio Gold Inc"/>
    <s v="UG"/>
    <n v="340000"/>
    <s v="Solicitud Directa"/>
    <n v="3"/>
    <x v="13"/>
    <s v="Si"/>
    <m/>
  </r>
  <r>
    <x v="135"/>
    <s v="ING"/>
    <s v="MF"/>
    <s v="PA"/>
    <x v="2"/>
    <s v="Perú"/>
    <s v="Minsur"/>
    <s v="San Rafael"/>
    <s v="Preparación IV MEIA San German"/>
    <s v="UG"/>
    <n v="240000"/>
    <s v="Solicitud Directa"/>
    <n v="3"/>
    <x v="13"/>
    <s v="Si"/>
    <m/>
  </r>
  <r>
    <x v="136"/>
    <s v="ING"/>
    <s v="PA"/>
    <s v="PA"/>
    <x v="2"/>
    <s v="Perú"/>
    <s v="Volcan"/>
    <m/>
    <s v="Revisión de validación reportes R&amp;R (15 assets)"/>
    <s v="UG"/>
    <n v="220000"/>
    <s v="Licitación"/>
    <n v="2"/>
    <x v="13"/>
    <s v="Si"/>
    <m/>
  </r>
  <r>
    <x v="137"/>
    <s v="ING"/>
    <s v="PA"/>
    <s v="PA"/>
    <x v="0"/>
    <s v="Chile"/>
    <s v="BHP"/>
    <s v="Cerro Colorado"/>
    <s v="Ing de factibilidad: Diseño de botaderos"/>
    <s v="OP"/>
    <n v="450000"/>
    <s v="Licitación"/>
    <n v="5"/>
    <x v="13"/>
    <s v="Si"/>
    <m/>
  </r>
  <r>
    <x v="138"/>
    <s v="ING"/>
    <s v="RM"/>
    <s v="PA"/>
    <x v="2"/>
    <s v="Chile"/>
    <s v="Anglo American"/>
    <s v="Los Bronces"/>
    <s v="Ing. Pre factibilidad perforación DHH"/>
    <s v="OP"/>
    <n v="180000"/>
    <s v="Solicitud Directa"/>
    <n v="4"/>
    <x v="13"/>
    <s v="No"/>
    <m/>
  </r>
  <r>
    <x v="139"/>
    <s v="ING"/>
    <s v="PV"/>
    <s v="PV"/>
    <x v="0"/>
    <s v="EEUU"/>
    <s v="BHP"/>
    <s v="Resolution"/>
    <s v="Soporte en diseño y planificación"/>
    <s v="UG"/>
    <n v="260000"/>
    <s v="Solicitud Directa"/>
    <n v="4"/>
    <x v="13"/>
    <s v="Si"/>
    <m/>
  </r>
  <r>
    <x v="140"/>
    <s v="ING"/>
    <s v="FR"/>
    <s v="FR"/>
    <x v="0"/>
    <s v="Chile"/>
    <s v="BCG"/>
    <s v="Codelco"/>
    <s v="Evaluación de la planificación de Codelco"/>
    <s v="OP"/>
    <n v="30000"/>
    <s v="Solicitud Directa"/>
    <n v="1"/>
    <x v="13"/>
    <s v="Si"/>
    <m/>
  </r>
  <r>
    <x v="141"/>
    <s v="ING"/>
    <s v="ER"/>
    <s v="PA"/>
    <x v="3"/>
    <s v="Chile"/>
    <s v="Capstone Copper"/>
    <m/>
    <s v="Sistema Integrado de Gestión de Riesgos Geotécnicos "/>
    <s v="OP"/>
    <n v="900000"/>
    <s v="Solicitud Directa"/>
    <n v="12"/>
    <x v="13"/>
    <s v="No"/>
    <m/>
  </r>
  <r>
    <x v="142"/>
    <s v="ING"/>
    <s v="PA"/>
    <s v="PA"/>
    <x v="3"/>
    <s v="Chile"/>
    <s v="Lundin"/>
    <s v="Candelaria"/>
    <s v="Ing Basica MHD UG"/>
    <s v="UG"/>
    <n v="450000"/>
    <s v="Licitación"/>
    <n v="8"/>
    <x v="13"/>
    <s v="No"/>
    <m/>
  </r>
  <r>
    <x v="143"/>
    <s v="ING"/>
    <s v="PA"/>
    <s v="PA"/>
    <x v="2"/>
    <s v="Chile"/>
    <s v="First Quantum"/>
    <s v="Cobre Panama"/>
    <s v="Lom estrategico "/>
    <s v="OP"/>
    <n v="200000"/>
    <s v="Solicitud Directa"/>
    <n v="3"/>
    <x v="13"/>
    <s v="Si"/>
    <m/>
  </r>
  <r>
    <x v="144"/>
    <s v="ING"/>
    <s v="MF"/>
    <s v="MF"/>
    <x v="0"/>
    <s v="Perú"/>
    <s v="Minsur"/>
    <s v="Raura"/>
    <s v="Análisis y Sustento LOM 25"/>
    <s v="UG"/>
    <n v="50000"/>
    <s v="Solicitud Directa"/>
    <n v="3"/>
    <x v="13"/>
    <s v="Si"/>
    <m/>
  </r>
  <r>
    <x v="145"/>
    <s v="ING"/>
    <s v="FR"/>
    <s v="FR"/>
    <x v="2"/>
    <s v="Chile"/>
    <s v="Anglo American"/>
    <s v="Los Bronces"/>
    <s v="Estudio de productividad"/>
    <s v="OP"/>
    <n v="100000"/>
    <s v="Solicitud Directa"/>
    <n v="3"/>
    <x v="13"/>
    <s v="Si"/>
    <m/>
  </r>
  <r>
    <x v="146"/>
    <s v="ING"/>
    <s v="PA"/>
    <s v="PA"/>
    <x v="2"/>
    <s v="Chile"/>
    <s v="BHP"/>
    <s v="Spence"/>
    <s v="Análisis de confiabilidad y detección de cuellos de botella del LoA 25 – Proyecto SCUT"/>
    <s v="OP"/>
    <n v="45000"/>
    <s v="Solicitud Directa"/>
    <n v="1"/>
    <x v="13"/>
    <s v="S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17FD2-D39F-4749-BDAB-6491846942D5}" name="TablaDinámica1" cacheId="1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1" firstHeaderRow="1" firstDataRow="2" firstDataCol="1"/>
  <pivotFields count="16">
    <pivotField showAll="0"/>
    <pivotField showAll="0"/>
    <pivotField showAll="0"/>
    <pivotField showAll="0"/>
    <pivotField axis="axisCol" showAll="0">
      <items count="6">
        <item x="0"/>
        <item x="3"/>
        <item x="2"/>
        <item x="1"/>
        <item x="4"/>
        <item t="default"/>
      </items>
    </pivotField>
    <pivotField axis="axisRow" showAll="0">
      <items count="7">
        <item x="0"/>
        <item x="1"/>
        <item x="4"/>
        <item x="3"/>
        <item x="2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Descripcion Oportunidad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9410B-4DA6-4186-BFB0-CAFFE10595DB}" name="TablaDinámica1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G12" firstHeaderRow="1" firstDataRow="2" firstDataCol="1"/>
  <pivotFields count="16">
    <pivotField showAll="0"/>
    <pivotField showAll="0"/>
    <pivotField showAll="0"/>
    <pivotField showAll="0"/>
    <pivotField axis="axisCol" showAll="0">
      <items count="7">
        <item x="0"/>
        <item x="3"/>
        <item x="2"/>
        <item m="1" x="5"/>
        <item x="1"/>
        <item x="4"/>
        <item t="default"/>
      </items>
    </pivotField>
    <pivotField axis="axisRow" showAll="0">
      <items count="7">
        <item x="0"/>
        <item x="1"/>
        <item x="4"/>
        <item x="3"/>
        <item x="2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6">
    <i>
      <x/>
    </i>
    <i>
      <x v="1"/>
    </i>
    <i>
      <x v="2"/>
    </i>
    <i>
      <x v="4"/>
    </i>
    <i>
      <x v="5"/>
    </i>
    <i t="grand">
      <x/>
    </i>
  </colItems>
  <dataFields count="1">
    <dataField name="Suma de Monto (USD)" fld="10" baseField="0" baseItem="0" numFmtId="4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FB6DA-97E1-4851-AED7-4DA42755B296}" name="TablaDinámica10" cacheId="1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:D154" firstHeaderRow="1" firstDataRow="1" firstDataCol="1" rowPageCount="1" colPageCount="1"/>
  <pivotFields count="16">
    <pivotField axis="axisRow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multipleItemSelectionAllowed="1" showAll="0">
      <items count="6">
        <item x="0"/>
        <item h="1" x="3"/>
        <item h="1" x="2"/>
        <item h="1" x="1"/>
        <item h="1" x="4"/>
        <item t="default"/>
      </items>
    </pivotField>
    <pivotField axis="axisPage" multipleItemSelectionAllowed="1" showAll="0">
      <items count="7">
        <item x="0"/>
        <item x="1"/>
        <item x="4"/>
        <item x="3"/>
        <item x="2"/>
        <item x="5"/>
        <item t="default"/>
      </items>
    </pivotField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Items count="1">
    <i/>
  </colItems>
  <pageFields count="1">
    <pageField fld="5" hier="-1"/>
  </pageFields>
  <dataFields count="1">
    <dataField name="Suma de Monto (USD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2A6F0-25DC-4FBF-9A6B-11FCB40983BF}" name="TablaDinámica11" cacheId="1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34" firstHeaderRow="1" firstDataRow="2" firstDataCol="1"/>
  <pivotFields count="19">
    <pivotField axis="axisRow" showAll="0" sortType="descending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5">
        <item x="0"/>
        <item h="1" x="3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3"/>
        <item x="2"/>
        <item x="4"/>
        <item x="1"/>
        <item x="7"/>
        <item x="5"/>
        <item x="6"/>
        <item x="8"/>
        <item x="10"/>
        <item x="12"/>
        <item x="9"/>
        <item x="11"/>
        <item x="1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30">
    <i>
      <x v="6"/>
    </i>
    <i>
      <x v="18"/>
    </i>
    <i>
      <x v="78"/>
    </i>
    <i>
      <x v="117"/>
    </i>
    <i>
      <x v="25"/>
    </i>
    <i>
      <x v="91"/>
    </i>
    <i>
      <x v="58"/>
    </i>
    <i>
      <x v="9"/>
    </i>
    <i>
      <x v="15"/>
    </i>
    <i>
      <x v="17"/>
    </i>
    <i>
      <x v="92"/>
    </i>
    <i>
      <x v="46"/>
    </i>
    <i>
      <x v="14"/>
    </i>
    <i>
      <x v="28"/>
    </i>
    <i>
      <x v="40"/>
    </i>
    <i>
      <x v="106"/>
    </i>
    <i>
      <x v="97"/>
    </i>
    <i>
      <x v="112"/>
    </i>
    <i>
      <x v="31"/>
    </i>
    <i>
      <x v="102"/>
    </i>
    <i>
      <x v="137"/>
    </i>
    <i>
      <x v="34"/>
    </i>
    <i>
      <x v="35"/>
    </i>
    <i>
      <x v="66"/>
    </i>
    <i>
      <x v="114"/>
    </i>
    <i>
      <x v="29"/>
    </i>
    <i>
      <x v="19"/>
    </i>
    <i>
      <x v="48"/>
    </i>
    <i>
      <x v="21"/>
    </i>
    <i>
      <x v="41"/>
    </i>
    <i>
      <x v="115"/>
    </i>
    <i>
      <x v="1"/>
    </i>
    <i>
      <x v="139"/>
    </i>
    <i>
      <x v="16"/>
    </i>
    <i>
      <x v="107"/>
    </i>
    <i>
      <x v="110"/>
    </i>
    <i>
      <x v="131"/>
    </i>
    <i>
      <x v="111"/>
    </i>
    <i>
      <x v="8"/>
    </i>
    <i>
      <x v="33"/>
    </i>
    <i>
      <x v="3"/>
    </i>
    <i>
      <x v="129"/>
    </i>
    <i>
      <x v="127"/>
    </i>
    <i>
      <x v="27"/>
    </i>
    <i>
      <x v="4"/>
    </i>
    <i>
      <x v="56"/>
    </i>
    <i>
      <x v="2"/>
    </i>
    <i>
      <x v="37"/>
    </i>
    <i>
      <x v="39"/>
    </i>
    <i>
      <x v="47"/>
    </i>
    <i>
      <x v="49"/>
    </i>
    <i>
      <x v="67"/>
    </i>
    <i>
      <x v="13"/>
    </i>
    <i>
      <x v="73"/>
    </i>
    <i>
      <x v="116"/>
    </i>
    <i>
      <x v="84"/>
    </i>
    <i>
      <x v="30"/>
    </i>
    <i>
      <x v="32"/>
    </i>
    <i>
      <x v="122"/>
    </i>
    <i>
      <x v="52"/>
    </i>
    <i>
      <x v="132"/>
    </i>
    <i>
      <x v="104"/>
    </i>
    <i>
      <x v="45"/>
    </i>
    <i>
      <x v="43"/>
    </i>
    <i>
      <x v="22"/>
    </i>
    <i>
      <x v="88"/>
    </i>
    <i>
      <x v="11"/>
    </i>
    <i>
      <x v="86"/>
    </i>
    <i>
      <x v="99"/>
    </i>
    <i>
      <x v="50"/>
    </i>
    <i>
      <x v="36"/>
    </i>
    <i>
      <x v="42"/>
    </i>
    <i>
      <x v="38"/>
    </i>
    <i>
      <x v="101"/>
    </i>
    <i>
      <x v="85"/>
    </i>
    <i>
      <x v="95"/>
    </i>
    <i>
      <x v="57"/>
    </i>
    <i>
      <x v="76"/>
    </i>
    <i>
      <x v="64"/>
    </i>
    <i>
      <x v="75"/>
    </i>
    <i>
      <x v="23"/>
    </i>
    <i>
      <x v="44"/>
    </i>
    <i>
      <x v="96"/>
    </i>
    <i>
      <x v="7"/>
    </i>
    <i>
      <x v="79"/>
    </i>
    <i>
      <x v="26"/>
    </i>
    <i>
      <x v="90"/>
    </i>
    <i>
      <x v="61"/>
    </i>
    <i>
      <x v="74"/>
    </i>
    <i>
      <x v="81"/>
    </i>
    <i>
      <x v="123"/>
    </i>
    <i>
      <x v="87"/>
    </i>
    <i>
      <x/>
    </i>
    <i>
      <x v="24"/>
    </i>
    <i>
      <x v="109"/>
    </i>
    <i>
      <x v="51"/>
    </i>
    <i>
      <x v="80"/>
    </i>
    <i>
      <x v="83"/>
    </i>
    <i>
      <x v="94"/>
    </i>
    <i>
      <x v="77"/>
    </i>
    <i>
      <x v="65"/>
    </i>
    <i>
      <x v="108"/>
    </i>
    <i>
      <x v="98"/>
    </i>
    <i>
      <x v="82"/>
    </i>
    <i>
      <x v="20"/>
    </i>
    <i>
      <x v="5"/>
    </i>
    <i>
      <x v="68"/>
    </i>
    <i>
      <x v="144"/>
    </i>
    <i>
      <x v="89"/>
    </i>
    <i>
      <x v="93"/>
    </i>
    <i>
      <x v="121"/>
    </i>
    <i>
      <x v="70"/>
    </i>
    <i>
      <x v="60"/>
    </i>
    <i>
      <x v="53"/>
    </i>
    <i>
      <x v="103"/>
    </i>
    <i>
      <x v="133"/>
    </i>
    <i>
      <x v="72"/>
    </i>
    <i>
      <x v="54"/>
    </i>
    <i>
      <x v="140"/>
    </i>
    <i>
      <x v="55"/>
    </i>
    <i>
      <x v="71"/>
    </i>
    <i>
      <x v="118"/>
    </i>
    <i>
      <x v="69"/>
    </i>
    <i>
      <x v="119"/>
    </i>
    <i>
      <x v="59"/>
    </i>
    <i>
      <x v="63"/>
    </i>
    <i>
      <x v="62"/>
    </i>
    <i>
      <x v="10"/>
    </i>
    <i>
      <x v="12"/>
    </i>
    <i t="grand">
      <x/>
    </i>
  </rowItems>
  <colFields count="1">
    <field x="4"/>
  </colFields>
  <colItems count="3">
    <i>
      <x/>
    </i>
    <i>
      <x v="3"/>
    </i>
    <i t="grand">
      <x/>
    </i>
  </colItems>
  <dataFields count="1">
    <dataField name="Suma de Monto (USD)" fld="10" baseField="0" baseItem="0"/>
  </dataFields>
  <formats count="1">
    <format dxfId="5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2C50D-146D-F64C-B0DC-DA6AF23DB91B}" name="TablaDinámica6" cacheId="1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19">
    <pivotField showAll="0"/>
    <pivotField showAll="0"/>
    <pivotField showAll="0"/>
    <pivotField showAll="0"/>
    <pivotField axis="axisPage" multipleItemSelectionAllowed="1" showAll="0">
      <items count="5">
        <item x="0"/>
        <item h="1" x="3"/>
        <item h="1" x="2"/>
        <item h="1"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3"/>
        <item x="2"/>
        <item x="4"/>
        <item x="1"/>
        <item x="7"/>
        <item x="5"/>
        <item x="6"/>
        <item x="8"/>
        <item x="10"/>
        <item x="12"/>
        <item x="9"/>
        <item x="11"/>
        <item x="13"/>
        <item t="default"/>
      </items>
    </pivotField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4" hier="-1"/>
  </pageFields>
  <dataFields count="1">
    <dataField name="Promedio de Monto (USD)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18C35-43D8-4843-97EA-314E7DA909A2}" name="TablaDinámica8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9">
  <location ref="A46:C49" firstHeaderRow="0" firstDataRow="1" firstDataCol="1" rowPageCount="3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Row" multipleItemSelectionAllowed="1" showAll="0">
      <items count="3">
        <item x="1"/>
        <item x="0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numFmtId="9" multipleItemSelectionAllowed="1" showAll="0">
      <items count="15">
        <item h="1" x="4"/>
        <item h="1" x="8"/>
        <item x="10"/>
        <item x="1"/>
        <item x="2"/>
        <item m="1" x="12"/>
        <item x="5"/>
        <item x="7"/>
        <item x="3"/>
        <item x="11"/>
        <item h="1" x="0"/>
        <item h="1" m="1" x="13"/>
        <item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-1"/>
    <pageField fld="11" hier="-1"/>
    <pageField fld="1" hier="-1"/>
  </pageFields>
  <dataFields count="2">
    <dataField name="Proyección 2024" fld="28" baseField="2" baseItem="0" numFmtId="166"/>
    <dataField name="Nro de Oportunidades" fld="4" subtotal="count" baseField="2" baseItem="0"/>
  </dataFields>
  <formats count="2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2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3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78457-C4AF-4602-A91D-A5C71DC9FB74}" name="TablaDinámica10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83:C86" firstHeaderRow="0" firstDataRow="1" firstDataCol="1" rowPageCount="3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Row" multipleItemSelectionAllowed="1" showAll="0">
      <items count="3">
        <item x="1"/>
        <item x="0"/>
        <item t="default"/>
      </items>
    </pivotField>
    <pivotField axis="axisPage" multipleItemSelectionAllowed="1" showAll="0">
      <items count="6">
        <item h="1" x="0"/>
        <item x="1"/>
        <item h="1" x="4"/>
        <item h="1"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numFmtId="9" multipleItemSelectionAllowed="1" showAll="0">
      <items count="15">
        <item h="1" x="4"/>
        <item h="1" x="8"/>
        <item x="10"/>
        <item x="1"/>
        <item x="2"/>
        <item m="1" x="12"/>
        <item x="5"/>
        <item x="7"/>
        <item x="3"/>
        <item x="11"/>
        <item h="1" x="0"/>
        <item h="1" m="1" x="13"/>
        <item h="1"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-1"/>
    <pageField fld="11" hier="-1"/>
    <pageField fld="1" hier="-1"/>
  </pageFields>
  <dataFields count="2">
    <dataField name="Proyeccion Ingreso 2024" fld="28" baseField="9" baseItem="0" numFmtId="3"/>
    <dataField name="Nro de Oportunidades" fld="4" subtotal="count" baseField="2" baseItem="0"/>
  </dataFields>
  <chartFormats count="12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A48A8-082B-44C4-A39F-B6D3A1ECC877}" name="TablaDinámica15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4">
  <location ref="A169:B175" firstHeaderRow="1" firstDataRow="1" firstDataCol="1" rowPageCount="3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multipleItemSelectionAllowed="1" showAll="0"/>
    <pivotField axis="axisRow" showAll="0">
      <items count="101">
        <item x="37"/>
        <item x="84"/>
        <item x="79"/>
        <item x="82"/>
        <item x="52"/>
        <item x="71"/>
        <item x="42"/>
        <item x="45"/>
        <item x="28"/>
        <item x="10"/>
        <item x="85"/>
        <item x="22"/>
        <item x="53"/>
        <item x="40"/>
        <item x="61"/>
        <item x="62"/>
        <item x="59"/>
        <item x="60"/>
        <item x="81"/>
        <item x="9"/>
        <item x="2"/>
        <item x="0"/>
        <item x="1"/>
        <item x="8"/>
        <item x="83"/>
        <item m="1" x="99"/>
        <item x="3"/>
        <item x="58"/>
        <item x="69"/>
        <item x="33"/>
        <item x="67"/>
        <item x="21"/>
        <item x="18"/>
        <item x="12"/>
        <item x="74"/>
        <item x="78"/>
        <item x="72"/>
        <item x="39"/>
        <item x="48"/>
        <item x="29"/>
        <item x="57"/>
        <item x="95"/>
        <item x="56"/>
        <item x="80"/>
        <item x="89"/>
        <item x="36"/>
        <item x="41"/>
        <item x="87"/>
        <item x="15"/>
        <item x="13"/>
        <item x="91"/>
        <item x="92"/>
        <item x="93"/>
        <item x="35"/>
        <item x="11"/>
        <item x="32"/>
        <item x="14"/>
        <item x="19"/>
        <item x="51"/>
        <item x="49"/>
        <item x="50"/>
        <item x="17"/>
        <item x="25"/>
        <item x="26"/>
        <item x="46"/>
        <item x="30"/>
        <item x="23"/>
        <item x="44"/>
        <item x="97"/>
        <item x="98"/>
        <item x="94"/>
        <item x="4"/>
        <item x="63"/>
        <item x="34"/>
        <item x="38"/>
        <item x="88"/>
        <item x="47"/>
        <item x="43"/>
        <item x="7"/>
        <item x="96"/>
        <item x="90"/>
        <item x="68"/>
        <item x="64"/>
        <item x="27"/>
        <item x="6"/>
        <item x="54"/>
        <item x="55"/>
        <item x="75"/>
        <item x="16"/>
        <item x="77"/>
        <item x="76"/>
        <item x="66"/>
        <item x="20"/>
        <item x="65"/>
        <item x="86"/>
        <item x="24"/>
        <item x="5"/>
        <item x="73"/>
        <item x="31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axis="axisPage" numFmtId="9" multipleItemSelectionAllowed="1" showAll="0">
      <items count="15">
        <item h="1" x="4"/>
        <item h="1" x="8"/>
        <item h="1" x="10"/>
        <item h="1" x="1"/>
        <item h="1" x="2"/>
        <item h="1" m="1" x="12"/>
        <item h="1" x="5"/>
        <item x="7"/>
        <item x="3"/>
        <item x="11"/>
        <item h="1" x="0"/>
        <item h="1" m="1" x="13"/>
        <item h="1"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44"/>
    </i>
    <i>
      <x v="55"/>
    </i>
    <i>
      <x v="64"/>
    </i>
    <i>
      <x v="84"/>
    </i>
    <i>
      <x v="96"/>
    </i>
    <i t="grand">
      <x/>
    </i>
  </rowItems>
  <colItems count="1">
    <i/>
  </colItems>
  <pageFields count="3">
    <pageField fld="11" hier="-1"/>
    <pageField fld="2" hier="-1"/>
    <pageField fld="1" hier="-1"/>
  </pageFields>
  <dataFields count="1">
    <dataField name="Proyeccion Ingresos 2024" fld="28" baseField="4" baseItem="55" numFmtId="166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2BC2E-A3AC-41A4-9B6B-38CB4E12FBFF}" name="TablaDinámica14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0">
  <location ref="A152:D159" firstHeaderRow="1" firstDataRow="2" firstDataCol="1" rowPageCount="2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Col" multipleItemSelectionAllowed="1" showAll="0">
      <items count="3">
        <item x="1"/>
        <item x="0"/>
        <item t="default"/>
      </items>
    </pivotField>
    <pivotField axis="axisRow" multipleItemSelectionAllowed="1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numFmtId="9" multipleItemSelectionAllowed="1" showAll="0">
      <items count="15">
        <item h="1" x="4"/>
        <item h="1" x="8"/>
        <item x="10"/>
        <item x="1"/>
        <item x="2"/>
        <item m="1" x="12"/>
        <item x="5"/>
        <item x="7"/>
        <item x="3"/>
        <item x="11"/>
        <item h="1" x="0"/>
        <item h="1" m="1" x="13"/>
        <item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2">
    <pageField fld="11" hier="-1"/>
    <pageField fld="1" hier="-1"/>
  </pageFields>
  <dataFields count="1">
    <dataField name="Proyeccion Ingresos 2024" fld="28" baseField="3" baseItem="0" numFmtId="166"/>
  </dataFields>
  <chartFormats count="2">
    <chartFormat chart="5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089AE-1BFB-4446-9332-3D48D479A80D}" name="TablaDinámica16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4">
  <location ref="A193:G203" firstHeaderRow="1" firstDataRow="5" firstDataCol="1" rowPageCount="3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multipleItemSelectionAllowed="1" showAll="0"/>
    <pivotField axis="axisRow" showAll="0">
      <items count="101">
        <item x="37"/>
        <item x="84"/>
        <item x="79"/>
        <item x="82"/>
        <item x="52"/>
        <item x="71"/>
        <item x="42"/>
        <item x="45"/>
        <item x="28"/>
        <item x="10"/>
        <item x="85"/>
        <item x="22"/>
        <item x="53"/>
        <item x="40"/>
        <item x="61"/>
        <item x="62"/>
        <item x="59"/>
        <item x="60"/>
        <item x="81"/>
        <item x="9"/>
        <item x="2"/>
        <item x="0"/>
        <item x="1"/>
        <item x="8"/>
        <item x="83"/>
        <item m="1" x="99"/>
        <item x="3"/>
        <item x="58"/>
        <item x="69"/>
        <item x="33"/>
        <item x="67"/>
        <item x="21"/>
        <item x="18"/>
        <item x="12"/>
        <item x="74"/>
        <item x="78"/>
        <item x="72"/>
        <item x="39"/>
        <item x="48"/>
        <item x="29"/>
        <item x="57"/>
        <item x="95"/>
        <item x="56"/>
        <item x="80"/>
        <item x="89"/>
        <item x="36"/>
        <item x="41"/>
        <item x="87"/>
        <item x="15"/>
        <item x="13"/>
        <item x="91"/>
        <item x="92"/>
        <item x="93"/>
        <item x="35"/>
        <item x="11"/>
        <item x="32"/>
        <item x="14"/>
        <item x="19"/>
        <item x="51"/>
        <item x="49"/>
        <item x="50"/>
        <item x="17"/>
        <item x="25"/>
        <item x="26"/>
        <item x="30"/>
        <item x="23"/>
        <item x="44"/>
        <item x="97"/>
        <item x="98"/>
        <item x="94"/>
        <item x="4"/>
        <item x="63"/>
        <item x="34"/>
        <item x="38"/>
        <item x="88"/>
        <item x="47"/>
        <item x="43"/>
        <item x="7"/>
        <item x="96"/>
        <item x="90"/>
        <item x="68"/>
        <item x="64"/>
        <item x="27"/>
        <item x="46"/>
        <item x="6"/>
        <item x="54"/>
        <item x="55"/>
        <item x="75"/>
        <item x="16"/>
        <item x="77"/>
        <item x="76"/>
        <item x="66"/>
        <item x="20"/>
        <item x="65"/>
        <item x="86"/>
        <item x="24"/>
        <item x="5"/>
        <item x="73"/>
        <item x="31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axis="axisPage" numFmtId="9" multipleItemSelectionAllowed="1" showAll="0">
      <items count="15">
        <item h="1" x="4"/>
        <item h="1" x="8"/>
        <item h="1" x="10"/>
        <item h="1" x="1"/>
        <item h="1" x="2"/>
        <item h="1" m="1" x="12"/>
        <item h="1" x="5"/>
        <item x="7"/>
        <item x="3"/>
        <item x="11"/>
        <item h="1" x="0"/>
        <item h="1" m="1" x="13"/>
        <item h="1" x="6"/>
        <item h="1" x="9"/>
        <item t="default"/>
      </items>
    </pivotField>
    <pivotField showAll="0"/>
    <pivotField numFmtId="41" showAll="0"/>
    <pivotField dataField="1" showAll="0"/>
    <pivotField axis="axisCol"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h="1" sd="0" x="0"/>
        <item h="1" sd="0" x="1"/>
        <item sd="0" x="2"/>
        <item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4"/>
  </rowFields>
  <rowItems count="6">
    <i>
      <x v="44"/>
    </i>
    <i>
      <x v="55"/>
    </i>
    <i>
      <x v="83"/>
    </i>
    <i>
      <x v="84"/>
    </i>
    <i>
      <x v="96"/>
    </i>
    <i t="grand">
      <x/>
    </i>
  </rowItems>
  <colFields count="4">
    <field x="32"/>
    <field x="31"/>
    <field x="15"/>
    <field x="-2"/>
  </colFields>
  <colItems count="6">
    <i>
      <x v="2"/>
      <x v="1048832"/>
      <x v="1048832"/>
      <x/>
    </i>
    <i r="3" i="1">
      <x v="1"/>
    </i>
    <i>
      <x v="3"/>
      <x v="1048832"/>
      <x v="1048832"/>
      <x/>
    </i>
    <i r="3" i="1">
      <x v="1"/>
    </i>
    <i t="grand">
      <x/>
    </i>
    <i t="grand" i="1">
      <x/>
    </i>
  </colItems>
  <pageFields count="3">
    <pageField fld="11" hier="-1"/>
    <pageField fld="2" hier="-1"/>
    <pageField fld="1" hier="-1"/>
  </pageFields>
  <dataFields count="2">
    <dataField name="Proyeccion Ingresos 2024" fld="28" baseField="3" baseItem="0" numFmtId="3"/>
    <dataField name="Suma de Duracion (meses)" fld="14" baseField="0" baseItem="0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EE875-880C-4B4C-8A3A-BE36B533EBEE}" name="TablaDinámica7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:B9" firstHeaderRow="1" firstDataRow="1" firstDataCol="1" rowPageCount="4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m="1" x="3"/>
        <item x="2"/>
        <item x="0"/>
        <item h="1" x="1"/>
        <item t="default"/>
      </items>
    </pivotField>
    <pivotField showAll="0"/>
    <pivotField axis="axisPage" numFmtId="9" multipleItemSelectionAllowed="1" showAll="0">
      <items count="15">
        <item h="1" x="4"/>
        <item h="1" x="8"/>
        <item x="10"/>
        <item x="1"/>
        <item x="2"/>
        <item m="1" x="12"/>
        <item x="5"/>
        <item x="7"/>
        <item x="3"/>
        <item x="11"/>
        <item h="1" x="0"/>
        <item h="1" m="1" x="13"/>
        <item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 v="1"/>
    </i>
    <i>
      <x v="2"/>
    </i>
    <i t="grand">
      <x/>
    </i>
  </rowItems>
  <colItems count="1">
    <i/>
  </colItems>
  <pageFields count="4">
    <pageField fld="3" hier="-1"/>
    <pageField fld="2" hier="-1"/>
    <pageField fld="11" hier="-1"/>
    <pageField fld="1" hier="-1"/>
  </pageFields>
  <dataFields count="1">
    <dataField name="Proyeccion Ingreso 2024" fld="28" baseField="9" baseItem="0" numFmtId="166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9E96D-AADB-4F66-9896-AD566E8C3CEF}" name="TablaDinámica9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65:C68" firstHeaderRow="0" firstDataRow="1" firstDataCol="1" rowPageCount="3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Row" multipleItemSelectionAllowed="1" showAll="0">
      <items count="3">
        <item x="1"/>
        <item x="0"/>
        <item t="default"/>
      </items>
    </pivotField>
    <pivotField axis="axisPage" multipleItemSelectionAllowed="1" showAll="0">
      <items count="6">
        <item x="0"/>
        <item h="1" x="1"/>
        <item h="1" x="4"/>
        <item h="1"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numFmtId="9" multipleItemSelectionAllowed="1" showAll="0">
      <items count="15">
        <item h="1" x="4"/>
        <item h="1" x="8"/>
        <item x="10"/>
        <item x="1"/>
        <item x="2"/>
        <item m="1" x="12"/>
        <item x="5"/>
        <item x="7"/>
        <item x="3"/>
        <item x="11"/>
        <item h="1" x="0"/>
        <item h="1" m="1" x="13"/>
        <item h="1"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-1"/>
    <pageField fld="11" hier="-1"/>
    <pageField fld="1" hier="-1"/>
  </pageFields>
  <dataFields count="2">
    <dataField name="Proyeccion Ingreso 2024" fld="28" baseField="9" baseItem="0" numFmtId="3"/>
    <dataField name="Nro de Oportunidades" fld="4" subtotal="count" baseField="2" baseItem="0"/>
  </dataFields>
  <chartFormats count="12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8CCEB-F8FD-4316-932B-2A8DF8097D0E}" name="TablaDinámica13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38:C140" firstHeaderRow="0" firstDataRow="1" firstDataCol="1" rowPageCount="3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Row" multipleItemSelectionAllowed="1" showAll="0">
      <items count="3">
        <item x="1"/>
        <item x="0"/>
        <item t="default"/>
      </items>
    </pivotField>
    <pivotField axis="axisPage" multipleItemSelectionAllowed="1" showAll="0">
      <items count="6">
        <item h="1" x="0"/>
        <item h="1" x="1"/>
        <item h="1" x="4"/>
        <item h="1"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numFmtId="9" multipleItemSelectionAllowed="1" showAll="0">
      <items count="15">
        <item h="1" x="4"/>
        <item h="1" x="8"/>
        <item x="10"/>
        <item x="1"/>
        <item x="2"/>
        <item m="1" x="12"/>
        <item x="5"/>
        <item x="7"/>
        <item x="3"/>
        <item x="11"/>
        <item h="1" x="0"/>
        <item h="1" m="1" x="13"/>
        <item h="1"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-1"/>
    <pageField fld="11" hier="-1"/>
    <pageField fld="1" hier="-1"/>
  </pageFields>
  <dataFields count="2">
    <dataField name="Proyeccion Ingreso 2024" fld="28" baseField="9" baseItem="0" numFmtId="3"/>
    <dataField name="Nro de Oportunidades" fld="4" subtotal="count" baseField="2" baseItem="0"/>
  </dataFields>
  <chartFormats count="10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BD0A6-D4F5-4070-BEA7-C95391684C4C}" name="TablaDinámica18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4">
  <location ref="A221:B231" firstHeaderRow="1" firstDataRow="1" firstDataCol="1" rowPageCount="3" colPageCount="1"/>
  <pivotFields count="33"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multipleItemSelectionAllowed="1" showAll="0"/>
    <pivotField axis="axisRow" showAll="0">
      <items count="101">
        <item x="37"/>
        <item x="84"/>
        <item x="79"/>
        <item x="82"/>
        <item x="52"/>
        <item x="71"/>
        <item x="42"/>
        <item x="45"/>
        <item x="28"/>
        <item x="10"/>
        <item x="85"/>
        <item x="22"/>
        <item x="53"/>
        <item x="40"/>
        <item x="61"/>
        <item x="62"/>
        <item x="59"/>
        <item x="60"/>
        <item x="81"/>
        <item x="9"/>
        <item x="2"/>
        <item x="0"/>
        <item x="1"/>
        <item x="8"/>
        <item x="83"/>
        <item m="1" x="99"/>
        <item x="3"/>
        <item x="58"/>
        <item x="69"/>
        <item x="33"/>
        <item x="67"/>
        <item x="21"/>
        <item x="18"/>
        <item x="12"/>
        <item x="74"/>
        <item x="78"/>
        <item x="72"/>
        <item x="39"/>
        <item x="48"/>
        <item x="29"/>
        <item x="57"/>
        <item x="95"/>
        <item x="56"/>
        <item x="80"/>
        <item x="89"/>
        <item x="36"/>
        <item x="41"/>
        <item x="87"/>
        <item x="15"/>
        <item x="13"/>
        <item x="91"/>
        <item x="92"/>
        <item x="93"/>
        <item x="35"/>
        <item x="11"/>
        <item x="32"/>
        <item x="14"/>
        <item x="19"/>
        <item x="51"/>
        <item x="49"/>
        <item x="50"/>
        <item x="17"/>
        <item x="25"/>
        <item x="26"/>
        <item x="46"/>
        <item x="30"/>
        <item x="23"/>
        <item x="44"/>
        <item x="97"/>
        <item x="98"/>
        <item x="94"/>
        <item x="4"/>
        <item x="63"/>
        <item x="34"/>
        <item x="38"/>
        <item x="88"/>
        <item x="47"/>
        <item x="43"/>
        <item x="7"/>
        <item x="96"/>
        <item x="90"/>
        <item x="68"/>
        <item x="64"/>
        <item x="27"/>
        <item x="6"/>
        <item x="54"/>
        <item x="55"/>
        <item x="75"/>
        <item x="16"/>
        <item x="77"/>
        <item x="76"/>
        <item x="66"/>
        <item x="20"/>
        <item x="65"/>
        <item x="86"/>
        <item x="24"/>
        <item x="5"/>
        <item x="73"/>
        <item x="31"/>
        <item x="70"/>
        <item t="default"/>
      </items>
    </pivotField>
    <pivotField showAll="0"/>
    <pivotField axis="axisRow" showAll="0">
      <items count="68">
        <item x="19"/>
        <item x="31"/>
        <item x="61"/>
        <item x="33"/>
        <item x="23"/>
        <item x="44"/>
        <item x="38"/>
        <item x="37"/>
        <item x="14"/>
        <item x="49"/>
        <item x="24"/>
        <item x="22"/>
        <item x="3"/>
        <item x="17"/>
        <item x="46"/>
        <item x="32"/>
        <item x="27"/>
        <item x="30"/>
        <item x="29"/>
        <item x="28"/>
        <item x="5"/>
        <item x="40"/>
        <item x="6"/>
        <item x="7"/>
        <item x="9"/>
        <item x="11"/>
        <item x="8"/>
        <item x="12"/>
        <item x="39"/>
        <item x="10"/>
        <item x="13"/>
        <item x="45"/>
        <item x="51"/>
        <item x="52"/>
        <item x="47"/>
        <item x="59"/>
        <item x="1"/>
        <item x="58"/>
        <item x="66"/>
        <item x="35"/>
        <item x="34"/>
        <item x="42"/>
        <item x="43"/>
        <item x="62"/>
        <item x="2"/>
        <item x="25"/>
        <item x="41"/>
        <item x="54"/>
        <item x="20"/>
        <item x="48"/>
        <item x="26"/>
        <item x="56"/>
        <item x="55"/>
        <item x="53"/>
        <item x="0"/>
        <item x="65"/>
        <item x="36"/>
        <item x="57"/>
        <item x="21"/>
        <item x="64"/>
        <item x="63"/>
        <item x="15"/>
        <item x="60"/>
        <item x="18"/>
        <item x="50"/>
        <item x="4"/>
        <item x="16"/>
        <item t="default"/>
      </items>
    </pivotField>
    <pivotField showAll="0"/>
    <pivotField axis="axisPage" multipleItemSelectionAllowed="1" showAll="0">
      <items count="7">
        <item h="1" x="0"/>
        <item h="1" x="1"/>
        <item x="3"/>
        <item h="1" x="4"/>
        <item h="1" x="2"/>
        <item h="1" x="5"/>
        <item t="default"/>
      </items>
    </pivotField>
    <pivotField showAll="0"/>
    <pivotField showAll="0"/>
    <pivotField axis="axisPage" numFmtId="9" multipleItemSelectionAllowed="1" showAll="0">
      <items count="15">
        <item x="4"/>
        <item x="8"/>
        <item x="10"/>
        <item x="1"/>
        <item x="2"/>
        <item m="1" x="12"/>
        <item x="5"/>
        <item x="7"/>
        <item x="3"/>
        <item x="11"/>
        <item x="0"/>
        <item h="1" m="1" x="13"/>
        <item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6"/>
    <field x="4"/>
  </rowFields>
  <rowItems count="10">
    <i>
      <x v="10"/>
    </i>
    <i r="1">
      <x v="65"/>
    </i>
    <i>
      <x v="25"/>
    </i>
    <i r="1">
      <x v="61"/>
    </i>
    <i>
      <x v="37"/>
    </i>
    <i r="1">
      <x v="47"/>
    </i>
    <i>
      <x v="43"/>
    </i>
    <i r="1">
      <x v="51"/>
    </i>
    <i r="1">
      <x v="52"/>
    </i>
    <i t="grand">
      <x/>
    </i>
  </rowItems>
  <colItems count="1">
    <i/>
  </colItems>
  <pageFields count="3">
    <pageField fld="11" hier="-1"/>
    <pageField fld="8" hier="-1"/>
    <pageField fld="2" hier="-1"/>
  </pageFields>
  <dataFields count="1">
    <dataField name="Proyeccion Ingresos 2024" fld="28" baseField="4" baseItem="55" numFmtId="166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EA5A5-66CB-46B5-9E2E-82F061EB8A40}" name="TablaDinámica11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00:C103" firstHeaderRow="0" firstDataRow="1" firstDataCol="1" rowPageCount="3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Row" multipleItemSelectionAllowed="1" showAll="0">
      <items count="3">
        <item x="1"/>
        <item x="0"/>
        <item t="default"/>
      </items>
    </pivotField>
    <pivotField axis="axisPage" multipleItemSelectionAllowed="1" showAll="0">
      <items count="6">
        <item h="1" x="0"/>
        <item h="1" x="1"/>
        <item x="4"/>
        <item h="1"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numFmtId="9" multipleItemSelectionAllowed="1" showAll="0">
      <items count="15">
        <item h="1" x="4"/>
        <item h="1" x="8"/>
        <item x="10"/>
        <item x="1"/>
        <item x="2"/>
        <item m="1" x="12"/>
        <item x="5"/>
        <item x="7"/>
        <item x="3"/>
        <item x="11"/>
        <item h="1" x="0"/>
        <item h="1" m="1" x="13"/>
        <item h="1"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-1"/>
    <pageField fld="11" hier="-1"/>
    <pageField fld="1" hier="-1"/>
  </pageFields>
  <dataFields count="2">
    <dataField name="Proyeccion Ingreso 2024" fld="28" baseField="9" baseItem="0" numFmtId="3"/>
    <dataField name="Nro de Oportunidades" fld="4" subtotal="count" baseField="2" baseItem="0"/>
  </dataFields>
  <chartFormats count="12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3AD97-9AF0-43A6-8AB5-B7C2D9785E08}" name="TablaDinámica12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19:C122" firstHeaderRow="0" firstDataRow="1" firstDataCol="1" rowPageCount="3" colPageCount="1"/>
  <pivotFields count="33">
    <pivotField showAll="0"/>
    <pivotField axis="axisPage" showAll="0">
      <items count="10">
        <item x="0"/>
        <item x="6"/>
        <item x="1"/>
        <item x="4"/>
        <item x="3"/>
        <item x="8"/>
        <item x="7"/>
        <item x="2"/>
        <item x="5"/>
        <item t="default"/>
      </items>
    </pivotField>
    <pivotField axis="axisRow" multipleItemSelectionAllowed="1" showAll="0">
      <items count="3">
        <item x="1"/>
        <item x="0"/>
        <item t="default"/>
      </items>
    </pivotField>
    <pivotField axis="axisPage" multipleItemSelectionAllowed="1" showAll="0">
      <items count="6">
        <item h="1" x="0"/>
        <item h="1" x="1"/>
        <item h="1" x="4"/>
        <item x="2"/>
        <item h="1"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Page" numFmtId="9" multipleItemSelectionAllowed="1" showAll="0">
      <items count="15">
        <item h="1" x="4"/>
        <item h="1" x="8"/>
        <item x="10"/>
        <item x="1"/>
        <item x="2"/>
        <item m="1" x="12"/>
        <item x="5"/>
        <item x="7"/>
        <item x="3"/>
        <item x="11"/>
        <item h="1" x="0"/>
        <item h="1" m="1" x="13"/>
        <item h="1" x="6"/>
        <item h="1" x="9"/>
        <item t="default"/>
      </items>
    </pivotField>
    <pivotField showAll="0"/>
    <pivotField numFmtId="41" showAll="0"/>
    <pivotField showAll="0"/>
    <pivotField showAll="0">
      <items count="13">
        <item x="0"/>
        <item x="5"/>
        <item x="9"/>
        <item x="3"/>
        <item x="1"/>
        <item x="7"/>
        <item x="6"/>
        <item x="2"/>
        <item x="11"/>
        <item x="8"/>
        <item x="1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-1"/>
    <pageField fld="11" hier="-1"/>
    <pageField fld="1" hier="-1"/>
  </pageFields>
  <dataFields count="2">
    <dataField name="Proyeccion Ingreso 2024" fld="28" baseField="9" baseItem="0" numFmtId="3"/>
    <dataField name="Nro de Oportunidades" fld="4" subtotal="count" baseField="2" baseItem="0"/>
  </dataFields>
  <chartFormats count="12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5" dT="2024-08-20T02:07:19.31" personId="{7C4C8A63-9C16-4CB1-8889-F0CACFA3E15D}" id="{C3DC1D89-2EB0-45D3-B648-1613EB6C910C}">
    <text>Actualizar HH, plata y lo que sea en base de datos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Z23" dT="2024-01-29T21:07:25.79" personId="{8E060334-C131-4304-B17F-BF68BCBE2961}" id="{73FB74E8-3345-4CEF-9A6B-4E16AC26069A}">
    <text>EDP 1 y 2</text>
  </threadedComment>
  <threadedComment ref="AA23" dT="2024-01-29T21:07:34.64" personId="{8E060334-C131-4304-B17F-BF68BCBE2961}" id="{82D4410E-5AFD-451E-B54A-A9BCA7523735}">
    <text>EDP 3</text>
  </threadedComment>
  <threadedComment ref="Y24" dT="2024-01-29T21:09:43.16" personId="{8E060334-C131-4304-B17F-BF68BCBE2961}" id="{D2AC3F67-EC05-46A0-9675-DD7F8DC311EA}">
    <text>EDP 1</text>
  </threadedComment>
  <threadedComment ref="Z24" dT="2024-01-29T21:08:09.27" personId="{8E060334-C131-4304-B17F-BF68BCBE2961}" id="{513F6AD0-7274-4CC3-9134-23396EFE1691}">
    <text>EDP 2</text>
  </threadedComment>
  <threadedComment ref="AA24" dT="2024-01-29T21:07:47.82" personId="{8E060334-C131-4304-B17F-BF68BCBE2961}" id="{90B59F8C-CD96-4DCB-9F3E-258F50214607}">
    <text>EDP 3</text>
  </threadedComment>
  <threadedComment ref="AB24" dT="2024-01-29T21:07:56.71" personId="{8E060334-C131-4304-B17F-BF68BCBE2961}" id="{BF541654-D1F7-471E-AD41-72BCF9D48EE3}">
    <text>EDP 4</text>
  </threadedComment>
  <threadedComment ref="Z27" dT="2024-01-29T21:22:51.06" personId="{8E060334-C131-4304-B17F-BF68BCBE2961}" id="{B9F79398-ACF7-4AFA-85E4-99BE548B34FB}">
    <text>BM 13, BM 14 y BM 15</text>
  </threadedComment>
  <threadedComment ref="I29" dT="2023-07-25T17:19:31.68" personId="{8E060334-C131-4304-B17F-BF68BCBE2961}" id="{2EECFCF4-FF64-4F91-BB33-6E4811B35A0D}">
    <text>Confirmar monto</text>
  </threadedComment>
  <threadedComment ref="Y53" dT="2024-01-29T21:09:57.72" personId="{8E060334-C131-4304-B17F-BF68BCBE2961}" id="{7BAA3A6F-4C81-4B60-8F39-67EE573611A4}">
    <text>EDP 1</text>
  </threadedComment>
  <threadedComment ref="AA53" dT="2024-01-29T21:10:08.53" personId="{8E060334-C131-4304-B17F-BF68BCBE2961}" id="{D29A9C10-FF87-43E3-A5FC-97A1CEC224E5}">
    <text>EDP 2</text>
  </threadedComment>
  <threadedComment ref="AB53" dT="2024-01-29T21:10:16.96" personId="{8E060334-C131-4304-B17F-BF68BCBE2961}" id="{CD2DB3A1-9320-4880-80E9-B3BB840A289C}">
    <text>EDP 3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32" dT="2023-07-25T17:19:31.68" personId="{8E060334-C131-4304-B17F-BF68BCBE2961}" id="{E4F52F86-112D-4124-B511-A82667437BA5}">
    <text>Confirmar monto</text>
  </threadedComment>
  <threadedComment ref="K38" dT="2023-06-29T14:58:08.14" personId="{244267F2-5391-44FB-A368-52A39032901D}" id="{6436BF15-F26F-41AF-811B-F9AC1B67F684}">
    <text>No Adjudicado - Monto 240 KUS$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32" dT="2023-07-25T17:19:31.68" personId="{8E060334-C131-4304-B17F-BF68BCBE2961}" id="{3D2E9E27-315E-4418-AB3F-05013EA57FD0}">
    <text>Confirmar monto</text>
  </threadedComment>
  <threadedComment ref="K38" dT="2023-06-29T14:58:08.14" personId="{244267F2-5391-44FB-A368-52A39032901D}" id="{FDF64386-7B27-4331-9D25-0C1B080ACE33}">
    <text>No Adjudicado - Monto 240 KUS$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12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11" Type="http://schemas.openxmlformats.org/officeDocument/2006/relationships/pivotTable" Target="../pivotTables/pivotTable16.xml"/><Relationship Id="rId5" Type="http://schemas.openxmlformats.org/officeDocument/2006/relationships/pivotTable" Target="../pivotTables/pivotTable10.xml"/><Relationship Id="rId10" Type="http://schemas.openxmlformats.org/officeDocument/2006/relationships/pivotTable" Target="../pivotTables/pivotTable15.xml"/><Relationship Id="rId4" Type="http://schemas.openxmlformats.org/officeDocument/2006/relationships/pivotTable" Target="../pivotTables/pivotTable9.xml"/><Relationship Id="rId9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257F-F990-49A7-8D52-F258C7D0459C}">
  <dimension ref="A1:BG35"/>
  <sheetViews>
    <sheetView zoomScale="110" zoomScaleNormal="100" workbookViewId="0">
      <selection activeCell="C3" sqref="C3"/>
    </sheetView>
  </sheetViews>
  <sheetFormatPr baseColWidth="10" defaultColWidth="11.5" defaultRowHeight="15" x14ac:dyDescent="0.2"/>
  <cols>
    <col min="1" max="1" width="11.5" style="388"/>
    <col min="2" max="2" width="26.6640625" bestFit="1" customWidth="1"/>
    <col min="4" max="4" width="4.33203125" customWidth="1"/>
    <col min="5" max="5" width="26.6640625" bestFit="1" customWidth="1"/>
    <col min="7" max="7" width="5" customWidth="1"/>
    <col min="8" max="8" width="26.6640625" bestFit="1" customWidth="1"/>
    <col min="12" max="12" width="26.6640625" bestFit="1" customWidth="1"/>
    <col min="13" max="13" width="12.6640625" bestFit="1" customWidth="1"/>
    <col min="15" max="15" width="19.33203125" customWidth="1"/>
    <col min="16" max="16" width="13.1640625" bestFit="1" customWidth="1"/>
    <col min="18" max="18" width="26.6640625" bestFit="1" customWidth="1"/>
    <col min="20" max="20" width="12.33203125" bestFit="1" customWidth="1"/>
    <col min="21" max="21" width="26.6640625" bestFit="1" customWidth="1"/>
    <col min="24" max="24" width="14.1640625" customWidth="1"/>
    <col min="25" max="25" width="13.83203125" customWidth="1"/>
    <col min="26" max="26" width="18" bestFit="1" customWidth="1"/>
    <col min="27" max="27" width="18.5" bestFit="1" customWidth="1"/>
    <col min="28" max="28" width="24.5" bestFit="1" customWidth="1"/>
    <col min="32" max="32" width="22.33203125" bestFit="1" customWidth="1"/>
    <col min="35" max="35" width="22.6640625" bestFit="1" customWidth="1"/>
    <col min="36" max="36" width="7.1640625" customWidth="1"/>
    <col min="47" max="47" width="14.5" bestFit="1" customWidth="1"/>
    <col min="48" max="59" width="13.83203125" style="269" customWidth="1"/>
  </cols>
  <sheetData>
    <row r="1" spans="2:59" ht="16" thickBot="1" x14ac:dyDescent="0.25">
      <c r="AI1" s="244"/>
      <c r="AJ1" s="244"/>
      <c r="AK1" s="244"/>
    </row>
    <row r="2" spans="2:59" ht="16" thickBot="1" x14ac:dyDescent="0.25">
      <c r="B2" s="615" t="s">
        <v>0</v>
      </c>
      <c r="C2" s="616"/>
      <c r="E2" s="617" t="s">
        <v>1</v>
      </c>
      <c r="F2" s="618"/>
      <c r="H2" s="617" t="s">
        <v>2</v>
      </c>
      <c r="I2" s="618"/>
      <c r="L2" s="610" t="s">
        <v>3</v>
      </c>
      <c r="M2" s="611"/>
      <c r="O2" s="610" t="s">
        <v>4</v>
      </c>
      <c r="P2" s="611"/>
      <c r="R2" s="610" t="s">
        <v>5</v>
      </c>
      <c r="S2" s="611"/>
      <c r="U2" s="610" t="s">
        <v>6</v>
      </c>
      <c r="V2" s="611"/>
      <c r="X2" s="300" t="s">
        <v>7</v>
      </c>
      <c r="Y2" s="300" t="s">
        <v>8</v>
      </c>
      <c r="Z2" s="300" t="s">
        <v>9</v>
      </c>
      <c r="AA2" s="390" t="s">
        <v>10</v>
      </c>
      <c r="AB2" s="390" t="s">
        <v>11</v>
      </c>
      <c r="AC2" s="390" t="s">
        <v>12</v>
      </c>
      <c r="AF2" s="349" t="s">
        <v>13</v>
      </c>
      <c r="AG2" s="363" t="e">
        <f>+SUMIFS('Base de Datos 2024'!#REF!,'Base de Datos 2024'!#REF!,"Propuesta",'Base de Datos 2024'!E:E,"Adjudicada",'Base de Datos 2024'!#REF!,"=1",'Base de Datos 2024'!#REF!,"2024")</f>
        <v>#REF!</v>
      </c>
      <c r="AI2" s="608" t="s">
        <v>14</v>
      </c>
      <c r="AJ2" s="609"/>
      <c r="AK2" s="244"/>
      <c r="AL2" s="620" t="s">
        <v>15</v>
      </c>
      <c r="AM2" s="620"/>
      <c r="AN2" s="620"/>
      <c r="AP2" s="619" t="s">
        <v>16</v>
      </c>
      <c r="AQ2" s="619"/>
      <c r="AR2" s="619"/>
      <c r="AV2" s="205">
        <v>45292</v>
      </c>
      <c r="AW2" s="205">
        <v>45323</v>
      </c>
      <c r="AX2" s="205">
        <v>45352</v>
      </c>
      <c r="AY2" s="205">
        <v>45383</v>
      </c>
      <c r="AZ2" s="206">
        <v>45413</v>
      </c>
      <c r="BA2" s="205">
        <v>45444</v>
      </c>
      <c r="BB2" s="205">
        <v>45474</v>
      </c>
      <c r="BC2" s="205">
        <v>45505</v>
      </c>
      <c r="BD2" s="205">
        <v>45536</v>
      </c>
      <c r="BE2" s="205">
        <v>45566</v>
      </c>
      <c r="BF2" s="205">
        <v>45597</v>
      </c>
      <c r="BG2" s="205">
        <v>45627</v>
      </c>
    </row>
    <row r="3" spans="2:59" ht="16" thickBot="1" x14ac:dyDescent="0.25">
      <c r="B3" s="392" t="s">
        <v>17</v>
      </c>
      <c r="C3" s="393" t="e">
        <f>COUNTIFS('Base de Datos 2024'!#REF!,"Iniciativa",'Base de Datos 2024'!#REF!,"2024",'Base de Datos 2024'!#REF!,"&gt;0,1")</f>
        <v>#REF!</v>
      </c>
      <c r="E3" s="291" t="s">
        <v>17</v>
      </c>
      <c r="F3" s="292" t="e">
        <f>+COUNTIFS('Base de Datos 2024'!#REF!,"Iniciativa",'Base de Datos 2024'!F:F,"Chile",'Base de Datos 2024'!#REF!,"2024")</f>
        <v>#REF!</v>
      </c>
      <c r="H3" s="291" t="s">
        <v>17</v>
      </c>
      <c r="I3" s="292" t="e">
        <f>+COUNTIFS('Base de Datos 2024'!#REF!,"Iniciativa",'Base de Datos 2024'!F:F,"Rusia",'Base de Datos 2024'!#REF!,"2024")</f>
        <v>#REF!</v>
      </c>
      <c r="L3" s="291" t="s">
        <v>18</v>
      </c>
      <c r="M3" s="373" t="e">
        <f>+SUMIFS('Base de Datos 2024'!K:K,'Base de Datos 2024'!#REF!,"Iniciativa",'Base de Datos 2024'!#REF!,"2024",'Base de Datos 2024'!#REF!,"&gt;0,01")/1000000</f>
        <v>#REF!</v>
      </c>
      <c r="O3" s="291" t="s">
        <v>18</v>
      </c>
      <c r="P3" s="373" t="e">
        <f>+SUMIFS('Base de Datos 2024'!K:K,'Base de Datos 2024'!#REF!,"Iniciativa",'Base de Datos 2024'!#REF!,"&gt;0,1",'Base de Datos 2024'!#REF!,"2024")/1000000</f>
        <v>#REF!</v>
      </c>
      <c r="R3" s="291" t="s">
        <v>18</v>
      </c>
      <c r="S3" s="373" t="e">
        <f>+SUMIFS('Base de Datos 2024'!#REF!,'Base de Datos 2024'!#REF!,"Iniciativa",'Base de Datos 2024'!#REF!,"2024")/1000000</f>
        <v>#REF!</v>
      </c>
      <c r="U3" s="401" t="s">
        <v>19</v>
      </c>
      <c r="V3" s="402" t="e">
        <f>+SUMIFS('Base de Datos 2024'!#REF!,'Base de Datos 2024'!#REF!,"Propuesta",'Base de Datos 2024'!#REF!,"&gt;0,1",'Base de Datos 2024'!#REF!,"2024")/1000000</f>
        <v>#REF!</v>
      </c>
      <c r="X3" s="298" t="s">
        <v>18</v>
      </c>
      <c r="Y3" s="355" t="e">
        <f>+P3</f>
        <v>#REF!</v>
      </c>
      <c r="Z3" s="355" t="e">
        <f>+V8</f>
        <v>#REF!</v>
      </c>
      <c r="AA3" s="355" t="e">
        <f>+Y3*$AJ$4</f>
        <v>#REF!</v>
      </c>
      <c r="AB3" s="355" t="e">
        <f>+Z3*$AJ$4</f>
        <v>#REF!</v>
      </c>
      <c r="AK3" s="244"/>
      <c r="AU3" s="245" t="s">
        <v>20</v>
      </c>
      <c r="AV3" s="312" t="e">
        <f>+SUMIFS('Base de Datos 2024'!#REF!,'Base de Datos 2024'!#REF!,"Propuesta",'Base de Datos 2024'!$E:$E,"Adjudicada",'Base de Datos 2024'!#REF!,"2024")</f>
        <v>#REF!</v>
      </c>
      <c r="AW3" s="312" t="e">
        <f>+SUMIFS('Base de Datos 2024'!#REF!,'Base de Datos 2024'!#REF!,"Propuesta",'Base de Datos 2024'!$E:$E,"Adjudicada",'Base de Datos 2024'!#REF!,"2024")</f>
        <v>#REF!</v>
      </c>
      <c r="AX3" s="312" t="e">
        <f>+SUMIFS('Base de Datos 2024'!#REF!,'Base de Datos 2024'!#REF!,"Propuesta",'Base de Datos 2024'!$E:$E,"Adjudicada",'Base de Datos 2024'!#REF!,"2024")</f>
        <v>#REF!</v>
      </c>
      <c r="AY3" s="312" t="e">
        <f>+SUMIFS('Base de Datos 2024'!#REF!,'Base de Datos 2024'!#REF!,"Propuesta",'Base de Datos 2024'!$E:$E,"Adjudicada",'Base de Datos 2024'!#REF!,"2024")</f>
        <v>#REF!</v>
      </c>
      <c r="AZ3" s="312" t="e">
        <f>+SUMIFS('Base de Datos 2024'!#REF!,'Base de Datos 2024'!#REF!,"Propuesta",'Base de Datos 2024'!$E:$E,"Adjudicada",'Base de Datos 2024'!#REF!,"2024")</f>
        <v>#REF!</v>
      </c>
      <c r="BA3" s="312" t="e">
        <f>+SUMIFS('Base de Datos 2024'!#REF!,'Base de Datos 2024'!#REF!,"Propuesta",'Base de Datos 2024'!$E:$E,"Adjudicada",'Base de Datos 2024'!#REF!,"2024")</f>
        <v>#REF!</v>
      </c>
      <c r="BB3" s="312" t="e">
        <f>+SUMIFS('Base de Datos 2024'!#REF!,'Base de Datos 2024'!#REF!,"Propuesta",'Base de Datos 2024'!$E:$E,"Adjudicada",'Base de Datos 2024'!#REF!,"2024")</f>
        <v>#REF!</v>
      </c>
      <c r="BC3" s="312" t="e">
        <f>+SUMIFS('Base de Datos 2024'!#REF!,'Base de Datos 2024'!#REF!,"Propuesta",'Base de Datos 2024'!$E:$E,"Adjudicada",'Base de Datos 2024'!#REF!,"2024")</f>
        <v>#REF!</v>
      </c>
      <c r="BD3" s="312" t="e">
        <f>+SUMIFS('Base de Datos 2024'!#REF!,'Base de Datos 2024'!#REF!,"Propuesta",'Base de Datos 2024'!$E:$E,"Adjudicada",'Base de Datos 2024'!#REF!,"2024")</f>
        <v>#REF!</v>
      </c>
      <c r="BE3" s="312" t="e">
        <f>+SUMIFS('Base de Datos 2024'!#REF!,'Base de Datos 2024'!#REF!,"Propuesta",'Base de Datos 2024'!$E:$E,"Adjudicada",'Base de Datos 2024'!#REF!,"2024")</f>
        <v>#REF!</v>
      </c>
      <c r="BF3" s="312" t="e">
        <f>+SUMIFS('Base de Datos 2024'!#REF!,'Base de Datos 2024'!#REF!,"Propuesta",'Base de Datos 2024'!$E:$E,"Adjudicada",'Base de Datos 2024'!#REF!,"2024")</f>
        <v>#REF!</v>
      </c>
      <c r="BG3" s="312" t="e">
        <f>+SUMIFS('Base de Datos 2024'!#REF!,'Base de Datos 2024'!#REF!,"Propuesta",'Base de Datos 2024'!$E:$E,"Adjudicada",'Base de Datos 2024'!#REF!,"2024")</f>
        <v>#REF!</v>
      </c>
    </row>
    <row r="4" spans="2:59" ht="21" thickBot="1" x14ac:dyDescent="0.25">
      <c r="B4" s="392" t="s">
        <v>21</v>
      </c>
      <c r="C4" s="393" t="e">
        <f>+COUNTIFS('Base de Datos 2024'!#REF!,"Propuesta",'Base de Datos 2024'!#REF!,"2024",'Base de Datos 2024'!#REF!,"&gt;0,1")-C8</f>
        <v>#REF!</v>
      </c>
      <c r="E4" s="293" t="s">
        <v>21</v>
      </c>
      <c r="F4" s="294" t="e">
        <f>+COUNTIFS('Base de Datos 2024'!#REF!,"Propuesta",'Base de Datos 2024'!F:F,"Chile",'Base de Datos 2024'!#REF!,"2024")</f>
        <v>#REF!</v>
      </c>
      <c r="H4" s="293" t="s">
        <v>21</v>
      </c>
      <c r="I4" s="294" t="e">
        <f>+COUNTIFS('Base de Datos 2024'!#REF!,"Propuesta",'Base de Datos 2024'!F:F,"Rusia",'Base de Datos 2024'!#REF!,"2024")</f>
        <v>#REF!</v>
      </c>
      <c r="L4" s="293" t="s">
        <v>22</v>
      </c>
      <c r="M4" s="374" t="e">
        <f>+(SUMIFS('Base de Datos 2024'!K:K,'Base de Datos 2024'!#REF!,"Propuesta",'Base de Datos 2024'!#REF!,"2024"))/1000000-(M8+M9)</f>
        <v>#REF!</v>
      </c>
      <c r="O4" s="293" t="s">
        <v>22</v>
      </c>
      <c r="P4" s="374" t="e">
        <f>+SUMIFS('Base de Datos 2024'!K:K,'Base de Datos 2024'!#REF!,"Propuesta",'Base de Datos 2024'!#REF!,"&gt;0,1",'Base de Datos 2024'!#REF!,"2024")/1000000-P10</f>
        <v>#REF!</v>
      </c>
      <c r="R4" s="293" t="s">
        <v>22</v>
      </c>
      <c r="S4" s="374" t="e">
        <f>+SUMIFS('Base de Datos 2024'!#REF!,'Base de Datos 2024'!#REF!,"Propuesta",'Base de Datos 2024'!#REF!,"2024")/1000000-S10</f>
        <v>#REF!</v>
      </c>
      <c r="U4" s="386" t="s">
        <v>23</v>
      </c>
      <c r="V4" s="387" t="e">
        <f>+SUMIFS('Base de Datos 2024'!#REF!,'Base de Datos 2024'!#REF!,"Propuesta",'Base de Datos 2024'!E:E,"En Construcción",'Base de Datos 2024'!#REF!,"&gt;0,1",'Base de Datos 2024'!#REF!,"2024")/1000000</f>
        <v>#REF!</v>
      </c>
      <c r="X4" s="298" t="s">
        <v>22</v>
      </c>
      <c r="Y4" s="355" t="e">
        <f>+P4</f>
        <v>#REF!</v>
      </c>
      <c r="Z4" s="355" t="e">
        <f>+V3</f>
        <v>#REF!</v>
      </c>
      <c r="AA4" s="355" t="e">
        <f>+(P7+P8)*$AJ$4+P9</f>
        <v>#REF!</v>
      </c>
      <c r="AB4" s="355" t="e">
        <f>(V4+V5)*$AJ$4+V6</f>
        <v>#REF!</v>
      </c>
      <c r="AI4" s="244" t="s">
        <v>24</v>
      </c>
      <c r="AJ4" s="358" t="e">
        <f>+AJ5/(AJ6+AJ5)</f>
        <v>#REF!</v>
      </c>
      <c r="AK4" s="244"/>
      <c r="AL4" s="244" t="s">
        <v>25</v>
      </c>
      <c r="AM4" s="360" t="e">
        <f>+M8</f>
        <v>#REF!</v>
      </c>
      <c r="AN4" s="361" t="e">
        <f>+AM4/AM6</f>
        <v>#REF!</v>
      </c>
      <c r="AP4" s="360" t="s">
        <v>25</v>
      </c>
      <c r="AQ4" s="360" t="e">
        <f>+V6</f>
        <v>#REF!</v>
      </c>
      <c r="AR4" s="361" t="e">
        <f>+AQ4/AQ6</f>
        <v>#REF!</v>
      </c>
      <c r="AU4" s="245" t="s">
        <v>26</v>
      </c>
      <c r="AV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AW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AX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AY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AZ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BA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BB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BC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BD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BE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BF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  <c r="BG4" s="312" t="e">
        <f>+SUMIFS('Base de Datos 2024'!#REF!,'Base de Datos 2024'!#REF!,"&gt;0,1",'Base de Datos 2024'!#REF!,"2024",'Base de Datos 2024'!$E:$E,"Hallazgo Inicial",'Base de Datos 2024'!$E:$E,"En Construccion (Word)",'Base de Datos 2024'!$E:$E,"En Construccion (PPT+Excel)")</f>
        <v>#REF!</v>
      </c>
    </row>
    <row r="5" spans="2:59" ht="21" thickBot="1" x14ac:dyDescent="0.25">
      <c r="B5" s="394" t="s">
        <v>19</v>
      </c>
      <c r="C5" s="395" t="e">
        <f>+C4+C3</f>
        <v>#REF!</v>
      </c>
      <c r="E5" s="289" t="s">
        <v>27</v>
      </c>
      <c r="F5" s="290" t="e">
        <f>+COUNTIFS('Base de Datos 2024'!E:E,"En Construcción",'Base de Datos 2024'!#REF!,"Propuesta",'Base de Datos 2024'!F:F,"Chile",'Base de Datos 2024'!#REF!,"2024")</f>
        <v>#REF!</v>
      </c>
      <c r="H5" s="289" t="s">
        <v>27</v>
      </c>
      <c r="I5" s="287" t="e">
        <f>+COUNTIFS('Base de Datos 2024'!E:E,"En Construcción",'Base de Datos 2024'!#REF!,"Propuesta",'Base de Datos 2024'!F:F,"Rusia",'Base de Datos 2024'!#REF!,"2024")</f>
        <v>#REF!</v>
      </c>
      <c r="L5" s="297" t="s">
        <v>19</v>
      </c>
      <c r="M5" s="377" t="e">
        <f>+M4+M3</f>
        <v>#REF!</v>
      </c>
      <c r="O5" s="372" t="s">
        <v>19</v>
      </c>
      <c r="P5" s="377" t="e">
        <f>+P4+P3</f>
        <v>#REF!</v>
      </c>
      <c r="Q5" s="388"/>
      <c r="R5" s="389" t="s">
        <v>19</v>
      </c>
      <c r="S5" s="377" t="e">
        <f>+S4+S3</f>
        <v>#REF!</v>
      </c>
      <c r="T5" s="388"/>
      <c r="U5" s="282" t="s">
        <v>28</v>
      </c>
      <c r="V5" s="375" t="e">
        <f>+SUMIFS('Base de Datos 2024'!#REF!,'Base de Datos 2024'!#REF!,"Propuesta",'Base de Datos 2024'!E:E,"Enviada / Seguimiento",'Base de Datos 2024'!#REF!,"&gt;0,1",'Base de Datos 2024'!#REF!,"2024")/1000000</f>
        <v>#REF!</v>
      </c>
      <c r="X5" s="299" t="s">
        <v>19</v>
      </c>
      <c r="Y5" s="355" t="e">
        <f>+P5</f>
        <v>#REF!</v>
      </c>
      <c r="Z5" s="355" t="e">
        <f>+V9</f>
        <v>#REF!</v>
      </c>
      <c r="AA5" s="355" t="e">
        <f>+AA4+AA3</f>
        <v>#REF!</v>
      </c>
      <c r="AB5" s="355" t="e">
        <f>+AB4+AB3</f>
        <v>#REF!</v>
      </c>
      <c r="AF5" s="218" t="e">
        <f>+AG2</f>
        <v>#REF!</v>
      </c>
      <c r="AI5" s="244" t="s">
        <v>29</v>
      </c>
      <c r="AJ5" s="356" t="e">
        <f>+C8</f>
        <v>#REF!</v>
      </c>
      <c r="AK5" s="244"/>
      <c r="AL5" s="244" t="s">
        <v>30</v>
      </c>
      <c r="AM5" s="362" t="e">
        <f>+SUMIFS('Base de Datos 2024'!K:K,'Base de Datos 2024'!#REF!,"&gt;0,5",'Base de Datos 2024'!#REF!,"2024")/1000000</f>
        <v>#REF!</v>
      </c>
      <c r="AN5" s="359" t="e">
        <f>+AM5/AM6</f>
        <v>#REF!</v>
      </c>
      <c r="AP5" s="362" t="s">
        <v>30</v>
      </c>
      <c r="AQ5" s="362" t="e">
        <f>+SUMIFS('Base de Datos 2024'!#REF!,'Base de Datos 2024'!#REF!,"&gt;0,5",'Base de Datos 2024'!#REF!,"2024")/1000000</f>
        <v>#REF!</v>
      </c>
      <c r="AR5" s="359" t="e">
        <f>+AQ5/AQ6</f>
        <v>#REF!</v>
      </c>
      <c r="AU5" s="299" t="s">
        <v>19</v>
      </c>
      <c r="AV5" s="368" t="e">
        <f>+AV4+AV3</f>
        <v>#REF!</v>
      </c>
      <c r="AW5" s="368" t="e">
        <f t="shared" ref="AW5:BG5" si="0">+AW4+AW3</f>
        <v>#REF!</v>
      </c>
      <c r="AX5" s="368" t="e">
        <f t="shared" si="0"/>
        <v>#REF!</v>
      </c>
      <c r="AY5" s="368" t="e">
        <f t="shared" si="0"/>
        <v>#REF!</v>
      </c>
      <c r="AZ5" s="368" t="e">
        <f t="shared" si="0"/>
        <v>#REF!</v>
      </c>
      <c r="BA5" s="368" t="e">
        <f t="shared" si="0"/>
        <v>#REF!</v>
      </c>
      <c r="BB5" s="368" t="e">
        <f t="shared" si="0"/>
        <v>#REF!</v>
      </c>
      <c r="BC5" s="368" t="e">
        <f t="shared" si="0"/>
        <v>#REF!</v>
      </c>
      <c r="BD5" s="368" t="e">
        <f t="shared" si="0"/>
        <v>#REF!</v>
      </c>
      <c r="BE5" s="368" t="e">
        <f t="shared" si="0"/>
        <v>#REF!</v>
      </c>
      <c r="BF5" s="368" t="e">
        <f t="shared" si="0"/>
        <v>#REF!</v>
      </c>
      <c r="BG5" s="368" t="e">
        <f t="shared" si="0"/>
        <v>#REF!</v>
      </c>
    </row>
    <row r="6" spans="2:59" ht="21" thickBot="1" x14ac:dyDescent="0.25">
      <c r="B6" s="289" t="s">
        <v>27</v>
      </c>
      <c r="C6" s="290" t="e">
        <f>+COUNTIFS('Base de Datos 2024'!E:E,"En Construcción",'Base de Datos 2024'!#REF!,"Propuesta",'Base de Datos 2024'!#REF!,"2024",'Base de Datos 2024'!#REF!,"&gt;0,1")</f>
        <v>#REF!</v>
      </c>
      <c r="E6" s="282"/>
      <c r="F6" s="287"/>
      <c r="H6" s="282"/>
      <c r="L6" s="404" t="s">
        <v>23</v>
      </c>
      <c r="M6" s="387" t="e">
        <f>+SUMIFS('Base de Datos 2024'!K:K,'Base de Datos 2024'!#REF!,"Propuesta",'Base de Datos 2024'!E:E,"En Construcción",'Base de Datos 2024'!#REF!,"2024")/1000000</f>
        <v>#REF!</v>
      </c>
      <c r="O6" s="269" t="s">
        <v>31</v>
      </c>
      <c r="P6" s="391" t="e">
        <f>+P5/15</f>
        <v>#REF!</v>
      </c>
      <c r="U6" s="283" t="s">
        <v>20</v>
      </c>
      <c r="V6" s="376" t="e">
        <f>+SUMIFS('Base de Datos 2024'!#REF!,'Base de Datos 2024'!#REF!,"Propuesta",'Base de Datos 2024'!E:E,"Adjudicada",'Base de Datos 2024'!#REF!,"&gt;0,1",'Base de Datos 2024'!#REF!,"2024")/1000000</f>
        <v>#REF!</v>
      </c>
      <c r="AI6" s="244" t="s">
        <v>32</v>
      </c>
      <c r="AJ6" s="357" t="e">
        <f>+C9</f>
        <v>#REF!</v>
      </c>
      <c r="AK6" s="244"/>
      <c r="AL6" s="244" t="s">
        <v>33</v>
      </c>
      <c r="AM6" s="360">
        <f>15000000/1000000</f>
        <v>15</v>
      </c>
      <c r="AN6" s="244"/>
      <c r="AP6" s="360" t="s">
        <v>33</v>
      </c>
      <c r="AQ6" s="360">
        <v>10</v>
      </c>
      <c r="AR6" s="244"/>
    </row>
    <row r="7" spans="2:59" ht="16" thickBot="1" x14ac:dyDescent="0.25">
      <c r="B7" s="282" t="s">
        <v>34</v>
      </c>
      <c r="C7" s="287" t="e">
        <f>+COUNTIFS('Base de Datos 2024'!E:E,"Enviada / Seguimiento",'Base de Datos 2024'!#REF!,"Propuesta",'Base de Datos 2024'!#REF!,"2024",'Base de Datos 2024'!#REF!,"&gt;0,1")</f>
        <v>#REF!</v>
      </c>
      <c r="E7" s="282" t="s">
        <v>34</v>
      </c>
      <c r="F7" s="287" t="e">
        <f>+COUNTIFS('Base de Datos 2024'!E:E,"Enviada / Seguimiento",'Base de Datos 2024'!#REF!,"Propuesta",'Base de Datos 2024'!F:F,"Chile",'Base de Datos 2024'!#REF!,"2024")</f>
        <v>#REF!</v>
      </c>
      <c r="H7" s="282" t="s">
        <v>34</v>
      </c>
      <c r="I7" s="287" t="e">
        <f>+COUNTIFS('Base de Datos 2024'!E:E,"Enviada / Seguimiento",'Base de Datos 2024'!#REF!,"Propuesta",'Base de Datos 2024'!F:F,"Rusia",'Base de Datos 2024'!#REF!,"2024")</f>
        <v>#REF!</v>
      </c>
      <c r="L7" s="405" t="s">
        <v>28</v>
      </c>
      <c r="M7" s="376" t="e">
        <f>+SUMIFS('Base de Datos 2024'!K:K,'Base de Datos 2024'!#REF!,"Propuesta",'Base de Datos 2024'!E:E,"Enviada / Seguimiento",'Base de Datos 2024'!#REF!,"2024")/1000000</f>
        <v>#REF!</v>
      </c>
      <c r="O7" s="386" t="s">
        <v>23</v>
      </c>
      <c r="P7" s="387" t="e">
        <f>+SUMIFS('Base de Datos 2024'!K:K,'Base de Datos 2024'!#REF!,"Propuesta",'Base de Datos 2024'!E:E,"En Construcción",'Base de Datos 2024'!#REF!,"&gt;0,1",'Base de Datos 2024'!#REF!,"2024")/1000000</f>
        <v>#REF!</v>
      </c>
      <c r="R7" s="386" t="s">
        <v>23</v>
      </c>
      <c r="S7" s="387" t="e">
        <f>+SUMIFS('Base de Datos 2024'!#REF!,'Base de Datos 2024'!#REF!,"Propuesta",'Base de Datos 2024'!E:E,"En Construcción",'Base de Datos 2024'!#REF!,"2024")/1000000</f>
        <v>#REF!</v>
      </c>
      <c r="AI7" s="244"/>
      <c r="AJ7" s="244"/>
      <c r="AK7" s="244"/>
      <c r="AL7" s="244"/>
      <c r="AM7" s="244"/>
    </row>
    <row r="8" spans="2:59" ht="16" thickBot="1" x14ac:dyDescent="0.25">
      <c r="B8" s="283" t="s">
        <v>35</v>
      </c>
      <c r="C8" s="288" t="e">
        <f>+COUNTIFS('Base de Datos 2024'!E:E,"Adjudicada",'Base de Datos 2024'!#REF!,"Propuesta",'Base de Datos 2024'!#REF!,"2024",'Base de Datos 2024'!#REF!,"&gt;0,1")</f>
        <v>#REF!</v>
      </c>
      <c r="E8" s="282" t="s">
        <v>35</v>
      </c>
      <c r="F8" s="287" t="e">
        <f>+COUNTIFS('Base de Datos 2024'!E:E,"Adjudicada",'Base de Datos 2024'!#REF!,"Propuesta",'Base de Datos 2024'!F:F,"Chile",'Base de Datos 2024'!#REF!,"2024")</f>
        <v>#REF!</v>
      </c>
      <c r="H8" s="282" t="s">
        <v>35</v>
      </c>
      <c r="I8" s="287" t="e">
        <f>+COUNTIFS('Base de Datos 2024'!E:E,"Adjudicada",'Base de Datos 2024'!#REF!,"Propuesta",'Base de Datos 2024'!F:F,"Rusia",'Base de Datos 2024'!#REF!,"2024")</f>
        <v>#REF!</v>
      </c>
      <c r="L8" s="282" t="s">
        <v>20</v>
      </c>
      <c r="M8" s="375" t="e">
        <f>+SUMIFS('Base de Datos 2024'!K:K,'Base de Datos 2024'!#REF!,"Propuesta",'Base de Datos 2024'!E:E,"Adjudicada",'Base de Datos 2024'!#REF!,"2024")/1000000</f>
        <v>#REF!</v>
      </c>
      <c r="O8" s="282" t="s">
        <v>28</v>
      </c>
      <c r="P8" s="375" t="e">
        <f>+SUMIFS('Base de Datos 2024'!K:K,'Base de Datos 2024'!#REF!,"Propuesta",'Base de Datos 2024'!E:E,"Enviada / Seguimiento",'Base de Datos 2024'!#REF!,"&gt;0,1",'Base de Datos 2024'!#REF!,"2024")/1000000</f>
        <v>#REF!</v>
      </c>
      <c r="R8" s="282" t="s">
        <v>28</v>
      </c>
      <c r="S8" s="375" t="e">
        <f>+SUMIFS('Base de Datos 2024'!#REF!,'Base de Datos 2024'!#REF!,"Propuesta",'Base de Datos 2024'!E:E,"Enviada / Seguimiento",'Base de Datos 2024'!#REF!,"2024")/1000000</f>
        <v>#REF!</v>
      </c>
      <c r="U8" s="399" t="s">
        <v>18</v>
      </c>
      <c r="V8" s="400" t="e">
        <f>+SUMIFS('Base de Datos 2024'!#REF!,'Base de Datos 2024'!#REF!,"Iniciativa",'Base de Datos 2024'!#REF!,"&gt;0,1",'Base de Datos 2024'!#REF!,"2024")/1000000</f>
        <v>#REF!</v>
      </c>
      <c r="AI8" s="244"/>
      <c r="AJ8" s="244"/>
      <c r="AK8" s="244"/>
      <c r="AL8" s="244"/>
      <c r="AM8" s="244"/>
    </row>
    <row r="9" spans="2:59" ht="16" thickBot="1" x14ac:dyDescent="0.25">
      <c r="B9" s="283" t="s">
        <v>36</v>
      </c>
      <c r="C9" s="288" t="e">
        <f>+COUNTIFS('Base de Datos 2024'!E:E,"No Adjudicada",'Base de Datos 2024'!#REF!,"Propuesta",'Base de Datos 2024'!#REF!,"2024")</f>
        <v>#REF!</v>
      </c>
      <c r="E9" s="283" t="s">
        <v>36</v>
      </c>
      <c r="F9" s="288" t="e">
        <f>+COUNTIFS('Base de Datos 2024'!E:E,"No Adjudicada",'Base de Datos 2024'!#REF!,"Propuesta",'Base de Datos 2024'!F:F,"Chile",'Base de Datos 2024'!#REF!,"2024")</f>
        <v>#REF!</v>
      </c>
      <c r="H9" s="283" t="s">
        <v>36</v>
      </c>
      <c r="I9" s="288" t="e">
        <f>+COUNTIFS('Base de Datos 2024'!E:E,"No Adjudicada",'Base de Datos 2024'!#REF!,"Propuesta",'Base de Datos 2024'!F:F,"Rusia",'Base de Datos 2024'!#REF!,"2024")</f>
        <v>#REF!</v>
      </c>
      <c r="L9" s="283" t="s">
        <v>37</v>
      </c>
      <c r="M9" s="376" t="e">
        <f>+SUMIFS('Base de Datos 2024'!K:K,'Base de Datos 2024'!#REF!,"Propuesta",'Base de Datos 2024'!E:E,"No Adjudicada",'Base de Datos 2024'!#REF!,"2024")/1000000</f>
        <v>#REF!</v>
      </c>
      <c r="O9" s="283" t="s">
        <v>20</v>
      </c>
      <c r="P9" s="376" t="e">
        <f>+SUMIFS('Base de Datos 2024'!K:K,'Base de Datos 2024'!#REF!,"Propuesta",'Base de Datos 2024'!E:E,"Adjudicada",'Base de Datos 2024'!#REF!,"&gt;0,1",'Base de Datos 2024'!#REF!,"2024")/1000000</f>
        <v>#REF!</v>
      </c>
      <c r="R9" s="283" t="s">
        <v>20</v>
      </c>
      <c r="S9" s="376" t="e">
        <f>+SUMIFS('Base de Datos 2024'!#REF!,'Base de Datos 2024'!#REF!,"Propuesta",'Base de Datos 2024'!E:E,"Adjudicada",'Base de Datos 2024'!#REF!,"2024")/1000000</f>
        <v>#REF!</v>
      </c>
      <c r="U9" s="389" t="s">
        <v>19</v>
      </c>
      <c r="V9" s="377" t="e">
        <f>+V3</f>
        <v>#REF!</v>
      </c>
      <c r="AI9" s="244"/>
      <c r="AJ9" s="244"/>
      <c r="AK9" s="244"/>
      <c r="AL9" s="244"/>
      <c r="AM9" s="244"/>
    </row>
    <row r="10" spans="2:59" ht="16" thickBot="1" x14ac:dyDescent="0.25">
      <c r="C10" t="e">
        <f>+C4-(SUM(C6:C9))</f>
        <v>#REF!</v>
      </c>
      <c r="F10" t="e">
        <f>+F4-(SUM(F5:F9))</f>
        <v>#REF!</v>
      </c>
      <c r="I10" t="e">
        <f>+I4-(SUM(I5:I9))</f>
        <v>#REF!</v>
      </c>
      <c r="O10" s="384" t="s">
        <v>37</v>
      </c>
      <c r="P10" s="385" t="e">
        <f>+SUMIFS('Base de Datos 2024'!K:K,'Base de Datos 2024'!#REF!,"Propuesta",'Base de Datos 2024'!E:E,"No Adjudicada",'Base de Datos 2024'!#REF!,"&gt;0,1",'Base de Datos 2024'!#REF!,"2024")/1000000</f>
        <v>#REF!</v>
      </c>
      <c r="R10" s="384" t="s">
        <v>37</v>
      </c>
      <c r="S10" s="385" t="e">
        <f>+SUMIFS('Base de Datos 2024'!#REF!,'Base de Datos 2024'!#REF!,"Propuesta",'Base de Datos 2024'!E:E,"No Adjudicada",'Base de Datos 2024'!#REF!,"2024")/1000000</f>
        <v>#REF!</v>
      </c>
      <c r="U10" s="384" t="s">
        <v>37</v>
      </c>
      <c r="V10" s="385" t="e">
        <f>+SUMIFS('Base de Datos 2024'!#REF!,'Base de Datos 2024'!#REF!,"Propuesta",'Base de Datos 2024'!E:E,"No Adjudicada",'Base de Datos 2024'!#REF!,"&gt;0,1",'Base de Datos 2024'!#REF!,"2024")/1000000</f>
        <v>#REF!</v>
      </c>
      <c r="W10" s="248"/>
      <c r="AI10" s="244"/>
      <c r="AJ10" s="244"/>
      <c r="AK10" s="244"/>
      <c r="AL10" s="244"/>
      <c r="AM10" s="244"/>
    </row>
    <row r="11" spans="2:59" ht="16" thickBot="1" x14ac:dyDescent="0.25">
      <c r="B11" s="617" t="s">
        <v>38</v>
      </c>
      <c r="C11" s="618"/>
      <c r="E11" s="617" t="s">
        <v>39</v>
      </c>
      <c r="F11" s="618"/>
      <c r="H11" s="617" t="s">
        <v>40</v>
      </c>
      <c r="I11" s="618"/>
      <c r="AI11" s="244"/>
      <c r="AJ11" s="244"/>
      <c r="AK11" s="244"/>
      <c r="AL11" s="244"/>
      <c r="AM11" s="244"/>
    </row>
    <row r="12" spans="2:59" ht="16" thickBot="1" x14ac:dyDescent="0.25">
      <c r="B12" s="291" t="s">
        <v>17</v>
      </c>
      <c r="C12" s="292" t="e">
        <f>+COUNTIFS('Base de Datos 2024'!#REF!,"Iniciativa",'Base de Datos 2024'!F:F,"Perú",'Base de Datos 2024'!#REF!,"2024")</f>
        <v>#REF!</v>
      </c>
      <c r="E12" s="291" t="s">
        <v>17</v>
      </c>
      <c r="F12" s="292" t="e">
        <f>+COUNTIFS('Base de Datos 2024'!#REF!,"Iniciativa",'Base de Datos 2024'!F:F,"EEUU",'Base de Datos 2024'!#REF!,"2024")</f>
        <v>#REF!</v>
      </c>
      <c r="H12" s="291" t="s">
        <v>17</v>
      </c>
      <c r="I12" s="292" t="e">
        <f>+COUNTIFS('Base de Datos 2024'!#REF!,"Iniciativa",'Base de Datos 2024'!F:F,"Brasil",'Base de Datos 2024'!#REF!,"2024")</f>
        <v>#REF!</v>
      </c>
      <c r="N12" s="626" t="s">
        <v>41</v>
      </c>
      <c r="O12" s="627"/>
      <c r="P12" s="628"/>
      <c r="R12" s="626" t="s">
        <v>42</v>
      </c>
      <c r="S12" s="627"/>
      <c r="T12" s="628"/>
    </row>
    <row r="13" spans="2:59" ht="16" thickBot="1" x14ac:dyDescent="0.25">
      <c r="B13" s="293" t="s">
        <v>21</v>
      </c>
      <c r="C13" s="294" t="e">
        <f>+COUNTIFS('Base de Datos 2024'!#REF!,"Propuesta",'Base de Datos 2024'!F:F,"Perú",'Base de Datos 2024'!#REF!,"2024")</f>
        <v>#REF!</v>
      </c>
      <c r="E13" s="293" t="s">
        <v>21</v>
      </c>
      <c r="F13" s="294" t="e">
        <f>+COUNTIFS('Base de Datos 2024'!#REF!,"Propuesta",'Base de Datos 2024'!F:F,"EEUU",'Base de Datos 2024'!#REF!,"2024")</f>
        <v>#REF!</v>
      </c>
      <c r="H13" s="293" t="s">
        <v>21</v>
      </c>
      <c r="I13" s="294" t="e">
        <f>+COUNTIFS('Base de Datos 2024'!#REF!,"Propuesta",'Base de Datos 2024'!F:F,"Brasil",'Base de Datos 2024'!#REF!,"2024")</f>
        <v>#REF!</v>
      </c>
      <c r="N13" s="613" t="s">
        <v>43</v>
      </c>
      <c r="O13" s="350" t="s">
        <v>18</v>
      </c>
      <c r="P13" s="378" t="e">
        <f>+SUMIFS('Base de Datos 2024'!K:K,'Base de Datos 2024'!#REF!,"Iniciativa",'Base de Datos 2024'!#REF!,"&gt;0,1",'Base de Datos 2024'!F:F,"Chile",'Base de Datos 2024'!#REF!,"2024")/1000000</f>
        <v>#REF!</v>
      </c>
      <c r="R13" s="613" t="s">
        <v>43</v>
      </c>
      <c r="S13" s="350" t="s">
        <v>18</v>
      </c>
      <c r="T13" s="378" t="e">
        <f>+SUMIFS('Base de Datos 2024'!#REF!,'Base de Datos 2024'!#REF!,"Iniciativa",'Base de Datos 2024'!#REF!,"&gt;0,1",'Base de Datos 2024'!F:F,"Chile",'Base de Datos 2024'!#REF!,"2024")/1000000</f>
        <v>#REF!</v>
      </c>
      <c r="X13" s="248"/>
    </row>
    <row r="14" spans="2:59" ht="16" thickBot="1" x14ac:dyDescent="0.25">
      <c r="B14" s="289" t="s">
        <v>27</v>
      </c>
      <c r="C14" s="290" t="e">
        <f>+COUNTIFS('Base de Datos 2024'!E:E,"En Construcción",'Base de Datos 2024'!#REF!,"Propuesta",'Base de Datos 2024'!F:F,"Perú",'Base de Datos 2024'!#REF!,"2024")</f>
        <v>#REF!</v>
      </c>
      <c r="E14" s="289" t="s">
        <v>27</v>
      </c>
      <c r="F14" s="290" t="e">
        <f>+COUNTIFS('Base de Datos 2024'!E:E,"En Construcción",'Base de Datos 2024'!#REF!,"Propuesta",'Base de Datos 2024'!F:F,"EEUU",'Base de Datos 2024'!#REF!,"2024")</f>
        <v>#REF!</v>
      </c>
      <c r="H14" s="289" t="s">
        <v>27</v>
      </c>
      <c r="I14" s="290" t="e">
        <f>+COUNTIFS('Base de Datos 2024'!E:E,"En Construcción",'Base de Datos 2024'!#REF!,"Propuesta",'Base de Datos 2024'!F:F,"Brasil",'Base de Datos 2024'!#REF!,"2024")</f>
        <v>#REF!</v>
      </c>
      <c r="N14" s="614"/>
      <c r="O14" s="351" t="s">
        <v>22</v>
      </c>
      <c r="P14" s="379" t="e">
        <f>+SUMIFS('Base de Datos 2024'!K:K,'Base de Datos 2024'!#REF!,"Propuesta",'Base de Datos 2024'!#REF!,"&gt;0,1",'Base de Datos 2024'!F:F,"Chile",'Base de Datos 2024'!#REF!,"2024")/1000000</f>
        <v>#REF!</v>
      </c>
      <c r="R14" s="614"/>
      <c r="S14" s="351" t="s">
        <v>22</v>
      </c>
      <c r="T14" s="379" t="e">
        <f>+SUMIFS('Base de Datos 2024'!#REF!,'Base de Datos 2024'!#REF!,"Propuesta",'Base de Datos 2024'!#REF!,"&gt;0,1",'Base de Datos 2024'!F:F,"Chile",'Base de Datos 2024'!#REF!,"2024")/1000000</f>
        <v>#REF!</v>
      </c>
    </row>
    <row r="15" spans="2:59" x14ac:dyDescent="0.2">
      <c r="B15" s="282"/>
      <c r="C15" s="287"/>
      <c r="E15" s="282"/>
      <c r="F15" s="287"/>
      <c r="H15" s="282"/>
      <c r="I15" s="287"/>
      <c r="N15" s="613" t="s">
        <v>44</v>
      </c>
      <c r="O15" s="350" t="s">
        <v>18</v>
      </c>
      <c r="P15" s="378" t="e">
        <f>+SUMIFS('Base de Datos 2024'!K:K,'Base de Datos 2024'!#REF!,"Iniciativa",'Base de Datos 2024'!#REF!,"&gt;0,1",'Base de Datos 2024'!F:F,"EEUU",'Base de Datos 2024'!#REF!,"2024")/1000000</f>
        <v>#REF!</v>
      </c>
      <c r="R15" s="613" t="s">
        <v>44</v>
      </c>
      <c r="S15" s="350" t="s">
        <v>18</v>
      </c>
      <c r="T15" s="378" t="e">
        <f>+SUMIFS('Base de Datos 2024'!#REF!,'Base de Datos 2024'!#REF!,"Iniciativa",'Base de Datos 2024'!#REF!,"&gt;0,1",'Base de Datos 2024'!F:F,"EEUU",'Base de Datos 2024'!#REF!,"2024")/1000000</f>
        <v>#REF!</v>
      </c>
    </row>
    <row r="16" spans="2:59" ht="16" thickBot="1" x14ac:dyDescent="0.25">
      <c r="B16" s="282" t="s">
        <v>34</v>
      </c>
      <c r="C16" s="287" t="e">
        <f>+COUNTIFS('Base de Datos 2024'!E:E,"Enviada / Seguimiento",'Base de Datos 2024'!#REF!,"Propuesta",'Base de Datos 2024'!F:F,"Perú",'Base de Datos 2024'!#REF!,"2024")</f>
        <v>#REF!</v>
      </c>
      <c r="E16" s="282" t="s">
        <v>34</v>
      </c>
      <c r="F16" s="287" t="e">
        <f>+COUNTIFS('Base de Datos 2024'!E:E,"Enviada / Seguimiento",'Base de Datos 2024'!#REF!,"Propuesta",'Base de Datos 2024'!F:F,"EEUU",'Base de Datos 2024'!#REF!,"2024")</f>
        <v>#REF!</v>
      </c>
      <c r="H16" s="282" t="s">
        <v>34</v>
      </c>
      <c r="I16" s="287" t="e">
        <f>+COUNTIFS('Base de Datos 2024'!E:E,"Enviada / Seguimiento",'Base de Datos 2024'!#REF!,"Propuesta",'Base de Datos 2024'!F:F,"Brasil",'Base de Datos 2024'!#REF!,"2024")</f>
        <v>#REF!</v>
      </c>
      <c r="N16" s="614"/>
      <c r="O16" s="351" t="s">
        <v>22</v>
      </c>
      <c r="P16" s="379" t="e">
        <f>+SUMIFS('Base de Datos 2024'!K:K,'Base de Datos 2024'!#REF!,"Propuesta",'Base de Datos 2024'!#REF!,"&gt;0,1",'Base de Datos 2024'!F:F,"EEUU",'Base de Datos 2024'!#REF!,"2024")/1000000</f>
        <v>#REF!</v>
      </c>
      <c r="R16" s="614"/>
      <c r="S16" s="351" t="s">
        <v>22</v>
      </c>
      <c r="T16" s="379" t="e">
        <f>+SUMIFS('Base de Datos 2024'!#REF!,'Base de Datos 2024'!#REF!,"Propuesta",'Base de Datos 2024'!#REF!,"&gt;0,1",'Base de Datos 2024'!F:F,"EEUU",'Base de Datos 2024'!#REF!,"2024")/1000000</f>
        <v>#REF!</v>
      </c>
    </row>
    <row r="17" spans="2:24" x14ac:dyDescent="0.2">
      <c r="B17" s="282" t="s">
        <v>35</v>
      </c>
      <c r="C17" s="287" t="e">
        <f>+COUNTIFS('Base de Datos 2024'!E:E,"Adjudicada",'Base de Datos 2024'!#REF!,"Propuesta",'Base de Datos 2024'!F:F,"Perú",'Base de Datos 2024'!#REF!,"2024")</f>
        <v>#REF!</v>
      </c>
      <c r="E17" s="282" t="s">
        <v>35</v>
      </c>
      <c r="F17" s="287" t="e">
        <f>+COUNTIFS('Base de Datos 2024'!E:E,"Adjudicada",'Base de Datos 2024'!#REF!,"Propuesta",'Base de Datos 2024'!F:F,"EEUU",'Base de Datos 2024'!#REF!,"2024")</f>
        <v>#REF!</v>
      </c>
      <c r="H17" s="282" t="s">
        <v>35</v>
      </c>
      <c r="I17" s="287" t="e">
        <f>+COUNTIFS('Base de Datos 2024'!E:E,"Adjudicada",'Base de Datos 2024'!#REF!,"Propuesta",'Base de Datos 2024'!F:F,"Brasil",'Base de Datos 2024'!#REF!,"2024")</f>
        <v>#REF!</v>
      </c>
      <c r="N17" s="613" t="s">
        <v>45</v>
      </c>
      <c r="O17" s="350" t="s">
        <v>18</v>
      </c>
      <c r="P17" s="378" t="e">
        <f>+SUMIFS('Base de Datos 2024'!K:K,'Base de Datos 2024'!#REF!,"Iniciativa",'Base de Datos 2024'!#REF!,"&gt;0,1",'Base de Datos 2024'!F:F,"Brasil",'Base de Datos 2024'!#REF!,"2024")/1000000</f>
        <v>#REF!</v>
      </c>
      <c r="R17" s="613" t="s">
        <v>45</v>
      </c>
      <c r="S17" s="350" t="s">
        <v>18</v>
      </c>
      <c r="T17" s="378" t="e">
        <f>+SUMIFS('Base de Datos 2024'!#REF!,'Base de Datos 2024'!#REF!,"Iniciativa",'Base de Datos 2024'!#REF!,"&gt;0,1",'Base de Datos 2024'!F:F,"Brasil",'Base de Datos 2024'!#REF!,"2024")/1000000</f>
        <v>#REF!</v>
      </c>
    </row>
    <row r="18" spans="2:24" ht="16" thickBot="1" x14ac:dyDescent="0.25">
      <c r="B18" s="283" t="s">
        <v>36</v>
      </c>
      <c r="C18" s="288" t="e">
        <f>+COUNTIFS('Base de Datos 2024'!E:E,"No Adjudicada",'Base de Datos 2024'!#REF!,"Propuesta",'Base de Datos 2024'!F:F,"Perú",'Base de Datos 2024'!#REF!,"2024")</f>
        <v>#REF!</v>
      </c>
      <c r="E18" s="283" t="s">
        <v>36</v>
      </c>
      <c r="F18" s="288" t="e">
        <f>+COUNTIFS('Base de Datos 2024'!E:E,"No Adjudicada",'Base de Datos 2024'!#REF!,"Propuesta",'Base de Datos 2024'!F:F,"EEUU",'Base de Datos 2024'!#REF!,"2024")</f>
        <v>#REF!</v>
      </c>
      <c r="H18" s="283" t="s">
        <v>36</v>
      </c>
      <c r="I18" s="288" t="e">
        <f>+COUNTIFS('Base de Datos 2024'!E:E,"No Adjudicada",'Base de Datos 2024'!#REF!,"Propuesta",'Base de Datos 2024'!F:F,"Brasil",'Base de Datos 2024'!#REF!,"2024")</f>
        <v>#REF!</v>
      </c>
      <c r="N18" s="614"/>
      <c r="O18" s="351" t="s">
        <v>22</v>
      </c>
      <c r="P18" s="379" t="e">
        <f>+SUMIFS('Base de Datos 2024'!K:K,'Base de Datos 2024'!#REF!,"Propuesta",'Base de Datos 2024'!#REF!,"&gt;0,1",'Base de Datos 2024'!F:F,"Brasil",'Base de Datos 2024'!#REF!,"2024")/1000000</f>
        <v>#REF!</v>
      </c>
      <c r="R18" s="614"/>
      <c r="S18" s="351" t="s">
        <v>22</v>
      </c>
      <c r="T18" s="379" t="e">
        <f>+SUMIFS('Base de Datos 2024'!#REF!,'Base de Datos 2024'!#REF!,"Propuesta",'Base de Datos 2024'!#REF!,"&gt;0,1",'Base de Datos 2024'!F:F,"Brasil",'Base de Datos 2024'!#REF!,"2024")/1000000</f>
        <v>#REF!</v>
      </c>
    </row>
    <row r="19" spans="2:24" x14ac:dyDescent="0.2">
      <c r="C19" t="e">
        <f>+C13-(SUM(C14:C18))</f>
        <v>#REF!</v>
      </c>
      <c r="F19" t="e">
        <f>+F13-(SUM(F14:F18))</f>
        <v>#REF!</v>
      </c>
      <c r="I19" t="e">
        <f>+I13-(SUM(I14:I18))</f>
        <v>#REF!</v>
      </c>
      <c r="N19" s="613" t="s">
        <v>46</v>
      </c>
      <c r="O19" s="350" t="s">
        <v>18</v>
      </c>
      <c r="P19" s="378" t="e">
        <f>+SUMIFS('Base de Datos 2024'!K:K,'Base de Datos 2024'!#REF!,"Iniciativa",'Base de Datos 2024'!#REF!,"&gt;0,1",'Base de Datos 2024'!F:F,"Perú",'Base de Datos 2024'!#REF!,"2024")/1000000</f>
        <v>#REF!</v>
      </c>
      <c r="R19" s="613" t="s">
        <v>46</v>
      </c>
      <c r="S19" s="350" t="s">
        <v>18</v>
      </c>
      <c r="T19" s="378" t="e">
        <f>+SUMIFS('Base de Datos 2024'!#REF!,'Base de Datos 2024'!#REF!,"Iniciativa",'Base de Datos 2024'!#REF!,"&gt;0,1",'Base de Datos 2024'!F:F,"Perú",'Base de Datos 2024'!#REF!,"2024")/1000000</f>
        <v>#REF!</v>
      </c>
    </row>
    <row r="20" spans="2:24" ht="16" thickBot="1" x14ac:dyDescent="0.25">
      <c r="B20" s="612" t="s">
        <v>47</v>
      </c>
      <c r="C20" s="612"/>
      <c r="N20" s="614"/>
      <c r="O20" s="351" t="s">
        <v>22</v>
      </c>
      <c r="P20" s="379" t="e">
        <f>+SUMIFS('Base de Datos 2024'!K:K,'Base de Datos 2024'!#REF!,"Propuesta",'Base de Datos 2024'!#REF!,"&gt;0,1",'Base de Datos 2024'!F:F,"Perú",'Base de Datos 2024'!#REF!,"2024")/1000000</f>
        <v>#REF!</v>
      </c>
      <c r="R20" s="614"/>
      <c r="S20" s="351" t="s">
        <v>22</v>
      </c>
      <c r="T20" s="379" t="e">
        <f>+SUMIFS('Base de Datos 2024'!#REF!,'Base de Datos 2024'!#REF!,"Propuesta",'Base de Datos 2024'!#REF!,"&gt;0,1",'Base de Datos 2024'!F:F,"Perú",'Base de Datos 2024'!#REF!,"2024")/1000000</f>
        <v>#REF!</v>
      </c>
    </row>
    <row r="21" spans="2:24" x14ac:dyDescent="0.2">
      <c r="B21" s="295" t="s">
        <v>17</v>
      </c>
      <c r="C21" s="271" t="e">
        <f t="shared" ref="C21:C22" si="1">+C3-(F3+I3+I12+F12+C12)</f>
        <v>#REF!</v>
      </c>
      <c r="F21" s="248"/>
      <c r="N21" s="613" t="s">
        <v>48</v>
      </c>
      <c r="O21" s="350" t="s">
        <v>18</v>
      </c>
      <c r="P21" s="378" t="e">
        <f>+SUMIFS('Base de Datos 2024'!K:K,'Base de Datos 2024'!#REF!,"Iniciativa",'Base de Datos 2024'!#REF!,"&gt;0,1",'Base de Datos 2024'!F:F,"Rusia",'Base de Datos 2024'!#REF!,"2024")/1000000</f>
        <v>#REF!</v>
      </c>
      <c r="R21" s="613" t="s">
        <v>48</v>
      </c>
      <c r="S21" s="350" t="s">
        <v>18</v>
      </c>
      <c r="T21" s="378" t="e">
        <f>+SUMIFS('Base de Datos 2024'!#REF!,'Base de Datos 2024'!#REF!,"Iniciativa",'Base de Datos 2024'!#REF!,"&gt;0,1",'Base de Datos 2024'!F:F,"Rusia",'Base de Datos 2024'!#REF!,"2024")/1000000</f>
        <v>#REF!</v>
      </c>
    </row>
    <row r="22" spans="2:24" ht="16" thickBot="1" x14ac:dyDescent="0.25">
      <c r="B22" s="295" t="s">
        <v>21</v>
      </c>
      <c r="C22" s="271" t="e">
        <f t="shared" si="1"/>
        <v>#REF!</v>
      </c>
      <c r="N22" s="614"/>
      <c r="O22" s="351" t="s">
        <v>22</v>
      </c>
      <c r="P22" s="379" t="e">
        <f>+SUMIFS('Base de Datos 2024'!K:K,'Base de Datos 2024'!#REF!,"Propuesta",'Base de Datos 2024'!#REF!,"&gt;0,1",'Base de Datos 2024'!F:F,"Rusia",'Base de Datos 2024'!#REF!,"2024")/1000000</f>
        <v>#REF!</v>
      </c>
      <c r="R22" s="614"/>
      <c r="S22" s="351" t="s">
        <v>22</v>
      </c>
      <c r="T22" s="379" t="e">
        <f>+SUMIFS('Base de Datos 2024'!#REF!,'Base de Datos 2024'!#REF!,"Propuesta",'Base de Datos 2024'!#REF!,"&gt;0,1",'Base de Datos 2024'!F:F,"Rusia",'Base de Datos 2024'!#REF!,"2024")/1000000</f>
        <v>#REF!</v>
      </c>
      <c r="X22" s="218"/>
    </row>
    <row r="23" spans="2:24" x14ac:dyDescent="0.2">
      <c r="B23" s="289" t="s">
        <v>27</v>
      </c>
      <c r="C23" s="271" t="e">
        <f>+C6-(F5+I5+I14+F14+C14)</f>
        <v>#REF!</v>
      </c>
      <c r="N23" s="621" t="s">
        <v>19</v>
      </c>
      <c r="O23" s="352" t="s">
        <v>18</v>
      </c>
      <c r="P23" s="380" t="e">
        <f>+P21+P19+P17+P15+P13</f>
        <v>#REF!</v>
      </c>
      <c r="R23" s="621" t="s">
        <v>19</v>
      </c>
      <c r="S23" s="352" t="s">
        <v>18</v>
      </c>
      <c r="T23" s="380" t="e">
        <f>+T21+T19+T17+T15+T13</f>
        <v>#REF!</v>
      </c>
      <c r="X23" s="218"/>
    </row>
    <row r="24" spans="2:24" ht="16" thickBot="1" x14ac:dyDescent="0.25">
      <c r="B24" s="296" t="s">
        <v>34</v>
      </c>
      <c r="C24" s="271" t="e">
        <f>+C7-(F7+I7+I16+F16+C16)</f>
        <v>#REF!</v>
      </c>
      <c r="N24" s="623"/>
      <c r="O24" s="353" t="s">
        <v>22</v>
      </c>
      <c r="P24" s="381" t="e">
        <f>+P22+P20+P18+P16+P14</f>
        <v>#REF!</v>
      </c>
      <c r="R24" s="622"/>
      <c r="S24" s="351" t="s">
        <v>22</v>
      </c>
      <c r="T24" s="383" t="e">
        <f>+T22+T20+T18+T16+T14</f>
        <v>#REF!</v>
      </c>
    </row>
    <row r="25" spans="2:24" ht="16" thickBot="1" x14ac:dyDescent="0.25">
      <c r="B25" s="296" t="s">
        <v>35</v>
      </c>
      <c r="C25" s="271" t="e">
        <f>+C8-(F8+I8+I17+F17+C17)</f>
        <v>#REF!</v>
      </c>
      <c r="N25" s="624" t="s">
        <v>19</v>
      </c>
      <c r="O25" s="625"/>
      <c r="P25" s="382" t="e">
        <f>+P24+P23</f>
        <v>#REF!</v>
      </c>
      <c r="R25" s="624" t="s">
        <v>19</v>
      </c>
      <c r="S25" s="625"/>
      <c r="T25" s="382" t="e">
        <f>+T24+T23</f>
        <v>#REF!</v>
      </c>
    </row>
    <row r="26" spans="2:24" x14ac:dyDescent="0.2">
      <c r="B26" s="296" t="s">
        <v>36</v>
      </c>
      <c r="C26" s="271" t="e">
        <f>+C9-(F9+I9+I18+F18+C18)</f>
        <v>#REF!</v>
      </c>
    </row>
    <row r="27" spans="2:24" x14ac:dyDescent="0.2">
      <c r="N27" s="619" t="s">
        <v>41</v>
      </c>
      <c r="O27" s="620"/>
      <c r="R27" s="619" t="s">
        <v>49</v>
      </c>
      <c r="S27" s="619"/>
    </row>
    <row r="28" spans="2:24" x14ac:dyDescent="0.2">
      <c r="N28" s="354" t="s">
        <v>43</v>
      </c>
      <c r="O28" s="396" t="e">
        <f>+P13+P14</f>
        <v>#REF!</v>
      </c>
      <c r="R28" s="245" t="s">
        <v>43</v>
      </c>
      <c r="S28" s="355" t="e">
        <f>+T14</f>
        <v>#REF!</v>
      </c>
    </row>
    <row r="29" spans="2:24" x14ac:dyDescent="0.2">
      <c r="L29" s="218"/>
      <c r="N29" s="354" t="s">
        <v>44</v>
      </c>
      <c r="O29" s="397" t="e">
        <f>+P15+P16</f>
        <v>#REF!</v>
      </c>
      <c r="R29" s="245" t="s">
        <v>44</v>
      </c>
      <c r="S29" s="355" t="e">
        <f>+T16</f>
        <v>#REF!</v>
      </c>
    </row>
    <row r="30" spans="2:24" x14ac:dyDescent="0.2">
      <c r="N30" s="354" t="s">
        <v>45</v>
      </c>
      <c r="O30" s="397" t="e">
        <f>+P17+P18</f>
        <v>#REF!</v>
      </c>
      <c r="R30" s="245" t="s">
        <v>45</v>
      </c>
      <c r="S30" s="355" t="e">
        <f>+T18</f>
        <v>#REF!</v>
      </c>
    </row>
    <row r="31" spans="2:24" x14ac:dyDescent="0.2">
      <c r="N31" s="354" t="s">
        <v>46</v>
      </c>
      <c r="O31" s="396" t="e">
        <f>+P19+P20</f>
        <v>#REF!</v>
      </c>
      <c r="R31" s="245" t="s">
        <v>46</v>
      </c>
      <c r="S31" s="355" t="e">
        <f>+T20</f>
        <v>#REF!</v>
      </c>
    </row>
    <row r="32" spans="2:24" x14ac:dyDescent="0.2">
      <c r="N32" s="354" t="s">
        <v>48</v>
      </c>
      <c r="O32" s="398" t="e">
        <f>+P21+P22</f>
        <v>#REF!</v>
      </c>
      <c r="R32" s="245" t="s">
        <v>48</v>
      </c>
      <c r="S32" s="355" t="e">
        <f>+T22</f>
        <v>#REF!</v>
      </c>
    </row>
    <row r="33" spans="12:19" x14ac:dyDescent="0.2">
      <c r="R33" s="299" t="s">
        <v>19</v>
      </c>
      <c r="S33" s="403" t="e">
        <f>+SUM(S28:S32)</f>
        <v>#REF!</v>
      </c>
    </row>
    <row r="34" spans="12:19" x14ac:dyDescent="0.2">
      <c r="L34" s="218"/>
    </row>
    <row r="35" spans="12:19" x14ac:dyDescent="0.2">
      <c r="L35" s="218"/>
    </row>
  </sheetData>
  <mergeCells count="32">
    <mergeCell ref="R19:R20"/>
    <mergeCell ref="N27:O27"/>
    <mergeCell ref="R27:S27"/>
    <mergeCell ref="AL2:AN2"/>
    <mergeCell ref="AP2:AR2"/>
    <mergeCell ref="R21:R22"/>
    <mergeCell ref="R23:R24"/>
    <mergeCell ref="N21:N22"/>
    <mergeCell ref="N23:N24"/>
    <mergeCell ref="N25:O25"/>
    <mergeCell ref="R25:S25"/>
    <mergeCell ref="N12:P12"/>
    <mergeCell ref="R12:T12"/>
    <mergeCell ref="R13:R14"/>
    <mergeCell ref="R15:R16"/>
    <mergeCell ref="R17:R18"/>
    <mergeCell ref="AI2:AJ2"/>
    <mergeCell ref="R2:S2"/>
    <mergeCell ref="U2:V2"/>
    <mergeCell ref="B20:C20"/>
    <mergeCell ref="L2:M2"/>
    <mergeCell ref="O2:P2"/>
    <mergeCell ref="N13:N14"/>
    <mergeCell ref="N15:N16"/>
    <mergeCell ref="N17:N18"/>
    <mergeCell ref="N19:N20"/>
    <mergeCell ref="B2:C2"/>
    <mergeCell ref="E2:F2"/>
    <mergeCell ref="B11:C11"/>
    <mergeCell ref="E11:F11"/>
    <mergeCell ref="H2:I2"/>
    <mergeCell ref="H11:I11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9A8E-1E26-46AE-8980-AC9DF41089A6}">
  <dimension ref="A3:Y19"/>
  <sheetViews>
    <sheetView zoomScale="73" workbookViewId="0">
      <selection activeCell="G19" sqref="G19"/>
    </sheetView>
  </sheetViews>
  <sheetFormatPr baseColWidth="10" defaultColWidth="11.5" defaultRowHeight="15" x14ac:dyDescent="0.2"/>
  <cols>
    <col min="1" max="1" width="30.5" bestFit="1" customWidth="1"/>
    <col min="2" max="2" width="21.5" bestFit="1" customWidth="1"/>
    <col min="3" max="3" width="14.5" bestFit="1" customWidth="1"/>
    <col min="4" max="4" width="19.1640625" bestFit="1" customWidth="1"/>
    <col min="5" max="5" width="12.5" bestFit="1" customWidth="1"/>
    <col min="6" max="6" width="10.1640625" bestFit="1" customWidth="1"/>
    <col min="7" max="7" width="11.5" bestFit="1" customWidth="1"/>
    <col min="9" max="9" width="16.6640625" customWidth="1"/>
    <col min="10" max="10" width="12" customWidth="1"/>
    <col min="11" max="11" width="11.1640625" bestFit="1" customWidth="1"/>
    <col min="12" max="12" width="12.83203125" bestFit="1" customWidth="1"/>
    <col min="13" max="13" width="11.5" bestFit="1" customWidth="1"/>
    <col min="14" max="15" width="16" customWidth="1"/>
    <col min="20" max="20" width="10.83203125" customWidth="1"/>
  </cols>
  <sheetData>
    <row r="3" spans="1:25" ht="44.5" customHeight="1" x14ac:dyDescent="0.2">
      <c r="A3" s="213" t="s">
        <v>50</v>
      </c>
      <c r="B3" s="213" t="s">
        <v>51</v>
      </c>
      <c r="I3" s="592" t="s">
        <v>52</v>
      </c>
      <c r="J3" s="595" t="s">
        <v>53</v>
      </c>
      <c r="K3" s="595" t="s">
        <v>54</v>
      </c>
      <c r="L3" s="595" t="str">
        <f t="shared" ref="L3:L8" si="0">+E4</f>
        <v>No Adjudicada</v>
      </c>
      <c r="M3" s="595" t="str">
        <f t="shared" ref="M3:M8" si="1">+G4</f>
        <v>Total general</v>
      </c>
      <c r="N3" s="595" t="s">
        <v>55</v>
      </c>
      <c r="O3" s="595" t="s">
        <v>56</v>
      </c>
      <c r="R3" s="592" t="s">
        <v>52</v>
      </c>
      <c r="S3" s="595" t="s">
        <v>57</v>
      </c>
      <c r="T3" s="595" t="s">
        <v>53</v>
      </c>
      <c r="U3" s="595" t="s">
        <v>54</v>
      </c>
      <c r="V3" s="595" t="s">
        <v>58</v>
      </c>
      <c r="X3" s="595" t="s">
        <v>59</v>
      </c>
      <c r="Y3" s="595" t="s">
        <v>56</v>
      </c>
    </row>
    <row r="4" spans="1:25" x14ac:dyDescent="0.2">
      <c r="A4" s="213" t="s">
        <v>60</v>
      </c>
      <c r="B4" t="s">
        <v>20</v>
      </c>
      <c r="C4" t="s">
        <v>23</v>
      </c>
      <c r="D4" t="s">
        <v>28</v>
      </c>
      <c r="E4" t="s">
        <v>37</v>
      </c>
      <c r="F4" t="s">
        <v>61</v>
      </c>
      <c r="G4" t="s">
        <v>62</v>
      </c>
      <c r="I4" s="270" t="str">
        <f t="shared" ref="I4:J8" si="2">+A5</f>
        <v>Brasil</v>
      </c>
      <c r="J4" s="270">
        <f t="shared" si="2"/>
        <v>9</v>
      </c>
      <c r="K4" s="270">
        <v>2</v>
      </c>
      <c r="L4" s="270">
        <f t="shared" si="0"/>
        <v>1</v>
      </c>
      <c r="M4" s="270">
        <f t="shared" si="1"/>
        <v>12</v>
      </c>
      <c r="N4" s="596">
        <f>+J4/M4</f>
        <v>0.75</v>
      </c>
      <c r="O4" s="596">
        <f>+M4/$M$9</f>
        <v>8.1632653061224483E-2</v>
      </c>
      <c r="R4" s="270" t="str">
        <f>+I4</f>
        <v>Brasil</v>
      </c>
      <c r="S4" s="368">
        <f>+M4</f>
        <v>12</v>
      </c>
      <c r="T4" s="598">
        <f>+J4</f>
        <v>9</v>
      </c>
      <c r="U4" s="598">
        <f>+K4</f>
        <v>2</v>
      </c>
      <c r="V4" s="598">
        <f>+L4</f>
        <v>1</v>
      </c>
      <c r="X4" s="596">
        <f>+T4/(V4+T4)</f>
        <v>0.9</v>
      </c>
      <c r="Y4" s="596">
        <f>+S4/$S$8</f>
        <v>9.5238095238095233E-2</v>
      </c>
    </row>
    <row r="5" spans="1:25" x14ac:dyDescent="0.2">
      <c r="A5" s="217" t="s">
        <v>45</v>
      </c>
      <c r="B5">
        <v>9</v>
      </c>
      <c r="D5">
        <v>2</v>
      </c>
      <c r="E5">
        <v>1</v>
      </c>
      <c r="G5">
        <v>12</v>
      </c>
      <c r="I5" s="270" t="str">
        <f t="shared" si="2"/>
        <v>Chile</v>
      </c>
      <c r="J5" s="270">
        <f t="shared" si="2"/>
        <v>32</v>
      </c>
      <c r="K5" s="270">
        <v>8</v>
      </c>
      <c r="L5" s="270">
        <f t="shared" si="0"/>
        <v>20</v>
      </c>
      <c r="M5" s="270">
        <f t="shared" si="1"/>
        <v>60</v>
      </c>
      <c r="N5" s="596">
        <f t="shared" ref="N5:N9" si="3">+J5/M5</f>
        <v>0.53333333333333333</v>
      </c>
      <c r="O5" s="596">
        <f t="shared" ref="O5:O9" si="4">+M5/$M$9</f>
        <v>0.40816326530612246</v>
      </c>
      <c r="R5" s="270" t="str">
        <f t="shared" ref="R5:R7" si="5">+I5</f>
        <v>Chile</v>
      </c>
      <c r="S5" s="368">
        <f t="shared" ref="S5:S7" si="6">+M5</f>
        <v>60</v>
      </c>
      <c r="T5" s="598">
        <f t="shared" ref="T5:T7" si="7">+J5</f>
        <v>32</v>
      </c>
      <c r="U5" s="598">
        <f t="shared" ref="U5:U7" si="8">+K5</f>
        <v>8</v>
      </c>
      <c r="V5" s="598">
        <f t="shared" ref="V5:V6" si="9">+L5</f>
        <v>20</v>
      </c>
      <c r="X5" s="596">
        <f t="shared" ref="X5:X10" si="10">+T5/(V5+T5)</f>
        <v>0.61538461538461542</v>
      </c>
      <c r="Y5" s="596">
        <f t="shared" ref="Y5:Y8" si="11">+S5/$S$8</f>
        <v>0.47619047619047616</v>
      </c>
    </row>
    <row r="6" spans="1:25" x14ac:dyDescent="0.2">
      <c r="A6" s="217" t="s">
        <v>43</v>
      </c>
      <c r="B6">
        <v>32</v>
      </c>
      <c r="C6">
        <v>2</v>
      </c>
      <c r="D6">
        <v>6</v>
      </c>
      <c r="E6">
        <v>20</v>
      </c>
      <c r="G6">
        <v>60</v>
      </c>
      <c r="I6" s="270" t="str">
        <f t="shared" si="2"/>
        <v>EEUU</v>
      </c>
      <c r="J6" s="270">
        <f t="shared" si="2"/>
        <v>6</v>
      </c>
      <c r="K6" s="270">
        <v>2</v>
      </c>
      <c r="L6" s="270">
        <f t="shared" si="0"/>
        <v>11</v>
      </c>
      <c r="M6" s="270">
        <f t="shared" si="1"/>
        <v>19</v>
      </c>
      <c r="N6" s="596">
        <f t="shared" si="3"/>
        <v>0.31578947368421051</v>
      </c>
      <c r="O6" s="596">
        <f t="shared" si="4"/>
        <v>0.12925170068027211</v>
      </c>
      <c r="R6" s="270" t="str">
        <f t="shared" si="5"/>
        <v>EEUU</v>
      </c>
      <c r="S6" s="368">
        <f t="shared" si="6"/>
        <v>19</v>
      </c>
      <c r="T6" s="598">
        <f t="shared" si="7"/>
        <v>6</v>
      </c>
      <c r="U6" s="598">
        <f t="shared" si="8"/>
        <v>2</v>
      </c>
      <c r="V6" s="598">
        <f t="shared" si="9"/>
        <v>11</v>
      </c>
      <c r="X6" s="596">
        <f t="shared" si="10"/>
        <v>0.35294117647058826</v>
      </c>
      <c r="Y6" s="596">
        <f t="shared" si="11"/>
        <v>0.15079365079365079</v>
      </c>
    </row>
    <row r="7" spans="1:25" x14ac:dyDescent="0.2">
      <c r="A7" s="217" t="s">
        <v>44</v>
      </c>
      <c r="B7">
        <v>6</v>
      </c>
      <c r="D7">
        <v>2</v>
      </c>
      <c r="E7">
        <v>11</v>
      </c>
      <c r="G7">
        <v>19</v>
      </c>
      <c r="I7" s="270" t="str">
        <f t="shared" si="2"/>
        <v>Perú</v>
      </c>
      <c r="J7" s="270">
        <f t="shared" si="2"/>
        <v>13</v>
      </c>
      <c r="K7" s="270">
        <v>4</v>
      </c>
      <c r="L7" s="270">
        <f t="shared" si="0"/>
        <v>18</v>
      </c>
      <c r="M7" s="270">
        <f t="shared" si="1"/>
        <v>35</v>
      </c>
      <c r="N7" s="596">
        <f t="shared" si="3"/>
        <v>0.37142857142857144</v>
      </c>
      <c r="O7" s="596">
        <f t="shared" si="4"/>
        <v>0.23809523809523808</v>
      </c>
      <c r="R7" s="270" t="str">
        <f t="shared" si="5"/>
        <v>Perú</v>
      </c>
      <c r="S7" s="368">
        <f t="shared" si="6"/>
        <v>35</v>
      </c>
      <c r="T7" s="598">
        <f t="shared" si="7"/>
        <v>13</v>
      </c>
      <c r="U7" s="598">
        <f t="shared" si="8"/>
        <v>4</v>
      </c>
      <c r="V7" s="598">
        <f>+L7</f>
        <v>18</v>
      </c>
      <c r="X7" s="596">
        <f t="shared" si="10"/>
        <v>0.41935483870967744</v>
      </c>
      <c r="Y7" s="596">
        <f t="shared" si="11"/>
        <v>0.27777777777777779</v>
      </c>
    </row>
    <row r="8" spans="1:25" x14ac:dyDescent="0.2">
      <c r="A8" s="217" t="s">
        <v>46</v>
      </c>
      <c r="B8">
        <v>13</v>
      </c>
      <c r="D8">
        <v>4</v>
      </c>
      <c r="E8">
        <v>18</v>
      </c>
      <c r="G8">
        <v>35</v>
      </c>
      <c r="I8" s="270" t="str">
        <f t="shared" si="2"/>
        <v>Rusia</v>
      </c>
      <c r="J8" s="270">
        <f t="shared" si="2"/>
        <v>3</v>
      </c>
      <c r="K8" s="270">
        <v>2</v>
      </c>
      <c r="L8" s="270">
        <f t="shared" si="0"/>
        <v>16</v>
      </c>
      <c r="M8" s="270">
        <f t="shared" si="1"/>
        <v>21</v>
      </c>
      <c r="N8" s="596">
        <f t="shared" si="3"/>
        <v>0.14285714285714285</v>
      </c>
      <c r="O8" s="596">
        <f t="shared" si="4"/>
        <v>0.14285714285714285</v>
      </c>
      <c r="R8" s="593" t="s">
        <v>19</v>
      </c>
      <c r="S8" s="368">
        <f>+SUM(S4:S7)</f>
        <v>126</v>
      </c>
      <c r="T8" s="368">
        <f>+SUM(T4:T7)</f>
        <v>60</v>
      </c>
      <c r="U8" s="368">
        <f t="shared" ref="U8" si="12">+SUM(U4:U7)</f>
        <v>16</v>
      </c>
      <c r="V8" s="368">
        <f>+SUM(V4:V7)</f>
        <v>50</v>
      </c>
      <c r="X8" s="596">
        <f t="shared" si="10"/>
        <v>0.54545454545454541</v>
      </c>
      <c r="Y8" s="596">
        <f t="shared" si="11"/>
        <v>1</v>
      </c>
    </row>
    <row r="9" spans="1:25" x14ac:dyDescent="0.2">
      <c r="A9" s="217" t="s">
        <v>48</v>
      </c>
      <c r="B9">
        <v>3</v>
      </c>
      <c r="D9">
        <v>2</v>
      </c>
      <c r="E9">
        <v>16</v>
      </c>
      <c r="G9">
        <v>21</v>
      </c>
      <c r="I9" s="593" t="s">
        <v>19</v>
      </c>
      <c r="J9" s="593">
        <f>+SUM(J4:J8)</f>
        <v>63</v>
      </c>
      <c r="K9" s="593">
        <v>18</v>
      </c>
      <c r="L9" s="593">
        <f t="shared" ref="L9:M9" si="13">+SUM(L4:L8)</f>
        <v>66</v>
      </c>
      <c r="M9" s="593">
        <f t="shared" si="13"/>
        <v>147</v>
      </c>
      <c r="N9" s="597">
        <f t="shared" si="3"/>
        <v>0.42857142857142855</v>
      </c>
      <c r="O9" s="597">
        <f t="shared" si="4"/>
        <v>1</v>
      </c>
    </row>
    <row r="10" spans="1:25" x14ac:dyDescent="0.2">
      <c r="A10" s="217" t="s">
        <v>61</v>
      </c>
      <c r="R10" s="270" t="str">
        <f>+I8</f>
        <v>Rusia</v>
      </c>
      <c r="S10" s="368">
        <f>+SUM(T10:V10)</f>
        <v>21</v>
      </c>
      <c r="T10" s="598">
        <f>+J8</f>
        <v>3</v>
      </c>
      <c r="U10" s="598">
        <f>+K8</f>
        <v>2</v>
      </c>
      <c r="V10" s="598">
        <f>+L8</f>
        <v>16</v>
      </c>
      <c r="X10" s="596">
        <f t="shared" si="10"/>
        <v>0.15789473684210525</v>
      </c>
      <c r="Y10" s="596">
        <f>+S10/$S$11</f>
        <v>0.14285714285714285</v>
      </c>
    </row>
    <row r="11" spans="1:25" x14ac:dyDescent="0.2">
      <c r="A11" s="217" t="s">
        <v>62</v>
      </c>
      <c r="B11">
        <v>63</v>
      </c>
      <c r="C11">
        <v>2</v>
      </c>
      <c r="D11">
        <v>16</v>
      </c>
      <c r="E11">
        <v>66</v>
      </c>
      <c r="G11">
        <v>147</v>
      </c>
      <c r="R11" s="593" t="s">
        <v>19</v>
      </c>
      <c r="S11" s="368">
        <f>+S10+S8</f>
        <v>147</v>
      </c>
      <c r="T11" s="368">
        <f>+T10+T8</f>
        <v>63</v>
      </c>
      <c r="U11" s="368">
        <f t="shared" ref="U11:V11" si="14">+U10+U8</f>
        <v>18</v>
      </c>
      <c r="V11" s="368">
        <f t="shared" si="14"/>
        <v>66</v>
      </c>
      <c r="X11" s="596">
        <f t="shared" ref="X11" si="15">+T11/(V11+T11)</f>
        <v>0.48837209302325579</v>
      </c>
      <c r="Y11" s="596">
        <f>+S11/$S$11</f>
        <v>1</v>
      </c>
    </row>
    <row r="12" spans="1:25" x14ac:dyDescent="0.2">
      <c r="I12" t="s">
        <v>63</v>
      </c>
      <c r="J12" s="594">
        <f>+SUM(M4:M7)/12</f>
        <v>10.5</v>
      </c>
      <c r="K12">
        <f>+SUM(J4:J7)/12</f>
        <v>5</v>
      </c>
    </row>
    <row r="13" spans="1:25" x14ac:dyDescent="0.2">
      <c r="I13" t="s">
        <v>64</v>
      </c>
      <c r="J13" s="594">
        <f>+J12/4</f>
        <v>2.625</v>
      </c>
    </row>
    <row r="19" spans="10:10" x14ac:dyDescent="0.2">
      <c r="J19" s="588">
        <f>+J12*150000</f>
        <v>1575000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B1AC-8A23-4302-9F96-6D6538FDE6FF}">
  <dimension ref="A4:P24"/>
  <sheetViews>
    <sheetView topLeftCell="K16" zoomScale="83" workbookViewId="0">
      <selection activeCell="P46" sqref="P46"/>
    </sheetView>
  </sheetViews>
  <sheetFormatPr baseColWidth="10" defaultColWidth="11.5" defaultRowHeight="15" x14ac:dyDescent="0.2"/>
  <cols>
    <col min="1" max="1" width="19.5" bestFit="1" customWidth="1"/>
    <col min="2" max="2" width="21.6640625" bestFit="1" customWidth="1"/>
    <col min="3" max="3" width="14.5" bestFit="1" customWidth="1"/>
    <col min="4" max="4" width="19.6640625" bestFit="1" customWidth="1"/>
    <col min="5" max="5" width="13.5" bestFit="1" customWidth="1"/>
    <col min="6" max="6" width="10.5" bestFit="1" customWidth="1"/>
    <col min="7" max="7" width="11.6640625" bestFit="1" customWidth="1"/>
    <col min="8" max="8" width="12.33203125" bestFit="1" customWidth="1"/>
    <col min="10" max="10" width="13.5" bestFit="1" customWidth="1"/>
    <col min="11" max="12" width="12" customWidth="1"/>
    <col min="13" max="13" width="11.5" bestFit="1" customWidth="1"/>
    <col min="14" max="14" width="10.83203125" customWidth="1"/>
    <col min="15" max="15" width="17.5" bestFit="1" customWidth="1"/>
    <col min="16" max="16" width="20" bestFit="1" customWidth="1"/>
  </cols>
  <sheetData>
    <row r="4" spans="1:16" x14ac:dyDescent="0.2">
      <c r="A4" s="213" t="s">
        <v>65</v>
      </c>
      <c r="B4" s="213" t="s">
        <v>51</v>
      </c>
    </row>
    <row r="5" spans="1:16" ht="32" x14ac:dyDescent="0.2">
      <c r="A5" s="213" t="s">
        <v>60</v>
      </c>
      <c r="B5" t="s">
        <v>20</v>
      </c>
      <c r="C5" t="s">
        <v>23</v>
      </c>
      <c r="D5" t="s">
        <v>28</v>
      </c>
      <c r="E5" t="s">
        <v>37</v>
      </c>
      <c r="F5" t="s">
        <v>61</v>
      </c>
      <c r="G5" t="s">
        <v>62</v>
      </c>
      <c r="I5" s="592" t="s">
        <v>52</v>
      </c>
      <c r="J5" s="595" t="str">
        <f>+G5</f>
        <v>Total general</v>
      </c>
      <c r="K5" s="595" t="s">
        <v>53</v>
      </c>
      <c r="L5" s="595" t="s">
        <v>54</v>
      </c>
      <c r="M5" s="595" t="str">
        <f>+E5</f>
        <v>No Adjudicada</v>
      </c>
      <c r="O5" s="595" t="s">
        <v>59</v>
      </c>
      <c r="P5" s="595" t="s">
        <v>56</v>
      </c>
    </row>
    <row r="6" spans="1:16" x14ac:dyDescent="0.2">
      <c r="A6" s="217" t="s">
        <v>45</v>
      </c>
      <c r="B6" s="589">
        <v>1248085</v>
      </c>
      <c r="C6" s="589"/>
      <c r="D6" s="589">
        <v>1750000</v>
      </c>
      <c r="E6" s="589">
        <v>101000</v>
      </c>
      <c r="F6" s="589"/>
      <c r="G6" s="589">
        <v>3099085</v>
      </c>
      <c r="I6" s="270" t="str">
        <f>+A6</f>
        <v>Brasil</v>
      </c>
      <c r="J6" s="368">
        <f>+SUM(K6:M6)</f>
        <v>3099085</v>
      </c>
      <c r="K6" s="598">
        <f>+GETPIVOTDATA("Monto (USD)",$A$4,"Estado Propuesta","Adjudicada","País (Oficina REDCO)","Brasil")</f>
        <v>1248085</v>
      </c>
      <c r="L6" s="598">
        <f>+GETPIVOTDATA("Monto (USD)",$A$4,"Estado Propuesta","En Construcción","País (Oficina REDCO)","Brasil")+GETPIVOTDATA("Monto (USD)",$A$4,"Estado Propuesta","Enviada / Seguimiento","País (Oficina REDCO)","Brasil")</f>
        <v>1750000</v>
      </c>
      <c r="M6" s="598">
        <f>+GETPIVOTDATA("Monto (USD)",$A$4,"Estado Propuesta","No Adjudicada","País (Oficina REDCO)","Brasil")</f>
        <v>101000</v>
      </c>
      <c r="O6" s="596">
        <f>+K6/(M6+K6)</f>
        <v>0.92513444297431224</v>
      </c>
      <c r="P6" s="596">
        <f>+J6/$J$10</f>
        <v>0.10894067293750274</v>
      </c>
    </row>
    <row r="7" spans="1:16" x14ac:dyDescent="0.2">
      <c r="A7" s="217" t="s">
        <v>43</v>
      </c>
      <c r="B7" s="589">
        <v>4761416</v>
      </c>
      <c r="C7" s="589">
        <v>1350000</v>
      </c>
      <c r="D7" s="589">
        <v>755000</v>
      </c>
      <c r="E7" s="589">
        <v>3706500</v>
      </c>
      <c r="F7" s="589"/>
      <c r="G7" s="589">
        <v>10572916</v>
      </c>
      <c r="I7" s="270" t="str">
        <f>+A7</f>
        <v>Chile</v>
      </c>
      <c r="J7" s="368">
        <f>+SUM(K7:M7)</f>
        <v>10572916</v>
      </c>
      <c r="K7" s="598">
        <f>+B7</f>
        <v>4761416</v>
      </c>
      <c r="L7" s="598">
        <f>+GETPIVOTDATA("Monto (USD)",$A$4,"Estado Propuesta","En Construcción","País (Oficina REDCO)","Chile")+GETPIVOTDATA("Monto (USD)",$A$4,"Estado Propuesta","Enviada / Seguimiento","País (Oficina REDCO)","Chile")</f>
        <v>2105000</v>
      </c>
      <c r="M7" s="598">
        <f>+GETPIVOTDATA("Monto (USD)",$A$4,"Estado Propuesta","No Adjudicada","País (Oficina REDCO)","Chile")</f>
        <v>3706500</v>
      </c>
      <c r="O7" s="596">
        <f t="shared" ref="O7:O10" si="0">+K7/(M7+K7)</f>
        <v>0.56228899767073737</v>
      </c>
      <c r="P7" s="596">
        <f t="shared" ref="P7:P10" si="1">+J7/$J$10</f>
        <v>0.37166472812191009</v>
      </c>
    </row>
    <row r="8" spans="1:16" x14ac:dyDescent="0.2">
      <c r="A8" s="217" t="s">
        <v>44</v>
      </c>
      <c r="B8" s="589">
        <v>1661000</v>
      </c>
      <c r="C8" s="589"/>
      <c r="D8" s="589">
        <v>906000</v>
      </c>
      <c r="E8" s="589">
        <v>6111900</v>
      </c>
      <c r="F8" s="589"/>
      <c r="G8" s="589">
        <v>8678900</v>
      </c>
      <c r="I8" s="270" t="str">
        <f>+A8</f>
        <v>EEUU</v>
      </c>
      <c r="J8" s="368">
        <f>+SUM(K8:M8)</f>
        <v>8678900</v>
      </c>
      <c r="K8" s="598">
        <f>+B8</f>
        <v>1661000</v>
      </c>
      <c r="L8" s="598">
        <f>+GETPIVOTDATA("Monto (USD)",$A$4,"Estado Propuesta","Enviada / Seguimiento","País (Oficina REDCO)","EEUU")</f>
        <v>906000</v>
      </c>
      <c r="M8" s="598">
        <f>+GETPIVOTDATA("Monto (USD)",$A$4,"Estado Propuesta","No Adjudicada","País (Oficina REDCO)","EEUU")</f>
        <v>6111900</v>
      </c>
      <c r="O8" s="596">
        <f t="shared" si="0"/>
        <v>0.2136911577403543</v>
      </c>
      <c r="P8" s="596">
        <f t="shared" si="1"/>
        <v>0.30508527722127421</v>
      </c>
    </row>
    <row r="9" spans="1:16" x14ac:dyDescent="0.2">
      <c r="A9" s="217" t="s">
        <v>46</v>
      </c>
      <c r="B9" s="589">
        <v>1245600</v>
      </c>
      <c r="C9" s="589"/>
      <c r="D9" s="589">
        <v>1740000</v>
      </c>
      <c r="E9" s="589">
        <v>3110955</v>
      </c>
      <c r="F9" s="589"/>
      <c r="G9" s="589">
        <v>6096555</v>
      </c>
      <c r="I9" s="270" t="str">
        <f>+A9</f>
        <v>Perú</v>
      </c>
      <c r="J9" s="368">
        <f>+SUM(K9:M9)</f>
        <v>6096555</v>
      </c>
      <c r="K9" s="598">
        <f>+B9</f>
        <v>1245600</v>
      </c>
      <c r="L9" s="598">
        <f>+GETPIVOTDATA("Monto (USD)",$A$4,"Estado Propuesta","Enviada / Seguimiento","País (Oficina REDCO)","Perú")</f>
        <v>1740000</v>
      </c>
      <c r="M9" s="598">
        <f>+GETPIVOTDATA("Monto (USD)",$A$4,"Estado Propuesta","No Adjudicada","País (Oficina REDCO)","Perú")</f>
        <v>3110955</v>
      </c>
      <c r="O9" s="596">
        <f t="shared" si="0"/>
        <v>0.28591398478843949</v>
      </c>
      <c r="P9" s="596">
        <f t="shared" si="1"/>
        <v>0.21430932171931297</v>
      </c>
    </row>
    <row r="10" spans="1:16" x14ac:dyDescent="0.2">
      <c r="A10" s="217" t="s">
        <v>48</v>
      </c>
      <c r="B10" s="589">
        <v>4709980</v>
      </c>
      <c r="C10" s="589"/>
      <c r="D10" s="589">
        <v>759000</v>
      </c>
      <c r="E10" s="589">
        <v>8080206</v>
      </c>
      <c r="F10" s="589"/>
      <c r="G10" s="589">
        <v>13549186</v>
      </c>
      <c r="I10" s="593" t="s">
        <v>19</v>
      </c>
      <c r="J10" s="368">
        <f>+SUM(K10:M10)</f>
        <v>28447456</v>
      </c>
      <c r="K10" s="368">
        <f>+SUM(K6:K9)</f>
        <v>8916101</v>
      </c>
      <c r="L10" s="368">
        <f t="shared" ref="L10:M10" si="2">+SUM(L6:L9)</f>
        <v>6501000</v>
      </c>
      <c r="M10" s="368">
        <f t="shared" si="2"/>
        <v>13030355</v>
      </c>
      <c r="O10" s="597">
        <f t="shared" si="0"/>
        <v>0.40626609599290198</v>
      </c>
      <c r="P10" s="597">
        <f t="shared" si="1"/>
        <v>1</v>
      </c>
    </row>
    <row r="11" spans="1:16" x14ac:dyDescent="0.2">
      <c r="A11" s="217" t="s">
        <v>61</v>
      </c>
      <c r="B11" s="589"/>
      <c r="C11" s="589"/>
      <c r="D11" s="589"/>
      <c r="E11" s="589"/>
      <c r="F11" s="589"/>
      <c r="G11" s="589"/>
    </row>
    <row r="12" spans="1:16" x14ac:dyDescent="0.2">
      <c r="A12" s="217" t="s">
        <v>62</v>
      </c>
      <c r="B12" s="589">
        <v>13626081</v>
      </c>
      <c r="C12" s="589">
        <v>1350000</v>
      </c>
      <c r="D12" s="589">
        <v>5910000</v>
      </c>
      <c r="E12" s="589">
        <v>21110561</v>
      </c>
      <c r="F12" s="589"/>
      <c r="G12" s="589">
        <v>41996642</v>
      </c>
      <c r="I12" s="270" t="str">
        <f>+A10</f>
        <v>Rusia</v>
      </c>
      <c r="J12" s="368">
        <f>+SUM(K12:M12)</f>
        <v>13549186</v>
      </c>
      <c r="K12" s="598">
        <f>+B10</f>
        <v>4709980</v>
      </c>
      <c r="L12" s="598">
        <f>+GETPIVOTDATA("Monto (USD)",$A$4,"Estado Propuesta","Enviada / Seguimiento","País (Oficina REDCO)","Rusia")</f>
        <v>759000</v>
      </c>
      <c r="M12" s="598">
        <f>+GETPIVOTDATA("Monto (USD)",$A$4,"Estado Propuesta","No Adjudicada","País (Oficina REDCO)","Rusia")</f>
        <v>8080206</v>
      </c>
      <c r="O12" s="596">
        <f>+K12/J12</f>
        <v>0.34762088290765214</v>
      </c>
      <c r="P12" s="596">
        <f>+J12/$J$12</f>
        <v>1</v>
      </c>
    </row>
    <row r="13" spans="1:16" x14ac:dyDescent="0.2">
      <c r="I13" s="593" t="s">
        <v>19</v>
      </c>
      <c r="J13" s="368">
        <f>+J12+J10</f>
        <v>41996642</v>
      </c>
      <c r="K13" s="368">
        <f>+K12+K10</f>
        <v>13626081</v>
      </c>
      <c r="L13" s="368">
        <f t="shared" ref="L13:M13" si="3">+L12+L10</f>
        <v>7260000</v>
      </c>
      <c r="M13" s="368">
        <f t="shared" si="3"/>
        <v>21110561</v>
      </c>
      <c r="O13" s="597">
        <f>+K13/J13</f>
        <v>0.32445644106497851</v>
      </c>
      <c r="P13" s="597">
        <f>+J13/$J$12</f>
        <v>3.0995693763448227</v>
      </c>
    </row>
    <row r="16" spans="1:16" ht="32" x14ac:dyDescent="0.2">
      <c r="I16" s="592" t="s">
        <v>52</v>
      </c>
      <c r="J16" s="595" t="s">
        <v>19</v>
      </c>
      <c r="K16" s="595" t="s">
        <v>53</v>
      </c>
      <c r="L16" s="595" t="s">
        <v>54</v>
      </c>
      <c r="M16" s="595" t="s">
        <v>66</v>
      </c>
    </row>
    <row r="17" spans="9:16" x14ac:dyDescent="0.2">
      <c r="I17" s="270" t="str">
        <f>+I6</f>
        <v>Brasil</v>
      </c>
      <c r="J17" s="355">
        <f>+J6/1000000</f>
        <v>3.0990850000000001</v>
      </c>
      <c r="K17" s="355">
        <f t="shared" ref="K17:M17" si="4">+K6/1000000</f>
        <v>1.2480850000000001</v>
      </c>
      <c r="L17" s="355">
        <f t="shared" si="4"/>
        <v>1.75</v>
      </c>
      <c r="M17" s="355">
        <f t="shared" si="4"/>
        <v>0.10100000000000001</v>
      </c>
      <c r="O17" t="s">
        <v>67</v>
      </c>
      <c r="P17" s="368">
        <f>+J10/12</f>
        <v>2370621.3333333335</v>
      </c>
    </row>
    <row r="18" spans="9:16" x14ac:dyDescent="0.2">
      <c r="I18" s="270" t="str">
        <f t="shared" ref="I18:I23" si="5">+I7</f>
        <v>Chile</v>
      </c>
      <c r="J18" s="355">
        <f t="shared" ref="J18:M18" si="6">+J7/1000000</f>
        <v>10.572915999999999</v>
      </c>
      <c r="K18" s="355">
        <f t="shared" si="6"/>
        <v>4.7614159999999996</v>
      </c>
      <c r="L18" s="355">
        <f t="shared" si="6"/>
        <v>2.105</v>
      </c>
      <c r="M18" s="355">
        <f t="shared" si="6"/>
        <v>3.7065000000000001</v>
      </c>
      <c r="P18" s="368"/>
    </row>
    <row r="19" spans="9:16" x14ac:dyDescent="0.2">
      <c r="I19" s="270" t="str">
        <f t="shared" si="5"/>
        <v>EEUU</v>
      </c>
      <c r="J19" s="355">
        <f t="shared" ref="J19:M19" si="7">+J8/1000000</f>
        <v>8.6789000000000005</v>
      </c>
      <c r="K19" s="355">
        <f t="shared" si="7"/>
        <v>1.661</v>
      </c>
      <c r="L19" s="355">
        <f t="shared" si="7"/>
        <v>0.90600000000000003</v>
      </c>
      <c r="M19" s="355">
        <f t="shared" si="7"/>
        <v>6.1119000000000003</v>
      </c>
      <c r="O19" t="s">
        <v>68</v>
      </c>
      <c r="P19" s="368">
        <f>+P17/4</f>
        <v>592655.33333333337</v>
      </c>
    </row>
    <row r="20" spans="9:16" x14ac:dyDescent="0.2">
      <c r="I20" s="270" t="str">
        <f t="shared" si="5"/>
        <v>Perú</v>
      </c>
      <c r="J20" s="355">
        <f t="shared" ref="J20:M20" si="8">+J9/1000000</f>
        <v>6.0965550000000004</v>
      </c>
      <c r="K20" s="355">
        <f t="shared" si="8"/>
        <v>1.2456</v>
      </c>
      <c r="L20" s="355">
        <f t="shared" si="8"/>
        <v>1.74</v>
      </c>
      <c r="M20" s="355">
        <f t="shared" si="8"/>
        <v>3.1109550000000001</v>
      </c>
    </row>
    <row r="21" spans="9:16" x14ac:dyDescent="0.2">
      <c r="I21" s="599" t="str">
        <f t="shared" si="5"/>
        <v>Total</v>
      </c>
      <c r="J21" s="403">
        <f t="shared" ref="J21:M21" si="9">+J10/1000000</f>
        <v>28.447455999999999</v>
      </c>
      <c r="K21" s="403">
        <f t="shared" si="9"/>
        <v>8.9161009999999994</v>
      </c>
      <c r="L21" s="403">
        <f t="shared" si="9"/>
        <v>6.5010000000000003</v>
      </c>
      <c r="M21" s="403">
        <f t="shared" si="9"/>
        <v>13.030355</v>
      </c>
      <c r="O21" t="s">
        <v>69</v>
      </c>
      <c r="P21">
        <f>+K21/12</f>
        <v>0.74300841666666662</v>
      </c>
    </row>
    <row r="23" spans="9:16" x14ac:dyDescent="0.2">
      <c r="I23" s="270" t="str">
        <f t="shared" si="5"/>
        <v>Rusia</v>
      </c>
      <c r="J23" s="355">
        <f t="shared" ref="J23:M23" si="10">+J12/1000000</f>
        <v>13.549186000000001</v>
      </c>
      <c r="K23" s="355">
        <f t="shared" si="10"/>
        <v>4.7099799999999998</v>
      </c>
      <c r="L23" s="355">
        <f t="shared" si="10"/>
        <v>0.75900000000000001</v>
      </c>
      <c r="M23" s="355">
        <f t="shared" si="10"/>
        <v>8.0802060000000004</v>
      </c>
    </row>
    <row r="24" spans="9:16" x14ac:dyDescent="0.2">
      <c r="I24" s="593" t="s">
        <v>19</v>
      </c>
      <c r="J24" s="403">
        <f t="shared" ref="J24:M24" si="11">+J13/1000000</f>
        <v>41.996642000000001</v>
      </c>
      <c r="K24" s="403">
        <f t="shared" si="11"/>
        <v>13.626080999999999</v>
      </c>
      <c r="L24" s="403">
        <f t="shared" si="11"/>
        <v>7.26</v>
      </c>
      <c r="M24" s="403">
        <f t="shared" si="11"/>
        <v>21.110561000000001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737F-D290-42DB-9648-310CAAB7249E}">
  <dimension ref="C1:AT154"/>
  <sheetViews>
    <sheetView topLeftCell="AD12" zoomScale="93" workbookViewId="0">
      <selection activeCell="AQ10" sqref="AQ10"/>
    </sheetView>
  </sheetViews>
  <sheetFormatPr baseColWidth="10" defaultColWidth="11.5" defaultRowHeight="15" x14ac:dyDescent="0.2"/>
  <cols>
    <col min="3" max="3" width="17.5" bestFit="1" customWidth="1"/>
    <col min="4" max="4" width="18.6640625" bestFit="1" customWidth="1"/>
    <col min="5" max="5" width="19.1640625" bestFit="1" customWidth="1"/>
    <col min="6" max="6" width="12.5" bestFit="1" customWidth="1"/>
    <col min="7" max="7" width="11.5" bestFit="1" customWidth="1"/>
    <col min="8" max="8" width="10.1640625" bestFit="1" customWidth="1"/>
    <col min="9" max="9" width="11.5" bestFit="1" customWidth="1"/>
    <col min="12" max="12" width="13.33203125" bestFit="1" customWidth="1"/>
    <col min="19" max="19" width="18.33203125" bestFit="1" customWidth="1"/>
    <col min="25" max="25" width="3.6640625" customWidth="1"/>
    <col min="35" max="35" width="3.5" customWidth="1"/>
    <col min="42" max="42" width="21.1640625" bestFit="1" customWidth="1"/>
    <col min="43" max="43" width="12.5" bestFit="1" customWidth="1"/>
    <col min="45" max="45" width="13.6640625" bestFit="1" customWidth="1"/>
  </cols>
  <sheetData>
    <row r="1" spans="3:46" x14ac:dyDescent="0.2">
      <c r="U1" s="629" t="s">
        <v>46</v>
      </c>
      <c r="V1" s="629"/>
      <c r="W1" s="629"/>
      <c r="X1" s="629"/>
      <c r="Z1" s="629" t="s">
        <v>43</v>
      </c>
      <c r="AA1" s="629"/>
      <c r="AB1" s="629"/>
      <c r="AC1" s="629"/>
      <c r="AE1" s="629" t="s">
        <v>70</v>
      </c>
      <c r="AF1" s="629"/>
      <c r="AG1" s="629"/>
      <c r="AH1" s="629"/>
      <c r="AJ1" s="629" t="s">
        <v>45</v>
      </c>
      <c r="AK1" s="629"/>
      <c r="AL1" s="629"/>
      <c r="AM1" s="629"/>
    </row>
    <row r="2" spans="3:46" x14ac:dyDescent="0.2">
      <c r="M2" s="602" t="s">
        <v>71</v>
      </c>
      <c r="N2" s="602" t="s">
        <v>72</v>
      </c>
      <c r="O2" s="602" t="s">
        <v>71</v>
      </c>
      <c r="P2" s="602" t="s">
        <v>71</v>
      </c>
      <c r="R2" s="602" t="s">
        <v>71</v>
      </c>
      <c r="S2" s="602" t="s">
        <v>71</v>
      </c>
      <c r="U2" s="602" t="s">
        <v>71</v>
      </c>
      <c r="V2" s="602" t="s">
        <v>72</v>
      </c>
      <c r="W2" s="602" t="s">
        <v>71</v>
      </c>
      <c r="X2" s="602" t="s">
        <v>71</v>
      </c>
      <c r="Z2" s="602" t="s">
        <v>71</v>
      </c>
      <c r="AA2" s="602" t="s">
        <v>72</v>
      </c>
      <c r="AB2" s="602" t="s">
        <v>71</v>
      </c>
      <c r="AC2" s="602" t="s">
        <v>71</v>
      </c>
      <c r="AE2" s="602" t="s">
        <v>71</v>
      </c>
      <c r="AF2" s="602" t="s">
        <v>72</v>
      </c>
      <c r="AG2" s="602" t="s">
        <v>71</v>
      </c>
      <c r="AH2" s="602" t="s">
        <v>71</v>
      </c>
      <c r="AJ2" s="602" t="s">
        <v>71</v>
      </c>
      <c r="AK2" s="602" t="s">
        <v>72</v>
      </c>
      <c r="AL2" s="602" t="s">
        <v>71</v>
      </c>
      <c r="AM2" s="602" t="s">
        <v>71</v>
      </c>
      <c r="AP2" s="602" t="s">
        <v>73</v>
      </c>
      <c r="AQ2" s="602" t="s">
        <v>53</v>
      </c>
      <c r="AR2" s="602" t="s">
        <v>72</v>
      </c>
      <c r="AS2" s="602" t="s">
        <v>66</v>
      </c>
      <c r="AT2" s="602" t="s">
        <v>19</v>
      </c>
    </row>
    <row r="3" spans="3:46" x14ac:dyDescent="0.2">
      <c r="C3" s="213" t="s">
        <v>74</v>
      </c>
      <c r="D3" t="s">
        <v>75</v>
      </c>
      <c r="M3" s="603">
        <f>+AVERAGE(M5:M130)</f>
        <v>138676.11111111112</v>
      </c>
      <c r="N3" s="603">
        <f>+AVERAGE(N5:N130)</f>
        <v>875000</v>
      </c>
      <c r="O3" s="603">
        <f t="shared" ref="O3" si="0">+AVERAGE(O5:O130)</f>
        <v>101000</v>
      </c>
      <c r="P3" s="603">
        <f>+AVERAGE(P5:P130)</f>
        <v>258257.08333333334</v>
      </c>
      <c r="R3" s="603">
        <f>+AVERAGE(R5:R130)</f>
        <v>675000</v>
      </c>
      <c r="S3" s="603">
        <f>+AVERAGE(S5:S130)</f>
        <v>125833.33333333333</v>
      </c>
      <c r="U3" s="603">
        <v>95815.38461538461</v>
      </c>
      <c r="V3" s="603">
        <v>435000</v>
      </c>
      <c r="W3" s="603">
        <v>172830.83333333334</v>
      </c>
      <c r="X3" s="603">
        <v>174187.28571428571</v>
      </c>
      <c r="Z3" s="603">
        <v>148794.25</v>
      </c>
      <c r="AA3" s="603">
        <v>263125</v>
      </c>
      <c r="AB3" s="603">
        <v>185325</v>
      </c>
      <c r="AC3" s="603">
        <v>176215.26666666666</v>
      </c>
      <c r="AE3" s="603">
        <f>+AVERAGE(AE5:AE130)</f>
        <v>276833.33333333331</v>
      </c>
      <c r="AF3" s="603">
        <f>+AVERAGE(AF5:AF130)</f>
        <v>453000</v>
      </c>
      <c r="AG3" s="603">
        <f t="shared" ref="AG3" si="1">+AVERAGE(AG5:AG130)</f>
        <v>555627.27272727271</v>
      </c>
      <c r="AH3" s="603">
        <f>+AVERAGE(AH5:AH130)</f>
        <v>456784.21052631579</v>
      </c>
      <c r="AJ3" s="603">
        <f>+AVERAGE(AJ5:AJ130)</f>
        <v>138676.11111111112</v>
      </c>
      <c r="AK3" s="603">
        <f>+AVERAGE(AK5:AK130)</f>
        <v>875000</v>
      </c>
      <c r="AL3" s="603">
        <f t="shared" ref="AL3" si="2">+AVERAGE(AL5:AL130)</f>
        <v>101000</v>
      </c>
      <c r="AM3" s="603">
        <f>+AVERAGE(AM5:AM130)</f>
        <v>258257.08333333334</v>
      </c>
      <c r="AP3" s="271" t="s">
        <v>45</v>
      </c>
      <c r="AQ3" s="312">
        <v>138676.11111111112</v>
      </c>
      <c r="AR3" s="312">
        <v>875000</v>
      </c>
      <c r="AS3" s="312">
        <v>101000</v>
      </c>
      <c r="AT3" s="312">
        <v>258257.08333333334</v>
      </c>
    </row>
    <row r="4" spans="3:46" x14ac:dyDescent="0.2">
      <c r="L4" t="s">
        <v>60</v>
      </c>
      <c r="M4" s="601" t="s">
        <v>20</v>
      </c>
      <c r="N4" s="601" t="s">
        <v>72</v>
      </c>
      <c r="O4" s="601" t="s">
        <v>37</v>
      </c>
      <c r="P4" s="601" t="s">
        <v>62</v>
      </c>
      <c r="R4" s="601" t="s">
        <v>23</v>
      </c>
      <c r="S4" s="601" t="s">
        <v>28</v>
      </c>
      <c r="U4" s="601" t="s">
        <v>20</v>
      </c>
      <c r="V4" s="601" t="s">
        <v>72</v>
      </c>
      <c r="W4" s="601" t="s">
        <v>37</v>
      </c>
      <c r="X4" s="601" t="s">
        <v>62</v>
      </c>
      <c r="Z4" s="601" t="s">
        <v>20</v>
      </c>
      <c r="AA4" s="601" t="s">
        <v>72</v>
      </c>
      <c r="AB4" s="601" t="s">
        <v>37</v>
      </c>
      <c r="AC4" s="245" t="s">
        <v>62</v>
      </c>
      <c r="AE4" s="601" t="s">
        <v>20</v>
      </c>
      <c r="AF4" s="601" t="s">
        <v>72</v>
      </c>
      <c r="AG4" s="601" t="s">
        <v>37</v>
      </c>
      <c r="AH4" s="601" t="s">
        <v>62</v>
      </c>
      <c r="AJ4" s="601" t="s">
        <v>20</v>
      </c>
      <c r="AK4" s="601" t="s">
        <v>72</v>
      </c>
      <c r="AL4" s="601" t="s">
        <v>37</v>
      </c>
      <c r="AM4" s="601" t="s">
        <v>62</v>
      </c>
      <c r="AP4" s="271" t="s">
        <v>43</v>
      </c>
      <c r="AQ4" s="312">
        <v>148794.25</v>
      </c>
      <c r="AR4" s="312">
        <v>263125</v>
      </c>
      <c r="AS4" s="312">
        <v>185325</v>
      </c>
      <c r="AT4" s="312">
        <v>176215.26666666666</v>
      </c>
    </row>
    <row r="5" spans="3:46" x14ac:dyDescent="0.2">
      <c r="C5" s="213" t="s">
        <v>60</v>
      </c>
      <c r="D5" t="s">
        <v>65</v>
      </c>
      <c r="E5" t="s">
        <v>76</v>
      </c>
      <c r="F5" s="248">
        <f>60/147</f>
        <v>0.40816326530612246</v>
      </c>
      <c r="H5">
        <f>27/62</f>
        <v>0.43548387096774194</v>
      </c>
      <c r="L5">
        <v>1</v>
      </c>
      <c r="M5" s="601">
        <v>78846.600000000006</v>
      </c>
      <c r="N5" s="601"/>
      <c r="O5" s="601"/>
      <c r="P5" s="601">
        <v>78846.600000000006</v>
      </c>
      <c r="R5" s="601"/>
      <c r="S5" s="601"/>
      <c r="U5" s="601">
        <v>196600</v>
      </c>
      <c r="V5" s="601" t="s">
        <v>77</v>
      </c>
      <c r="W5" s="601"/>
      <c r="X5" s="601">
        <v>196600</v>
      </c>
      <c r="Z5" s="601">
        <v>200000</v>
      </c>
      <c r="AA5" s="601" t="s">
        <v>77</v>
      </c>
      <c r="AB5" s="601"/>
      <c r="AC5" s="601">
        <v>200000</v>
      </c>
      <c r="AE5" s="601">
        <v>612000</v>
      </c>
      <c r="AF5" s="601"/>
      <c r="AG5" s="601"/>
      <c r="AH5" s="601">
        <v>612000</v>
      </c>
      <c r="AJ5" s="601">
        <v>78846.600000000006</v>
      </c>
      <c r="AK5" s="601"/>
      <c r="AL5" s="601"/>
      <c r="AM5" s="601">
        <v>78846.600000000006</v>
      </c>
      <c r="AP5" s="271" t="s">
        <v>44</v>
      </c>
      <c r="AQ5" s="312">
        <v>276833.33333333331</v>
      </c>
      <c r="AR5" s="312">
        <v>453000</v>
      </c>
      <c r="AS5" s="312">
        <v>555627.27272727271</v>
      </c>
      <c r="AT5" s="312">
        <v>456784.21052631579</v>
      </c>
    </row>
    <row r="6" spans="3:46" x14ac:dyDescent="0.2">
      <c r="C6" s="217">
        <v>1</v>
      </c>
      <c r="D6">
        <v>78846.600000000006</v>
      </c>
      <c r="E6" t="s">
        <v>78</v>
      </c>
      <c r="F6" s="248">
        <f>87/147</f>
        <v>0.59183673469387754</v>
      </c>
      <c r="H6">
        <f>35/62</f>
        <v>0.56451612903225812</v>
      </c>
      <c r="L6">
        <v>2</v>
      </c>
      <c r="M6" s="601">
        <v>263238.40000000002</v>
      </c>
      <c r="N6" s="601"/>
      <c r="O6" s="601"/>
      <c r="P6" s="601">
        <v>263238.40000000002</v>
      </c>
      <c r="R6" s="601"/>
      <c r="S6" s="601"/>
      <c r="U6" s="601"/>
      <c r="V6" s="601" t="s">
        <v>77</v>
      </c>
      <c r="W6" s="601">
        <v>492580</v>
      </c>
      <c r="X6" s="601">
        <v>492580</v>
      </c>
      <c r="Z6" s="601">
        <v>225000</v>
      </c>
      <c r="AA6" s="601" t="s">
        <v>77</v>
      </c>
      <c r="AB6" s="601"/>
      <c r="AC6" s="601">
        <v>225000</v>
      </c>
      <c r="AE6" s="601"/>
      <c r="AF6" s="601"/>
      <c r="AG6" s="601">
        <v>800000</v>
      </c>
      <c r="AH6" s="601">
        <v>800000</v>
      </c>
      <c r="AJ6" s="601">
        <v>263238.40000000002</v>
      </c>
      <c r="AK6" s="601"/>
      <c r="AL6" s="601"/>
      <c r="AM6" s="601">
        <v>263238.40000000002</v>
      </c>
      <c r="AP6" s="271" t="s">
        <v>46</v>
      </c>
      <c r="AQ6" s="312">
        <v>95815.38461538461</v>
      </c>
      <c r="AR6" s="312">
        <v>435000</v>
      </c>
      <c r="AS6" s="312">
        <v>172830.83333333334</v>
      </c>
      <c r="AT6" s="312">
        <v>174187.28571428571</v>
      </c>
    </row>
    <row r="7" spans="3:46" x14ac:dyDescent="0.2">
      <c r="C7" s="217">
        <v>2</v>
      </c>
      <c r="D7">
        <v>263238.40000000002</v>
      </c>
      <c r="L7">
        <v>3</v>
      </c>
      <c r="M7" s="601">
        <v>90000</v>
      </c>
      <c r="N7" s="601"/>
      <c r="O7" s="601"/>
      <c r="P7" s="601">
        <v>90000</v>
      </c>
      <c r="R7" s="601"/>
      <c r="S7" s="601"/>
      <c r="U7" s="601"/>
      <c r="V7" s="601" t="s">
        <v>77</v>
      </c>
      <c r="W7" s="601">
        <v>236000</v>
      </c>
      <c r="X7" s="601">
        <v>236000</v>
      </c>
      <c r="Z7" s="601">
        <v>200000</v>
      </c>
      <c r="AA7" s="601" t="s">
        <v>77</v>
      </c>
      <c r="AB7" s="601"/>
      <c r="AC7" s="601">
        <v>200000</v>
      </c>
      <c r="AE7" s="601"/>
      <c r="AF7" s="601"/>
      <c r="AG7" s="601">
        <v>1650000</v>
      </c>
      <c r="AH7" s="601">
        <v>1650000</v>
      </c>
      <c r="AJ7" s="601">
        <v>90000</v>
      </c>
      <c r="AK7" s="601"/>
      <c r="AL7" s="601"/>
      <c r="AM7" s="601">
        <v>90000</v>
      </c>
      <c r="AP7" s="514" t="s">
        <v>19</v>
      </c>
      <c r="AQ7" s="605">
        <v>148602</v>
      </c>
      <c r="AR7" s="604">
        <v>406313</v>
      </c>
      <c r="AS7" s="604">
        <v>260607</v>
      </c>
      <c r="AT7" s="604">
        <v>225773</v>
      </c>
    </row>
    <row r="8" spans="3:46" x14ac:dyDescent="0.2">
      <c r="C8" s="217">
        <v>3</v>
      </c>
      <c r="D8">
        <v>200000</v>
      </c>
      <c r="F8">
        <v>3</v>
      </c>
      <c r="G8">
        <v>16</v>
      </c>
      <c r="L8">
        <v>4</v>
      </c>
      <c r="M8" s="601"/>
      <c r="N8" s="601"/>
      <c r="O8" s="601">
        <v>101000</v>
      </c>
      <c r="P8" s="601">
        <v>101000</v>
      </c>
      <c r="R8" s="601"/>
      <c r="S8" s="601"/>
      <c r="U8" s="601">
        <v>105000</v>
      </c>
      <c r="V8" s="601" t="s">
        <v>77</v>
      </c>
      <c r="W8" s="601"/>
      <c r="X8" s="601">
        <v>105000</v>
      </c>
      <c r="Z8" s="601">
        <v>54000</v>
      </c>
      <c r="AA8" s="601" t="s">
        <v>77</v>
      </c>
      <c r="AB8" s="601"/>
      <c r="AC8" s="601">
        <v>54000</v>
      </c>
      <c r="AE8" s="601"/>
      <c r="AF8" s="601"/>
      <c r="AG8" s="601">
        <v>173900</v>
      </c>
      <c r="AH8" s="601">
        <v>173900</v>
      </c>
      <c r="AJ8" s="601"/>
      <c r="AK8" s="601"/>
      <c r="AL8" s="601">
        <v>101000</v>
      </c>
      <c r="AM8" s="601">
        <v>101000</v>
      </c>
      <c r="AP8" s="271"/>
      <c r="AQ8" s="271"/>
    </row>
    <row r="9" spans="3:46" x14ac:dyDescent="0.2">
      <c r="C9" s="217">
        <v>4</v>
      </c>
      <c r="D9">
        <v>0</v>
      </c>
      <c r="F9">
        <f>+F8/G8</f>
        <v>0.1875</v>
      </c>
      <c r="L9">
        <v>5</v>
      </c>
      <c r="M9" s="601">
        <v>67000</v>
      </c>
      <c r="N9" s="601"/>
      <c r="O9" s="601"/>
      <c r="P9" s="601">
        <v>67000</v>
      </c>
      <c r="R9" s="601"/>
      <c r="S9" s="601"/>
      <c r="U9" s="601"/>
      <c r="V9" s="601" t="s">
        <v>77</v>
      </c>
      <c r="W9" s="601">
        <v>200000</v>
      </c>
      <c r="X9" s="601">
        <v>200000</v>
      </c>
      <c r="Z9" s="601">
        <v>239000</v>
      </c>
      <c r="AA9" s="601" t="s">
        <v>77</v>
      </c>
      <c r="AB9" s="601"/>
      <c r="AC9" s="601">
        <v>239000</v>
      </c>
      <c r="AE9" s="601"/>
      <c r="AF9" s="601"/>
      <c r="AG9" s="601">
        <v>651000</v>
      </c>
      <c r="AH9" s="601">
        <v>651000</v>
      </c>
      <c r="AJ9" s="601">
        <v>67000</v>
      </c>
      <c r="AK9" s="601"/>
      <c r="AL9" s="601"/>
      <c r="AM9" s="601">
        <v>67000</v>
      </c>
      <c r="AP9" s="602" t="s">
        <v>52</v>
      </c>
      <c r="AQ9" s="602" t="s">
        <v>79</v>
      </c>
    </row>
    <row r="10" spans="3:46" x14ac:dyDescent="0.2">
      <c r="C10" s="217">
        <v>5</v>
      </c>
      <c r="D10">
        <v>0</v>
      </c>
      <c r="L10">
        <v>6</v>
      </c>
      <c r="M10" s="601">
        <v>60000</v>
      </c>
      <c r="N10" s="601"/>
      <c r="O10" s="601"/>
      <c r="P10" s="601">
        <v>60000</v>
      </c>
      <c r="R10" s="601"/>
      <c r="S10" s="601"/>
      <c r="U10" s="601"/>
      <c r="V10" s="601" t="s">
        <v>77</v>
      </c>
      <c r="W10" s="601">
        <v>285000</v>
      </c>
      <c r="X10" s="601">
        <v>285000</v>
      </c>
      <c r="Z10" s="601">
        <v>840000</v>
      </c>
      <c r="AA10" s="601" t="s">
        <v>77</v>
      </c>
      <c r="AB10" s="601"/>
      <c r="AC10" s="601">
        <v>840000</v>
      </c>
      <c r="AE10" s="601"/>
      <c r="AF10" s="601"/>
      <c r="AG10" s="601">
        <v>200000</v>
      </c>
      <c r="AH10" s="601">
        <v>200000</v>
      </c>
      <c r="AJ10" s="601">
        <v>60000</v>
      </c>
      <c r="AK10" s="601"/>
      <c r="AL10" s="601"/>
      <c r="AM10" s="601">
        <v>60000</v>
      </c>
      <c r="AP10" s="271" t="s">
        <v>45</v>
      </c>
      <c r="AQ10" s="596">
        <f>+(AQ3-$AQ$4)/$AQ$4</f>
        <v>-6.8000872942932111E-2</v>
      </c>
      <c r="AS10" s="391">
        <f>+(AR7-AQ7)/AQ7</f>
        <v>1.7342364167373252</v>
      </c>
    </row>
    <row r="11" spans="3:46" x14ac:dyDescent="0.2">
      <c r="C11" s="217">
        <v>6</v>
      </c>
      <c r="D11">
        <v>0</v>
      </c>
      <c r="L11">
        <v>8</v>
      </c>
      <c r="M11" s="601">
        <v>70000</v>
      </c>
      <c r="N11" s="601"/>
      <c r="O11" s="601"/>
      <c r="P11" s="601">
        <v>70000</v>
      </c>
      <c r="R11" s="601"/>
      <c r="S11" s="601"/>
      <c r="U11" s="601"/>
      <c r="V11" s="601" t="s">
        <v>77</v>
      </c>
      <c r="W11" s="601">
        <v>102545</v>
      </c>
      <c r="X11" s="601">
        <v>102545</v>
      </c>
      <c r="Z11" s="601"/>
      <c r="AA11" s="601" t="s">
        <v>77</v>
      </c>
      <c r="AB11" s="601">
        <v>0</v>
      </c>
      <c r="AC11" s="601">
        <v>0</v>
      </c>
      <c r="AE11" s="601"/>
      <c r="AF11" s="601"/>
      <c r="AG11" s="601">
        <v>300000</v>
      </c>
      <c r="AH11" s="601">
        <v>300000</v>
      </c>
      <c r="AJ11" s="601">
        <v>70000</v>
      </c>
      <c r="AK11" s="601"/>
      <c r="AL11" s="601"/>
      <c r="AM11" s="601">
        <v>70000</v>
      </c>
      <c r="AP11" s="271" t="s">
        <v>44</v>
      </c>
      <c r="AQ11" s="596">
        <f t="shared" ref="AQ11" si="3">+(AQ5-$AQ$4)/$AQ$4</f>
        <v>0.86051096284522632</v>
      </c>
    </row>
    <row r="12" spans="3:46" x14ac:dyDescent="0.2">
      <c r="C12" s="217">
        <v>7</v>
      </c>
      <c r="D12">
        <v>0</v>
      </c>
      <c r="L12">
        <v>9</v>
      </c>
      <c r="M12" s="601">
        <v>40000</v>
      </c>
      <c r="N12" s="601"/>
      <c r="O12" s="601"/>
      <c r="P12" s="601">
        <v>40000</v>
      </c>
      <c r="R12" s="601"/>
      <c r="S12" s="601"/>
      <c r="U12" s="601"/>
      <c r="V12" s="601" t="s">
        <v>77</v>
      </c>
      <c r="W12" s="601">
        <v>149657</v>
      </c>
      <c r="X12" s="601">
        <v>149657</v>
      </c>
      <c r="Z12" s="601"/>
      <c r="AA12" s="601" t="s">
        <v>77</v>
      </c>
      <c r="AB12" s="601">
        <v>130000</v>
      </c>
      <c r="AC12" s="601">
        <v>130000</v>
      </c>
      <c r="AE12" s="601"/>
      <c r="AF12" s="601"/>
      <c r="AG12" s="601">
        <v>97000</v>
      </c>
      <c r="AH12" s="601">
        <v>97000</v>
      </c>
      <c r="AJ12" s="601">
        <v>40000</v>
      </c>
      <c r="AK12" s="601"/>
      <c r="AL12" s="601"/>
      <c r="AM12" s="601">
        <v>40000</v>
      </c>
      <c r="AP12" s="271" t="s">
        <v>46</v>
      </c>
      <c r="AQ12" s="596">
        <f>+(AQ6-$AQ$4)/$AQ$4</f>
        <v>-0.35605452082063244</v>
      </c>
    </row>
    <row r="13" spans="3:46" x14ac:dyDescent="0.2">
      <c r="C13" s="217">
        <v>8</v>
      </c>
      <c r="D13">
        <v>0</v>
      </c>
      <c r="L13">
        <v>10</v>
      </c>
      <c r="M13" s="601"/>
      <c r="N13" s="601">
        <v>150000</v>
      </c>
      <c r="O13" s="601"/>
      <c r="P13" s="601">
        <v>150000</v>
      </c>
      <c r="R13" s="601"/>
      <c r="S13" s="601"/>
      <c r="U13" s="601"/>
      <c r="V13" s="601" t="s">
        <v>77</v>
      </c>
      <c r="W13" s="601">
        <v>90120</v>
      </c>
      <c r="X13" s="601">
        <v>90120</v>
      </c>
      <c r="Z13" s="601"/>
      <c r="AA13" s="601" t="s">
        <v>77</v>
      </c>
      <c r="AB13" s="601">
        <v>250000</v>
      </c>
      <c r="AC13" s="601">
        <v>250000</v>
      </c>
      <c r="AE13" s="601"/>
      <c r="AF13" s="601"/>
      <c r="AG13" s="601">
        <v>370000</v>
      </c>
      <c r="AH13" s="601">
        <v>370000</v>
      </c>
      <c r="AJ13" s="601"/>
      <c r="AK13" s="601">
        <v>150000</v>
      </c>
      <c r="AL13" s="601"/>
      <c r="AM13" s="601">
        <v>150000</v>
      </c>
    </row>
    <row r="14" spans="3:46" x14ac:dyDescent="0.2">
      <c r="C14" s="217">
        <v>9</v>
      </c>
      <c r="D14">
        <v>0</v>
      </c>
      <c r="L14">
        <v>11</v>
      </c>
      <c r="M14" s="601">
        <v>355000</v>
      </c>
      <c r="N14" s="601"/>
      <c r="O14" s="601"/>
      <c r="P14" s="601">
        <v>355000</v>
      </c>
      <c r="R14" s="601"/>
      <c r="S14" s="601"/>
      <c r="U14" s="601">
        <v>119000</v>
      </c>
      <c r="V14" s="601" t="s">
        <v>77</v>
      </c>
      <c r="W14" s="601"/>
      <c r="X14" s="601">
        <v>119000</v>
      </c>
      <c r="Z14" s="601"/>
      <c r="AA14" s="601" t="s">
        <v>77</v>
      </c>
      <c r="AB14" s="601">
        <v>317000</v>
      </c>
      <c r="AC14" s="601">
        <v>317000</v>
      </c>
      <c r="AE14" s="601">
        <v>15000</v>
      </c>
      <c r="AF14" s="601"/>
      <c r="AG14" s="601"/>
      <c r="AH14" s="601">
        <v>15000</v>
      </c>
      <c r="AJ14" s="601">
        <v>355000</v>
      </c>
      <c r="AK14" s="601"/>
      <c r="AL14" s="601"/>
      <c r="AM14" s="601">
        <v>355000</v>
      </c>
    </row>
    <row r="15" spans="3:46" x14ac:dyDescent="0.2">
      <c r="C15" s="217">
        <v>10</v>
      </c>
      <c r="D15">
        <v>0</v>
      </c>
      <c r="L15">
        <v>12</v>
      </c>
      <c r="M15" s="601"/>
      <c r="N15" s="601">
        <v>1600000</v>
      </c>
      <c r="O15" s="601"/>
      <c r="P15" s="601">
        <v>1600000</v>
      </c>
      <c r="R15" s="601"/>
      <c r="S15" s="601"/>
      <c r="U15" s="601">
        <v>74000</v>
      </c>
      <c r="V15" s="601" t="s">
        <v>77</v>
      </c>
      <c r="W15" s="601"/>
      <c r="X15" s="601">
        <v>74000</v>
      </c>
      <c r="Z15" s="601"/>
      <c r="AA15" s="601" t="s">
        <v>77</v>
      </c>
      <c r="AB15" s="601">
        <v>60000</v>
      </c>
      <c r="AC15" s="601">
        <v>60000</v>
      </c>
      <c r="AE15" s="601">
        <v>196000</v>
      </c>
      <c r="AF15" s="601"/>
      <c r="AG15" s="601"/>
      <c r="AH15" s="601">
        <v>196000</v>
      </c>
      <c r="AJ15" s="601"/>
      <c r="AK15" s="601">
        <v>1600000</v>
      </c>
      <c r="AL15" s="601"/>
      <c r="AM15" s="601">
        <v>1600000</v>
      </c>
    </row>
    <row r="16" spans="3:46" x14ac:dyDescent="0.2">
      <c r="C16" s="217">
        <v>11</v>
      </c>
      <c r="D16">
        <v>0</v>
      </c>
      <c r="L16">
        <v>14</v>
      </c>
      <c r="M16" s="601">
        <v>224000</v>
      </c>
      <c r="N16" s="601"/>
      <c r="O16" s="601"/>
      <c r="P16" s="601">
        <v>224000</v>
      </c>
      <c r="R16" s="601"/>
      <c r="S16" s="601"/>
      <c r="U16" s="601"/>
      <c r="V16" s="601" t="s">
        <v>77</v>
      </c>
      <c r="W16" s="601">
        <v>200000</v>
      </c>
      <c r="X16" s="601">
        <v>200000</v>
      </c>
      <c r="Z16" s="601">
        <v>300000</v>
      </c>
      <c r="AA16" s="601" t="s">
        <v>77</v>
      </c>
      <c r="AB16" s="601"/>
      <c r="AC16" s="601">
        <v>300000</v>
      </c>
      <c r="AE16" s="601">
        <v>98000</v>
      </c>
      <c r="AF16" s="601"/>
      <c r="AG16" s="601"/>
      <c r="AH16" s="601">
        <v>98000</v>
      </c>
      <c r="AJ16" s="601">
        <v>224000</v>
      </c>
      <c r="AK16" s="601"/>
      <c r="AL16" s="601"/>
      <c r="AM16" s="601">
        <v>224000</v>
      </c>
    </row>
    <row r="17" spans="3:39" x14ac:dyDescent="0.2">
      <c r="C17" s="217">
        <v>12</v>
      </c>
      <c r="D17">
        <v>0</v>
      </c>
      <c r="L17">
        <v>15</v>
      </c>
      <c r="M17" s="601"/>
      <c r="N17" s="601"/>
      <c r="O17" s="601"/>
      <c r="P17" s="601"/>
      <c r="R17" s="601"/>
      <c r="S17" s="601"/>
      <c r="U17" s="601"/>
      <c r="V17" s="601" t="s">
        <v>77</v>
      </c>
      <c r="W17" s="601">
        <v>100000</v>
      </c>
      <c r="X17" s="601">
        <v>100000</v>
      </c>
      <c r="Z17" s="601"/>
      <c r="AA17" s="601" t="s">
        <v>77</v>
      </c>
      <c r="AB17" s="601">
        <v>145000</v>
      </c>
      <c r="AC17" s="601">
        <v>145000</v>
      </c>
      <c r="AE17" s="601"/>
      <c r="AF17" s="601"/>
      <c r="AG17" s="601">
        <v>70000</v>
      </c>
      <c r="AH17" s="601">
        <v>70000</v>
      </c>
      <c r="AJ17" s="601"/>
      <c r="AK17" s="601"/>
      <c r="AL17" s="601"/>
      <c r="AM17" s="601"/>
    </row>
    <row r="18" spans="3:39" x14ac:dyDescent="0.2">
      <c r="C18" s="217">
        <v>13</v>
      </c>
      <c r="D18">
        <v>0</v>
      </c>
      <c r="L18">
        <v>16</v>
      </c>
      <c r="M18" s="601"/>
      <c r="N18" s="601"/>
      <c r="O18" s="601"/>
      <c r="P18" s="601"/>
      <c r="R18" s="601"/>
      <c r="S18" s="601"/>
      <c r="U18" s="601"/>
      <c r="V18" s="601" t="s">
        <v>77</v>
      </c>
      <c r="W18" s="601">
        <v>40053</v>
      </c>
      <c r="X18" s="601">
        <v>40053</v>
      </c>
      <c r="Z18" s="601">
        <v>91650</v>
      </c>
      <c r="AA18" s="601" t="s">
        <v>77</v>
      </c>
      <c r="AB18" s="601"/>
      <c r="AC18" s="601">
        <v>91650</v>
      </c>
      <c r="AE18" s="601"/>
      <c r="AF18" s="601"/>
      <c r="AG18" s="601">
        <v>500000</v>
      </c>
      <c r="AH18" s="601">
        <v>500000</v>
      </c>
      <c r="AJ18" s="601"/>
      <c r="AK18" s="601"/>
      <c r="AL18" s="601"/>
      <c r="AM18" s="601"/>
    </row>
    <row r="19" spans="3:39" x14ac:dyDescent="0.2">
      <c r="C19" s="217">
        <v>14</v>
      </c>
      <c r="D19">
        <v>0</v>
      </c>
      <c r="L19">
        <v>17</v>
      </c>
      <c r="M19" s="601"/>
      <c r="N19" s="601"/>
      <c r="O19" s="601"/>
      <c r="P19" s="601"/>
      <c r="R19" s="601"/>
      <c r="S19" s="601"/>
      <c r="U19" s="601"/>
      <c r="V19" s="601" t="s">
        <v>77</v>
      </c>
      <c r="W19" s="601">
        <v>85000</v>
      </c>
      <c r="X19" s="601">
        <v>85000</v>
      </c>
      <c r="Z19" s="601"/>
      <c r="AA19" s="601" t="s">
        <v>77</v>
      </c>
      <c r="AB19" s="601">
        <v>78000</v>
      </c>
      <c r="AC19" s="601">
        <v>78000</v>
      </c>
      <c r="AE19" s="601">
        <v>480000</v>
      </c>
      <c r="AF19" s="601"/>
      <c r="AG19" s="601"/>
      <c r="AH19" s="601">
        <v>480000</v>
      </c>
      <c r="AJ19" s="601"/>
      <c r="AK19" s="601"/>
      <c r="AL19" s="601"/>
      <c r="AM19" s="601"/>
    </row>
    <row r="20" spans="3:39" x14ac:dyDescent="0.2">
      <c r="C20" s="217">
        <v>15</v>
      </c>
      <c r="D20">
        <v>0</v>
      </c>
      <c r="L20">
        <v>19</v>
      </c>
      <c r="M20" s="601"/>
      <c r="N20" s="601"/>
      <c r="O20" s="601"/>
      <c r="P20" s="601"/>
      <c r="R20" s="601"/>
      <c r="S20" s="601"/>
      <c r="U20" s="601">
        <v>8000</v>
      </c>
      <c r="V20" s="601" t="s">
        <v>77</v>
      </c>
      <c r="W20" s="601"/>
      <c r="X20" s="601">
        <v>8000</v>
      </c>
      <c r="Z20" s="601"/>
      <c r="AA20" s="601" t="s">
        <v>77</v>
      </c>
      <c r="AB20" s="601">
        <v>1100000</v>
      </c>
      <c r="AC20" s="601">
        <v>1100000</v>
      </c>
      <c r="AE20" s="601"/>
      <c r="AF20" s="601"/>
      <c r="AG20" s="601">
        <v>1300000</v>
      </c>
      <c r="AH20" s="601">
        <v>1300000</v>
      </c>
      <c r="AJ20" s="601"/>
      <c r="AK20" s="601"/>
      <c r="AL20" s="601"/>
      <c r="AM20" s="601"/>
    </row>
    <row r="21" spans="3:39" x14ac:dyDescent="0.2">
      <c r="C21" s="217">
        <v>16</v>
      </c>
      <c r="D21">
        <v>0</v>
      </c>
      <c r="L21">
        <v>20</v>
      </c>
      <c r="M21" s="601"/>
      <c r="N21" s="601"/>
      <c r="O21" s="601"/>
      <c r="P21" s="601"/>
      <c r="R21" s="601"/>
      <c r="S21" s="601"/>
      <c r="U21" s="601"/>
      <c r="V21" s="601" t="s">
        <v>77</v>
      </c>
      <c r="W21" s="601">
        <v>197000</v>
      </c>
      <c r="X21" s="601">
        <v>197000</v>
      </c>
      <c r="Z21" s="601">
        <v>88166</v>
      </c>
      <c r="AA21" s="601" t="s">
        <v>77</v>
      </c>
      <c r="AB21" s="601"/>
      <c r="AC21" s="601">
        <v>88166</v>
      </c>
      <c r="AE21" s="601"/>
      <c r="AF21" s="601">
        <v>566000</v>
      </c>
      <c r="AG21" s="601"/>
      <c r="AH21" s="601">
        <v>566000</v>
      </c>
      <c r="AJ21" s="601"/>
      <c r="AK21" s="601"/>
      <c r="AL21" s="601"/>
      <c r="AM21" s="601"/>
    </row>
    <row r="22" spans="3:39" x14ac:dyDescent="0.2">
      <c r="C22" s="217">
        <v>17</v>
      </c>
      <c r="D22">
        <v>0</v>
      </c>
      <c r="L22">
        <v>21</v>
      </c>
      <c r="M22" s="601"/>
      <c r="N22" s="601"/>
      <c r="O22" s="601"/>
      <c r="P22" s="601"/>
      <c r="R22" s="601"/>
      <c r="S22" s="601"/>
      <c r="U22" s="601">
        <v>27000</v>
      </c>
      <c r="V22" s="601" t="s">
        <v>77</v>
      </c>
      <c r="W22" s="601"/>
      <c r="X22" s="601">
        <v>27000</v>
      </c>
      <c r="Z22" s="601"/>
      <c r="AA22" s="601" t="s">
        <v>77</v>
      </c>
      <c r="AB22" s="601">
        <v>162000</v>
      </c>
      <c r="AC22" s="601">
        <v>162000</v>
      </c>
      <c r="AE22" s="601"/>
      <c r="AF22" s="601">
        <v>340000</v>
      </c>
      <c r="AG22" s="601"/>
      <c r="AH22" s="601">
        <v>340000</v>
      </c>
      <c r="AJ22" s="601"/>
      <c r="AK22" s="601"/>
      <c r="AL22" s="601"/>
      <c r="AM22" s="601"/>
    </row>
    <row r="23" spans="3:39" x14ac:dyDescent="0.2">
      <c r="C23" s="217">
        <v>18</v>
      </c>
      <c r="D23">
        <v>0</v>
      </c>
      <c r="L23">
        <v>22</v>
      </c>
      <c r="M23" s="601"/>
      <c r="N23" s="601"/>
      <c r="O23" s="601"/>
      <c r="P23" s="601"/>
      <c r="R23" s="601"/>
      <c r="S23" s="601"/>
      <c r="U23" s="601"/>
      <c r="V23" s="601" t="s">
        <v>77</v>
      </c>
      <c r="W23" s="601">
        <v>38000</v>
      </c>
      <c r="X23" s="601">
        <v>38000</v>
      </c>
      <c r="Z23" s="601"/>
      <c r="AA23" s="601" t="s">
        <v>77</v>
      </c>
      <c r="AB23" s="601">
        <v>200000</v>
      </c>
      <c r="AC23" s="601">
        <v>200000</v>
      </c>
      <c r="AE23" s="601">
        <v>260000</v>
      </c>
      <c r="AF23" s="601"/>
      <c r="AG23" s="601"/>
      <c r="AH23" s="601">
        <v>260000</v>
      </c>
      <c r="AJ23" s="601"/>
      <c r="AK23" s="601"/>
      <c r="AL23" s="601"/>
      <c r="AM23" s="601"/>
    </row>
    <row r="24" spans="3:39" x14ac:dyDescent="0.2">
      <c r="C24" s="217">
        <v>19</v>
      </c>
      <c r="D24">
        <v>0</v>
      </c>
      <c r="L24">
        <v>23</v>
      </c>
      <c r="M24" s="601"/>
      <c r="N24" s="601"/>
      <c r="O24" s="601"/>
      <c r="P24" s="601"/>
      <c r="R24" s="601"/>
      <c r="S24" s="601"/>
      <c r="U24" s="601">
        <v>83000</v>
      </c>
      <c r="V24" s="601" t="s">
        <v>77</v>
      </c>
      <c r="W24" s="601"/>
      <c r="X24" s="601">
        <v>83000</v>
      </c>
      <c r="Z24" s="601"/>
      <c r="AA24" s="601" t="s">
        <v>77</v>
      </c>
      <c r="AB24" s="601">
        <v>520000</v>
      </c>
      <c r="AC24" s="601">
        <v>520000</v>
      </c>
      <c r="AE24" s="601"/>
      <c r="AF24" s="601"/>
      <c r="AG24" s="601"/>
      <c r="AH24" s="601"/>
      <c r="AJ24" s="601"/>
      <c r="AK24" s="601"/>
      <c r="AL24" s="601"/>
      <c r="AM24" s="601"/>
    </row>
    <row r="25" spans="3:39" x14ac:dyDescent="0.2">
      <c r="C25" s="217">
        <v>20</v>
      </c>
      <c r="D25">
        <v>0</v>
      </c>
      <c r="L25">
        <v>24</v>
      </c>
      <c r="M25" s="601"/>
      <c r="N25" s="601"/>
      <c r="O25" s="601"/>
      <c r="P25" s="601"/>
      <c r="R25" s="601"/>
      <c r="S25" s="601"/>
      <c r="U25" s="601">
        <v>90000</v>
      </c>
      <c r="V25" s="601" t="s">
        <v>77</v>
      </c>
      <c r="W25" s="601"/>
      <c r="X25" s="601">
        <v>90000</v>
      </c>
      <c r="Z25" s="601"/>
      <c r="AA25" s="601" t="s">
        <v>77</v>
      </c>
      <c r="AB25" s="601">
        <v>40000</v>
      </c>
      <c r="AC25" s="601">
        <v>40000</v>
      </c>
      <c r="AE25" s="601"/>
      <c r="AF25" s="601"/>
      <c r="AG25" s="601"/>
      <c r="AH25" s="601"/>
      <c r="AJ25" s="601"/>
      <c r="AK25" s="601"/>
      <c r="AL25" s="601"/>
      <c r="AM25" s="601"/>
    </row>
    <row r="26" spans="3:39" x14ac:dyDescent="0.2">
      <c r="C26" s="217">
        <v>21</v>
      </c>
      <c r="D26">
        <v>0</v>
      </c>
      <c r="L26">
        <v>25</v>
      </c>
      <c r="M26" s="601"/>
      <c r="N26" s="601"/>
      <c r="O26" s="601"/>
      <c r="P26" s="601"/>
      <c r="R26" s="601"/>
      <c r="S26" s="601"/>
      <c r="U26" s="601">
        <v>70000</v>
      </c>
      <c r="V26" s="601" t="s">
        <v>77</v>
      </c>
      <c r="W26" s="601"/>
      <c r="X26" s="601">
        <v>70000</v>
      </c>
      <c r="Z26" s="601">
        <v>35600</v>
      </c>
      <c r="AA26" s="601" t="s">
        <v>77</v>
      </c>
      <c r="AB26" s="601"/>
      <c r="AC26" s="601">
        <v>35600</v>
      </c>
      <c r="AE26" s="601"/>
      <c r="AF26" s="601"/>
      <c r="AG26" s="601"/>
      <c r="AH26" s="601"/>
      <c r="AJ26" s="601"/>
      <c r="AK26" s="601"/>
      <c r="AL26" s="601"/>
      <c r="AM26" s="601"/>
    </row>
    <row r="27" spans="3:39" x14ac:dyDescent="0.2">
      <c r="C27" s="217">
        <v>22</v>
      </c>
      <c r="D27">
        <v>0</v>
      </c>
      <c r="L27">
        <v>26</v>
      </c>
      <c r="M27" s="601"/>
      <c r="N27" s="601"/>
      <c r="O27" s="601"/>
      <c r="P27" s="601"/>
      <c r="R27" s="601"/>
      <c r="S27" s="601"/>
      <c r="U27" s="601"/>
      <c r="V27" s="601" t="s">
        <v>77</v>
      </c>
      <c r="W27" s="601">
        <v>125000</v>
      </c>
      <c r="X27" s="601">
        <v>125000</v>
      </c>
      <c r="Z27" s="601">
        <v>30000</v>
      </c>
      <c r="AA27" s="601" t="s">
        <v>77</v>
      </c>
      <c r="AB27" s="601"/>
      <c r="AC27" s="601">
        <v>30000</v>
      </c>
      <c r="AE27" s="601"/>
      <c r="AF27" s="601"/>
      <c r="AG27" s="601"/>
      <c r="AH27" s="601"/>
      <c r="AJ27" s="601"/>
      <c r="AK27" s="601"/>
      <c r="AL27" s="601"/>
      <c r="AM27" s="601"/>
    </row>
    <row r="28" spans="3:39" x14ac:dyDescent="0.2">
      <c r="C28" s="217">
        <v>23</v>
      </c>
      <c r="D28">
        <v>0</v>
      </c>
      <c r="L28">
        <v>27</v>
      </c>
      <c r="M28" s="601"/>
      <c r="N28" s="601"/>
      <c r="O28" s="601"/>
      <c r="P28" s="601"/>
      <c r="R28" s="601"/>
      <c r="S28" s="601"/>
      <c r="U28" s="601"/>
      <c r="V28" s="601" t="s">
        <v>77</v>
      </c>
      <c r="W28" s="601">
        <v>80000</v>
      </c>
      <c r="X28" s="601">
        <v>80000</v>
      </c>
      <c r="Z28" s="601"/>
      <c r="AA28" s="601" t="s">
        <v>77</v>
      </c>
      <c r="AB28" s="601">
        <v>12500</v>
      </c>
      <c r="AC28" s="601">
        <v>12500</v>
      </c>
      <c r="AE28" s="601"/>
      <c r="AF28" s="601"/>
      <c r="AG28" s="601"/>
      <c r="AH28" s="601"/>
      <c r="AJ28" s="601"/>
      <c r="AK28" s="601"/>
      <c r="AL28" s="601"/>
      <c r="AM28" s="601"/>
    </row>
    <row r="29" spans="3:39" x14ac:dyDescent="0.2">
      <c r="C29" s="217">
        <v>24</v>
      </c>
      <c r="D29">
        <v>0</v>
      </c>
      <c r="L29">
        <v>31</v>
      </c>
      <c r="M29" s="601"/>
      <c r="N29" s="601"/>
      <c r="O29" s="601"/>
      <c r="P29" s="601"/>
      <c r="R29" s="601"/>
      <c r="S29" s="601"/>
      <c r="U29" s="601">
        <v>133000</v>
      </c>
      <c r="V29" s="601" t="s">
        <v>77</v>
      </c>
      <c r="W29" s="601"/>
      <c r="X29" s="601">
        <v>133000</v>
      </c>
      <c r="Z29" s="601">
        <v>12000</v>
      </c>
      <c r="AA29" s="601" t="s">
        <v>77</v>
      </c>
      <c r="AB29" s="601"/>
      <c r="AC29" s="601">
        <v>12000</v>
      </c>
      <c r="AE29" s="601"/>
      <c r="AF29" s="601"/>
      <c r="AG29" s="601"/>
      <c r="AH29" s="601"/>
      <c r="AJ29" s="601"/>
      <c r="AK29" s="601"/>
      <c r="AL29" s="601"/>
      <c r="AM29" s="601"/>
    </row>
    <row r="30" spans="3:39" x14ac:dyDescent="0.2">
      <c r="C30" s="217">
        <v>25</v>
      </c>
      <c r="D30">
        <v>0</v>
      </c>
      <c r="L30">
        <v>32</v>
      </c>
      <c r="M30" s="601"/>
      <c r="N30" s="601"/>
      <c r="O30" s="601"/>
      <c r="P30" s="601"/>
      <c r="R30" s="601"/>
      <c r="S30" s="601"/>
      <c r="U30" s="601"/>
      <c r="V30" s="601">
        <v>180000</v>
      </c>
      <c r="W30" s="601"/>
      <c r="X30" s="601">
        <v>180000</v>
      </c>
      <c r="Z30" s="601">
        <v>50000</v>
      </c>
      <c r="AA30" s="601" t="s">
        <v>77</v>
      </c>
      <c r="AB30" s="601"/>
      <c r="AC30" s="601">
        <v>50000</v>
      </c>
      <c r="AE30" s="601"/>
      <c r="AF30" s="601"/>
      <c r="AG30" s="601"/>
      <c r="AH30" s="601"/>
      <c r="AJ30" s="601"/>
      <c r="AK30" s="601"/>
      <c r="AL30" s="601"/>
      <c r="AM30" s="601"/>
    </row>
    <row r="31" spans="3:39" x14ac:dyDescent="0.2">
      <c r="C31" s="217">
        <v>26</v>
      </c>
      <c r="D31">
        <v>0</v>
      </c>
      <c r="L31">
        <v>33</v>
      </c>
      <c r="M31" s="601"/>
      <c r="N31" s="601"/>
      <c r="O31" s="601"/>
      <c r="P31" s="601"/>
      <c r="R31" s="601"/>
      <c r="S31" s="601"/>
      <c r="U31" s="601"/>
      <c r="V31" s="601">
        <v>1100000</v>
      </c>
      <c r="W31" s="601"/>
      <c r="X31" s="601">
        <v>1100000</v>
      </c>
      <c r="Z31" s="601">
        <v>43000</v>
      </c>
      <c r="AA31" s="601" t="s">
        <v>77</v>
      </c>
      <c r="AB31" s="601"/>
      <c r="AC31" s="601">
        <v>43000</v>
      </c>
      <c r="AE31" s="601"/>
      <c r="AF31" s="601"/>
      <c r="AG31" s="601"/>
      <c r="AH31" s="601"/>
      <c r="AJ31" s="601"/>
      <c r="AK31" s="601"/>
      <c r="AL31" s="601"/>
      <c r="AM31" s="601"/>
    </row>
    <row r="32" spans="3:39" x14ac:dyDescent="0.2">
      <c r="C32" s="217">
        <v>27</v>
      </c>
      <c r="D32">
        <v>0</v>
      </c>
      <c r="L32">
        <v>34</v>
      </c>
      <c r="M32" s="601"/>
      <c r="N32" s="601"/>
      <c r="O32" s="601"/>
      <c r="P32" s="601"/>
      <c r="R32" s="601"/>
      <c r="S32" s="601"/>
      <c r="U32" s="601"/>
      <c r="V32" s="601" t="s">
        <v>77</v>
      </c>
      <c r="W32" s="601">
        <v>250000</v>
      </c>
      <c r="X32" s="601">
        <v>250000</v>
      </c>
      <c r="Z32" s="601">
        <v>95000</v>
      </c>
      <c r="AA32" s="601" t="s">
        <v>77</v>
      </c>
      <c r="AB32" s="601"/>
      <c r="AC32" s="601">
        <v>95000</v>
      </c>
      <c r="AE32" s="601"/>
      <c r="AF32" s="601"/>
      <c r="AG32" s="601"/>
      <c r="AH32" s="601"/>
      <c r="AJ32" s="601"/>
      <c r="AK32" s="601"/>
      <c r="AL32" s="601"/>
      <c r="AM32" s="601"/>
    </row>
    <row r="33" spans="3:39" x14ac:dyDescent="0.2">
      <c r="C33" s="217">
        <v>28</v>
      </c>
      <c r="D33">
        <v>0</v>
      </c>
      <c r="L33">
        <v>37</v>
      </c>
      <c r="M33" s="601"/>
      <c r="N33" s="601"/>
      <c r="O33" s="601"/>
      <c r="P33" s="601"/>
      <c r="R33" s="601"/>
      <c r="S33" s="601"/>
      <c r="U33" s="601">
        <v>270000</v>
      </c>
      <c r="V33" s="601" t="s">
        <v>77</v>
      </c>
      <c r="W33" s="601"/>
      <c r="X33" s="601">
        <v>270000</v>
      </c>
      <c r="Z33" s="601"/>
      <c r="AA33" s="601" t="s">
        <v>77</v>
      </c>
      <c r="AB33" s="601">
        <v>81000</v>
      </c>
      <c r="AC33" s="601">
        <v>81000</v>
      </c>
      <c r="AE33" s="601"/>
      <c r="AF33" s="601"/>
      <c r="AG33" s="601"/>
      <c r="AH33" s="601"/>
      <c r="AJ33" s="601"/>
      <c r="AK33" s="601"/>
      <c r="AL33" s="601"/>
      <c r="AM33" s="601"/>
    </row>
    <row r="34" spans="3:39" x14ac:dyDescent="0.2">
      <c r="C34" s="217">
        <v>29</v>
      </c>
      <c r="D34">
        <v>0</v>
      </c>
      <c r="L34">
        <v>38</v>
      </c>
      <c r="M34" s="601"/>
      <c r="N34" s="601"/>
      <c r="O34" s="601"/>
      <c r="P34" s="601"/>
      <c r="R34" s="601"/>
      <c r="S34" s="601"/>
      <c r="U34" s="601"/>
      <c r="V34" s="601" t="s">
        <v>77</v>
      </c>
      <c r="W34" s="601">
        <v>190000</v>
      </c>
      <c r="X34" s="601">
        <v>190000</v>
      </c>
      <c r="Z34" s="601">
        <v>190000</v>
      </c>
      <c r="AA34" s="601" t="s">
        <v>77</v>
      </c>
      <c r="AB34" s="601"/>
      <c r="AC34" s="601">
        <v>190000</v>
      </c>
      <c r="AE34" s="601"/>
      <c r="AF34" s="601"/>
      <c r="AG34" s="601"/>
      <c r="AH34" s="601"/>
      <c r="AJ34" s="601"/>
      <c r="AK34" s="601"/>
      <c r="AL34" s="601"/>
      <c r="AM34" s="601"/>
    </row>
    <row r="35" spans="3:39" x14ac:dyDescent="0.2">
      <c r="C35" s="217">
        <v>30</v>
      </c>
      <c r="D35">
        <v>0</v>
      </c>
      <c r="L35">
        <v>39</v>
      </c>
      <c r="M35" s="601"/>
      <c r="N35" s="601"/>
      <c r="O35" s="601"/>
      <c r="P35" s="601"/>
      <c r="R35" s="601"/>
      <c r="S35" s="601"/>
      <c r="U35" s="601">
        <v>20000</v>
      </c>
      <c r="V35" s="601" t="s">
        <v>77</v>
      </c>
      <c r="W35" s="601"/>
      <c r="X35" s="601">
        <v>20000</v>
      </c>
      <c r="Z35" s="601"/>
      <c r="AA35" s="601" t="s">
        <v>77</v>
      </c>
      <c r="AB35" s="601">
        <v>100000</v>
      </c>
      <c r="AC35" s="601">
        <v>100000</v>
      </c>
      <c r="AE35" s="601"/>
      <c r="AF35" s="601"/>
      <c r="AG35" s="601"/>
      <c r="AH35" s="601"/>
      <c r="AJ35" s="601"/>
      <c r="AK35" s="601"/>
      <c r="AL35" s="601"/>
      <c r="AM35" s="601"/>
    </row>
    <row r="36" spans="3:39" x14ac:dyDescent="0.2">
      <c r="C36" s="217">
        <v>31</v>
      </c>
      <c r="D36">
        <v>0</v>
      </c>
      <c r="L36">
        <v>40</v>
      </c>
      <c r="M36" s="601"/>
      <c r="N36" s="601"/>
      <c r="O36" s="601"/>
      <c r="P36" s="601"/>
      <c r="R36" s="601"/>
      <c r="S36" s="601"/>
      <c r="U36" s="601"/>
      <c r="V36" s="601" t="s">
        <v>77</v>
      </c>
      <c r="W36" s="601">
        <v>250000</v>
      </c>
      <c r="X36" s="601">
        <v>250000</v>
      </c>
      <c r="Z36" s="601"/>
      <c r="AA36" s="601" t="s">
        <v>77</v>
      </c>
      <c r="AB36" s="601">
        <v>45000</v>
      </c>
      <c r="AC36" s="601">
        <v>45000</v>
      </c>
      <c r="AE36" s="601"/>
      <c r="AF36" s="601"/>
      <c r="AG36" s="601"/>
      <c r="AH36" s="601"/>
      <c r="AJ36" s="601"/>
      <c r="AK36" s="601"/>
      <c r="AL36" s="601"/>
      <c r="AM36" s="601"/>
    </row>
    <row r="37" spans="3:39" x14ac:dyDescent="0.2">
      <c r="C37" s="217">
        <v>32</v>
      </c>
      <c r="D37">
        <v>0</v>
      </c>
      <c r="L37">
        <v>41</v>
      </c>
      <c r="M37" s="601"/>
      <c r="N37" s="601"/>
      <c r="O37" s="601"/>
      <c r="P37" s="601"/>
      <c r="R37" s="601"/>
      <c r="S37" s="601"/>
      <c r="U37" s="601"/>
      <c r="V37" s="601">
        <v>240000</v>
      </c>
      <c r="W37" s="601"/>
      <c r="X37" s="601">
        <v>240000</v>
      </c>
      <c r="Z37" s="601">
        <v>85000</v>
      </c>
      <c r="AA37" s="601" t="s">
        <v>77</v>
      </c>
      <c r="AB37" s="601"/>
      <c r="AC37" s="601">
        <v>85000</v>
      </c>
      <c r="AE37" s="601"/>
      <c r="AF37" s="601"/>
      <c r="AG37" s="601"/>
      <c r="AH37" s="601"/>
      <c r="AJ37" s="601"/>
      <c r="AK37" s="601"/>
      <c r="AL37" s="601"/>
      <c r="AM37" s="601"/>
    </row>
    <row r="38" spans="3:39" x14ac:dyDescent="0.2">
      <c r="C38" s="217">
        <v>33</v>
      </c>
      <c r="D38">
        <v>0</v>
      </c>
      <c r="L38">
        <v>42</v>
      </c>
      <c r="M38" s="601"/>
      <c r="N38" s="601"/>
      <c r="O38" s="601"/>
      <c r="P38" s="601"/>
      <c r="R38" s="601"/>
      <c r="S38" s="601"/>
      <c r="U38" s="601"/>
      <c r="V38" s="601">
        <v>220000</v>
      </c>
      <c r="W38" s="601"/>
      <c r="X38" s="601">
        <v>220000</v>
      </c>
      <c r="Z38" s="601">
        <v>45000</v>
      </c>
      <c r="AA38" s="601" t="s">
        <v>77</v>
      </c>
      <c r="AB38" s="601"/>
      <c r="AC38" s="601">
        <v>45000</v>
      </c>
      <c r="AE38" s="601"/>
      <c r="AF38" s="601"/>
      <c r="AG38" s="601"/>
      <c r="AH38" s="601"/>
      <c r="AJ38" s="601"/>
      <c r="AK38" s="601"/>
      <c r="AL38" s="601"/>
      <c r="AM38" s="601"/>
    </row>
    <row r="39" spans="3:39" x14ac:dyDescent="0.2">
      <c r="C39" s="217">
        <v>34</v>
      </c>
      <c r="D39">
        <v>0</v>
      </c>
      <c r="L39">
        <v>43</v>
      </c>
      <c r="M39" s="601"/>
      <c r="N39" s="601"/>
      <c r="O39" s="601"/>
      <c r="P39" s="601"/>
      <c r="R39" s="601"/>
      <c r="S39" s="601"/>
      <c r="U39" s="601">
        <v>50000</v>
      </c>
      <c r="V39" s="601" t="s">
        <v>77</v>
      </c>
      <c r="W39" s="601"/>
      <c r="X39" s="601">
        <v>50000</v>
      </c>
      <c r="Z39" s="601">
        <v>70000</v>
      </c>
      <c r="AA39" s="601" t="s">
        <v>77</v>
      </c>
      <c r="AB39" s="601"/>
      <c r="AC39" s="601">
        <v>70000</v>
      </c>
      <c r="AE39" s="601"/>
      <c r="AF39" s="601"/>
      <c r="AG39" s="601"/>
      <c r="AH39" s="601"/>
      <c r="AJ39" s="601"/>
      <c r="AK39" s="601"/>
      <c r="AL39" s="601"/>
      <c r="AM39" s="601"/>
    </row>
    <row r="40" spans="3:39" x14ac:dyDescent="0.2">
      <c r="C40" s="217">
        <v>35</v>
      </c>
      <c r="D40">
        <v>0</v>
      </c>
      <c r="L40">
        <v>44</v>
      </c>
      <c r="M40" s="601"/>
      <c r="N40" s="601"/>
      <c r="O40" s="601"/>
      <c r="P40" s="601"/>
      <c r="R40" s="601"/>
      <c r="S40" s="601"/>
      <c r="U40" s="601"/>
      <c r="V40" s="601"/>
      <c r="W40" s="601"/>
      <c r="X40" s="601"/>
      <c r="Z40" s="601">
        <v>100000</v>
      </c>
      <c r="AA40" s="601" t="s">
        <v>77</v>
      </c>
      <c r="AB40" s="601"/>
      <c r="AC40" s="601">
        <v>100000</v>
      </c>
      <c r="AE40" s="601"/>
      <c r="AF40" s="601"/>
      <c r="AG40" s="601"/>
      <c r="AH40" s="601"/>
      <c r="AJ40" s="601"/>
      <c r="AK40" s="601"/>
      <c r="AL40" s="601"/>
      <c r="AM40" s="601"/>
    </row>
    <row r="41" spans="3:39" x14ac:dyDescent="0.2">
      <c r="C41" s="217">
        <v>36</v>
      </c>
      <c r="D41">
        <v>0</v>
      </c>
      <c r="L41">
        <v>45</v>
      </c>
      <c r="M41" s="601"/>
      <c r="N41" s="601"/>
      <c r="O41" s="601"/>
      <c r="P41" s="601"/>
      <c r="R41" s="601"/>
      <c r="S41" s="601"/>
      <c r="U41" s="601"/>
      <c r="V41" s="601"/>
      <c r="W41" s="601"/>
      <c r="X41" s="601"/>
      <c r="Z41" s="601"/>
      <c r="AA41" s="601" t="s">
        <v>77</v>
      </c>
      <c r="AB41" s="601">
        <v>90000</v>
      </c>
      <c r="AC41" s="601">
        <v>90000</v>
      </c>
      <c r="AE41" s="601"/>
      <c r="AF41" s="601"/>
      <c r="AG41" s="601"/>
      <c r="AH41" s="601"/>
      <c r="AJ41" s="601"/>
      <c r="AK41" s="601"/>
      <c r="AL41" s="601"/>
      <c r="AM41" s="601"/>
    </row>
    <row r="42" spans="3:39" x14ac:dyDescent="0.2">
      <c r="C42" s="217">
        <v>37</v>
      </c>
      <c r="D42">
        <v>0</v>
      </c>
      <c r="L42">
        <v>47</v>
      </c>
      <c r="M42" s="601"/>
      <c r="N42" s="601"/>
      <c r="O42" s="601"/>
      <c r="P42" s="601"/>
      <c r="R42" s="601"/>
      <c r="S42" s="601"/>
      <c r="U42" s="601"/>
      <c r="V42" s="601"/>
      <c r="W42" s="601"/>
      <c r="X42" s="601"/>
      <c r="Z42" s="601">
        <v>66000</v>
      </c>
      <c r="AA42" s="601" t="s">
        <v>77</v>
      </c>
      <c r="AB42" s="601"/>
      <c r="AC42" s="601">
        <v>66000</v>
      </c>
      <c r="AE42" s="601"/>
      <c r="AF42" s="601"/>
      <c r="AG42" s="601"/>
      <c r="AH42" s="601"/>
      <c r="AJ42" s="601"/>
      <c r="AK42" s="601"/>
      <c r="AL42" s="601"/>
      <c r="AM42" s="601"/>
    </row>
    <row r="43" spans="3:39" x14ac:dyDescent="0.2">
      <c r="C43" s="217">
        <v>38</v>
      </c>
      <c r="D43">
        <v>0</v>
      </c>
      <c r="L43">
        <v>48</v>
      </c>
      <c r="M43" s="601"/>
      <c r="N43" s="601"/>
      <c r="O43" s="601"/>
      <c r="P43" s="601"/>
      <c r="R43" s="601"/>
      <c r="S43" s="601"/>
      <c r="U43" s="601"/>
      <c r="V43" s="601"/>
      <c r="W43" s="601"/>
      <c r="X43" s="601"/>
      <c r="Z43" s="601">
        <v>120000</v>
      </c>
      <c r="AA43" s="601" t="s">
        <v>77</v>
      </c>
      <c r="AB43" s="601"/>
      <c r="AC43" s="601">
        <v>120000</v>
      </c>
      <c r="AE43" s="601"/>
      <c r="AF43" s="601"/>
      <c r="AG43" s="601"/>
      <c r="AH43" s="601"/>
      <c r="AJ43" s="601"/>
      <c r="AK43" s="601"/>
      <c r="AL43" s="601"/>
      <c r="AM43" s="601"/>
    </row>
    <row r="44" spans="3:39" x14ac:dyDescent="0.2">
      <c r="C44" s="217">
        <v>39</v>
      </c>
      <c r="D44">
        <v>0</v>
      </c>
      <c r="L44">
        <v>49</v>
      </c>
      <c r="M44" s="601"/>
      <c r="N44" s="601"/>
      <c r="O44" s="601"/>
      <c r="P44" s="601"/>
      <c r="R44" s="601"/>
      <c r="S44" s="601"/>
      <c r="U44" s="601"/>
      <c r="V44" s="601"/>
      <c r="W44" s="601"/>
      <c r="X44" s="601"/>
      <c r="Z44" s="601">
        <v>100000</v>
      </c>
      <c r="AA44" s="601" t="s">
        <v>77</v>
      </c>
      <c r="AB44" s="601"/>
      <c r="AC44" s="601">
        <v>100000</v>
      </c>
      <c r="AE44" s="601"/>
      <c r="AF44" s="601"/>
      <c r="AG44" s="601"/>
      <c r="AH44" s="601"/>
      <c r="AJ44" s="601"/>
      <c r="AK44" s="601"/>
      <c r="AL44" s="601"/>
      <c r="AM44" s="601"/>
    </row>
    <row r="45" spans="3:39" x14ac:dyDescent="0.2">
      <c r="C45" s="217">
        <v>40</v>
      </c>
      <c r="D45">
        <v>0</v>
      </c>
      <c r="L45">
        <v>51</v>
      </c>
      <c r="M45" s="601"/>
      <c r="N45" s="601"/>
      <c r="O45" s="601"/>
      <c r="P45" s="601"/>
      <c r="R45" s="601"/>
      <c r="S45" s="601"/>
      <c r="U45" s="601"/>
      <c r="V45" s="601"/>
      <c r="W45" s="601"/>
      <c r="X45" s="601"/>
      <c r="Z45" s="601">
        <v>500000</v>
      </c>
      <c r="AA45" s="601" t="s">
        <v>77</v>
      </c>
      <c r="AB45" s="601"/>
      <c r="AC45" s="601">
        <v>500000</v>
      </c>
      <c r="AE45" s="601"/>
      <c r="AF45" s="601"/>
      <c r="AG45" s="601"/>
      <c r="AH45" s="601"/>
      <c r="AJ45" s="601"/>
      <c r="AK45" s="601"/>
      <c r="AL45" s="601"/>
      <c r="AM45" s="601"/>
    </row>
    <row r="46" spans="3:39" x14ac:dyDescent="0.2">
      <c r="C46" s="217">
        <v>41</v>
      </c>
      <c r="D46">
        <v>0</v>
      </c>
      <c r="L46">
        <v>52</v>
      </c>
      <c r="M46" s="601"/>
      <c r="N46" s="601"/>
      <c r="O46" s="601"/>
      <c r="P46" s="601"/>
      <c r="R46" s="601"/>
      <c r="S46" s="601"/>
      <c r="U46" s="601"/>
      <c r="V46" s="601"/>
      <c r="W46" s="601"/>
      <c r="X46" s="601"/>
      <c r="Z46" s="601">
        <v>250000</v>
      </c>
      <c r="AA46" s="601" t="s">
        <v>77</v>
      </c>
      <c r="AB46" s="601"/>
      <c r="AC46" s="601">
        <v>250000</v>
      </c>
      <c r="AE46" s="601"/>
      <c r="AF46" s="601"/>
      <c r="AG46" s="601"/>
      <c r="AH46" s="601"/>
      <c r="AJ46" s="601"/>
      <c r="AK46" s="601"/>
      <c r="AL46" s="601"/>
      <c r="AM46" s="601"/>
    </row>
    <row r="47" spans="3:39" x14ac:dyDescent="0.2">
      <c r="C47" s="217">
        <v>42</v>
      </c>
      <c r="D47">
        <v>0</v>
      </c>
      <c r="L47">
        <v>54</v>
      </c>
      <c r="M47" s="601"/>
      <c r="N47" s="601"/>
      <c r="O47" s="601"/>
      <c r="P47" s="601"/>
      <c r="R47" s="601"/>
      <c r="S47" s="601"/>
      <c r="U47" s="601"/>
      <c r="V47" s="601"/>
      <c r="W47" s="601"/>
      <c r="X47" s="601"/>
      <c r="Z47" s="601"/>
      <c r="AA47" s="601" t="s">
        <v>77</v>
      </c>
      <c r="AB47" s="601">
        <v>66000</v>
      </c>
      <c r="AC47" s="601">
        <v>66000</v>
      </c>
      <c r="AE47" s="601"/>
      <c r="AF47" s="601"/>
      <c r="AG47" s="601"/>
      <c r="AH47" s="601"/>
      <c r="AJ47" s="601"/>
      <c r="AK47" s="601"/>
      <c r="AL47" s="601"/>
      <c r="AM47" s="601"/>
    </row>
    <row r="48" spans="3:39" x14ac:dyDescent="0.2">
      <c r="C48" s="217">
        <v>43</v>
      </c>
      <c r="D48">
        <v>0</v>
      </c>
      <c r="L48">
        <v>55</v>
      </c>
      <c r="M48" s="601"/>
      <c r="N48" s="601"/>
      <c r="O48" s="601"/>
      <c r="P48" s="601"/>
      <c r="R48" s="601"/>
      <c r="S48" s="601"/>
      <c r="U48" s="601"/>
      <c r="V48" s="601"/>
      <c r="W48" s="601"/>
      <c r="X48" s="601"/>
      <c r="Z48" s="601">
        <v>75000</v>
      </c>
      <c r="AA48" s="601" t="s">
        <v>77</v>
      </c>
      <c r="AB48" s="601"/>
      <c r="AC48" s="601">
        <v>75000</v>
      </c>
      <c r="AE48" s="601"/>
      <c r="AF48" s="601"/>
      <c r="AG48" s="601"/>
      <c r="AH48" s="601"/>
      <c r="AJ48" s="601"/>
      <c r="AK48" s="601"/>
      <c r="AL48" s="601"/>
      <c r="AM48" s="601"/>
    </row>
    <row r="49" spans="3:39" x14ac:dyDescent="0.2">
      <c r="C49" s="217">
        <v>44</v>
      </c>
      <c r="D49">
        <v>0</v>
      </c>
      <c r="L49">
        <v>56</v>
      </c>
      <c r="M49" s="601"/>
      <c r="N49" s="601"/>
      <c r="O49" s="601"/>
      <c r="P49" s="601"/>
      <c r="R49" s="601"/>
      <c r="S49" s="601"/>
      <c r="U49" s="601"/>
      <c r="V49" s="601"/>
      <c r="W49" s="601"/>
      <c r="X49" s="601"/>
      <c r="Z49" s="601">
        <v>14000</v>
      </c>
      <c r="AA49" s="601" t="s">
        <v>77</v>
      </c>
      <c r="AB49" s="601"/>
      <c r="AC49" s="601">
        <v>14000</v>
      </c>
      <c r="AE49" s="601"/>
      <c r="AF49" s="601"/>
      <c r="AG49" s="601"/>
      <c r="AH49" s="601"/>
      <c r="AJ49" s="601"/>
      <c r="AK49" s="601"/>
      <c r="AL49" s="601"/>
      <c r="AM49" s="601"/>
    </row>
    <row r="50" spans="3:39" x14ac:dyDescent="0.2">
      <c r="C50" s="217">
        <v>45</v>
      </c>
      <c r="D50">
        <v>0</v>
      </c>
      <c r="L50">
        <v>57</v>
      </c>
      <c r="M50" s="601"/>
      <c r="N50" s="601"/>
      <c r="O50" s="601"/>
      <c r="P50" s="601"/>
      <c r="R50" s="601"/>
      <c r="S50" s="601"/>
      <c r="U50" s="601"/>
      <c r="V50" s="601"/>
      <c r="W50" s="601"/>
      <c r="X50" s="601"/>
      <c r="Z50" s="601">
        <v>45000</v>
      </c>
      <c r="AA50" s="601" t="s">
        <v>77</v>
      </c>
      <c r="AB50" s="601"/>
      <c r="AC50" s="601">
        <v>45000</v>
      </c>
      <c r="AE50" s="601"/>
      <c r="AF50" s="601"/>
      <c r="AG50" s="601"/>
      <c r="AH50" s="601"/>
      <c r="AJ50" s="601"/>
      <c r="AK50" s="601"/>
      <c r="AL50" s="601"/>
      <c r="AM50" s="601"/>
    </row>
    <row r="51" spans="3:39" x14ac:dyDescent="0.2">
      <c r="C51" s="217">
        <v>46</v>
      </c>
      <c r="D51">
        <v>0</v>
      </c>
      <c r="L51">
        <v>58</v>
      </c>
      <c r="M51" s="601"/>
      <c r="N51" s="601"/>
      <c r="O51" s="601"/>
      <c r="P51" s="601"/>
      <c r="R51" s="601"/>
      <c r="S51" s="601"/>
      <c r="U51" s="601"/>
      <c r="V51" s="601"/>
      <c r="W51" s="601"/>
      <c r="X51" s="601"/>
      <c r="Z51" s="601"/>
      <c r="AA51" s="601" t="s">
        <v>77</v>
      </c>
      <c r="AB51" s="601">
        <v>160000</v>
      </c>
      <c r="AC51" s="601">
        <v>160000</v>
      </c>
      <c r="AE51" s="601"/>
      <c r="AF51" s="601"/>
      <c r="AG51" s="601"/>
      <c r="AH51" s="601"/>
      <c r="AJ51" s="601"/>
      <c r="AK51" s="601"/>
      <c r="AL51" s="601"/>
      <c r="AM51" s="601"/>
    </row>
    <row r="52" spans="3:39" x14ac:dyDescent="0.2">
      <c r="C52" s="217">
        <v>47</v>
      </c>
      <c r="D52">
        <v>0</v>
      </c>
      <c r="L52">
        <v>60</v>
      </c>
      <c r="M52" s="601"/>
      <c r="N52" s="601"/>
      <c r="O52" s="601"/>
      <c r="P52" s="601"/>
      <c r="R52" s="601"/>
      <c r="S52" s="601"/>
      <c r="U52" s="601"/>
      <c r="V52" s="601"/>
      <c r="W52" s="601"/>
      <c r="X52" s="601"/>
      <c r="Z52" s="601">
        <v>80000</v>
      </c>
      <c r="AA52" s="601" t="s">
        <v>77</v>
      </c>
      <c r="AB52" s="601"/>
      <c r="AC52" s="601">
        <v>80000</v>
      </c>
      <c r="AE52" s="601"/>
      <c r="AF52" s="601"/>
      <c r="AG52" s="601"/>
      <c r="AH52" s="601"/>
      <c r="AJ52" s="601"/>
      <c r="AK52" s="601"/>
      <c r="AL52" s="601"/>
      <c r="AM52" s="601"/>
    </row>
    <row r="53" spans="3:39" x14ac:dyDescent="0.2">
      <c r="C53" s="217">
        <v>48</v>
      </c>
      <c r="D53">
        <v>0</v>
      </c>
      <c r="L53">
        <v>61</v>
      </c>
      <c r="M53" s="601"/>
      <c r="N53" s="601"/>
      <c r="O53" s="601"/>
      <c r="P53" s="601"/>
      <c r="R53" s="601"/>
      <c r="S53" s="601">
        <v>170000</v>
      </c>
      <c r="U53" s="601"/>
      <c r="V53" s="601"/>
      <c r="W53" s="601"/>
      <c r="X53" s="601"/>
      <c r="Z53" s="601"/>
      <c r="AA53" s="601">
        <v>170000</v>
      </c>
      <c r="AB53" s="601"/>
      <c r="AC53" s="601">
        <v>170000</v>
      </c>
      <c r="AE53" s="601"/>
      <c r="AF53" s="601"/>
      <c r="AG53" s="601"/>
      <c r="AH53" s="601"/>
      <c r="AJ53" s="601"/>
      <c r="AK53" s="601"/>
      <c r="AL53" s="601"/>
      <c r="AM53" s="601"/>
    </row>
    <row r="54" spans="3:39" x14ac:dyDescent="0.2">
      <c r="C54" s="217">
        <v>49</v>
      </c>
      <c r="D54">
        <v>0</v>
      </c>
      <c r="L54">
        <v>62</v>
      </c>
      <c r="M54" s="601"/>
      <c r="N54" s="601"/>
      <c r="O54" s="601"/>
      <c r="P54" s="601"/>
      <c r="R54" s="601"/>
      <c r="S54" s="601">
        <v>60000</v>
      </c>
      <c r="U54" s="601"/>
      <c r="V54" s="601"/>
      <c r="W54" s="601"/>
      <c r="X54" s="601"/>
      <c r="Z54" s="601"/>
      <c r="AA54" s="601">
        <v>60000</v>
      </c>
      <c r="AB54" s="601"/>
      <c r="AC54" s="601">
        <v>60000</v>
      </c>
      <c r="AE54" s="601"/>
      <c r="AF54" s="601"/>
      <c r="AG54" s="601"/>
      <c r="AH54" s="601"/>
      <c r="AJ54" s="601"/>
      <c r="AK54" s="601"/>
      <c r="AL54" s="601"/>
      <c r="AM54" s="601"/>
    </row>
    <row r="55" spans="3:39" x14ac:dyDescent="0.2">
      <c r="C55" s="217">
        <v>50</v>
      </c>
      <c r="D55">
        <v>0</v>
      </c>
      <c r="L55">
        <v>63</v>
      </c>
      <c r="M55" s="601"/>
      <c r="N55" s="601"/>
      <c r="O55" s="601"/>
      <c r="P55" s="601"/>
      <c r="R55" s="601"/>
      <c r="S55" s="601"/>
      <c r="U55" s="601"/>
      <c r="V55" s="601"/>
      <c r="W55" s="601"/>
      <c r="X55" s="601"/>
      <c r="Z55" s="601"/>
      <c r="AA55" s="601" t="s">
        <v>77</v>
      </c>
      <c r="AB55" s="601">
        <v>150000</v>
      </c>
      <c r="AC55" s="601">
        <v>150000</v>
      </c>
      <c r="AE55" s="601"/>
      <c r="AF55" s="601"/>
      <c r="AG55" s="601"/>
      <c r="AH55" s="601"/>
      <c r="AJ55" s="601"/>
      <c r="AK55" s="601"/>
      <c r="AL55" s="601"/>
      <c r="AM55" s="601"/>
    </row>
    <row r="56" spans="3:39" x14ac:dyDescent="0.2">
      <c r="C56" s="217">
        <v>51</v>
      </c>
      <c r="D56">
        <v>0</v>
      </c>
      <c r="L56">
        <v>64</v>
      </c>
      <c r="M56" s="601"/>
      <c r="N56" s="601"/>
      <c r="O56" s="601"/>
      <c r="P56" s="601"/>
      <c r="R56" s="601"/>
      <c r="S56" s="601"/>
      <c r="U56" s="601"/>
      <c r="V56" s="601"/>
      <c r="W56" s="601"/>
      <c r="X56" s="601"/>
      <c r="Z56" s="601">
        <v>38000</v>
      </c>
      <c r="AA56" s="601" t="s">
        <v>77</v>
      </c>
      <c r="AB56" s="601"/>
      <c r="AC56" s="601">
        <v>38000</v>
      </c>
      <c r="AE56" s="601"/>
      <c r="AF56" s="601"/>
      <c r="AG56" s="601"/>
      <c r="AH56" s="601"/>
      <c r="AJ56" s="601"/>
      <c r="AK56" s="601"/>
      <c r="AL56" s="601"/>
      <c r="AM56" s="601"/>
    </row>
    <row r="57" spans="3:39" x14ac:dyDescent="0.2">
      <c r="C57" s="217">
        <v>52</v>
      </c>
      <c r="D57">
        <v>0</v>
      </c>
      <c r="L57">
        <v>65</v>
      </c>
      <c r="M57" s="601"/>
      <c r="N57" s="601"/>
      <c r="O57" s="601"/>
      <c r="P57" s="601"/>
      <c r="R57" s="601"/>
      <c r="S57" s="601"/>
      <c r="U57" s="601"/>
      <c r="V57" s="601"/>
      <c r="W57" s="601"/>
      <c r="X57" s="601"/>
      <c r="Z57" s="601">
        <v>450000</v>
      </c>
      <c r="AA57" s="601" t="s">
        <v>77</v>
      </c>
      <c r="AB57" s="601"/>
      <c r="AC57" s="601">
        <v>450000</v>
      </c>
      <c r="AE57" s="601"/>
      <c r="AF57" s="601"/>
      <c r="AG57" s="601"/>
      <c r="AH57" s="601"/>
      <c r="AJ57" s="601"/>
      <c r="AK57" s="601"/>
      <c r="AL57" s="601"/>
      <c r="AM57" s="601"/>
    </row>
    <row r="58" spans="3:39" x14ac:dyDescent="0.2">
      <c r="C58" s="217">
        <v>53</v>
      </c>
      <c r="D58">
        <v>0</v>
      </c>
      <c r="L58">
        <v>66</v>
      </c>
      <c r="M58" s="601"/>
      <c r="N58" s="601"/>
      <c r="O58" s="601"/>
      <c r="P58" s="601"/>
      <c r="R58" s="601"/>
      <c r="S58" s="601">
        <v>180000</v>
      </c>
      <c r="U58" s="601"/>
      <c r="V58" s="601"/>
      <c r="W58" s="601"/>
      <c r="X58" s="601"/>
      <c r="Z58" s="601"/>
      <c r="AA58" s="601">
        <v>180000</v>
      </c>
      <c r="AB58" s="601"/>
      <c r="AC58" s="601">
        <v>180000</v>
      </c>
      <c r="AE58" s="601"/>
      <c r="AF58" s="601"/>
      <c r="AG58" s="601"/>
      <c r="AH58" s="601"/>
      <c r="AJ58" s="601"/>
      <c r="AK58" s="601"/>
      <c r="AL58" s="601"/>
      <c r="AM58" s="601"/>
    </row>
    <row r="59" spans="3:39" x14ac:dyDescent="0.2">
      <c r="C59" s="217">
        <v>54</v>
      </c>
      <c r="D59">
        <v>0</v>
      </c>
      <c r="L59">
        <v>67</v>
      </c>
      <c r="M59" s="601"/>
      <c r="N59" s="601"/>
      <c r="O59" s="601"/>
      <c r="P59" s="601"/>
      <c r="R59" s="601"/>
      <c r="S59" s="601"/>
      <c r="U59" s="601"/>
      <c r="V59" s="601"/>
      <c r="W59" s="601"/>
      <c r="X59" s="601"/>
      <c r="Z59" s="601">
        <v>30000</v>
      </c>
      <c r="AA59" s="601" t="s">
        <v>77</v>
      </c>
      <c r="AB59" s="601"/>
      <c r="AC59" s="601">
        <v>30000</v>
      </c>
      <c r="AE59" s="601"/>
      <c r="AF59" s="601"/>
      <c r="AG59" s="601"/>
      <c r="AH59" s="601"/>
      <c r="AJ59" s="601"/>
      <c r="AK59" s="601"/>
      <c r="AL59" s="601"/>
      <c r="AM59" s="601"/>
    </row>
    <row r="60" spans="3:39" x14ac:dyDescent="0.2">
      <c r="C60" s="217">
        <v>55</v>
      </c>
      <c r="D60">
        <v>0</v>
      </c>
      <c r="L60">
        <v>68</v>
      </c>
      <c r="M60" s="601"/>
      <c r="N60" s="601"/>
      <c r="O60" s="601"/>
      <c r="P60" s="601"/>
      <c r="R60" s="601">
        <v>900000</v>
      </c>
      <c r="S60" s="601"/>
      <c r="U60" s="601"/>
      <c r="V60" s="601"/>
      <c r="W60" s="601"/>
      <c r="X60" s="601"/>
      <c r="Z60" s="601"/>
      <c r="AA60" s="601">
        <v>900000</v>
      </c>
      <c r="AB60" s="601"/>
      <c r="AC60" s="601">
        <v>900000</v>
      </c>
      <c r="AE60" s="601"/>
      <c r="AF60" s="601"/>
      <c r="AG60" s="601"/>
      <c r="AH60" s="601"/>
      <c r="AJ60" s="601"/>
      <c r="AK60" s="601"/>
      <c r="AL60" s="601"/>
      <c r="AM60" s="601"/>
    </row>
    <row r="61" spans="3:39" x14ac:dyDescent="0.2">
      <c r="C61" s="217">
        <v>56</v>
      </c>
      <c r="D61">
        <v>0</v>
      </c>
      <c r="L61">
        <v>69</v>
      </c>
      <c r="M61" s="601"/>
      <c r="N61" s="601"/>
      <c r="O61" s="601"/>
      <c r="P61" s="601"/>
      <c r="R61" s="601">
        <v>450000</v>
      </c>
      <c r="S61" s="601"/>
      <c r="U61" s="601"/>
      <c r="V61" s="601"/>
      <c r="W61" s="601"/>
      <c r="X61" s="601"/>
      <c r="Z61" s="601"/>
      <c r="AA61" s="601">
        <v>450000</v>
      </c>
      <c r="AB61" s="601"/>
      <c r="AC61" s="601">
        <v>450000</v>
      </c>
      <c r="AE61" s="601"/>
      <c r="AF61" s="601"/>
      <c r="AG61" s="601"/>
      <c r="AH61" s="601"/>
      <c r="AJ61" s="601"/>
      <c r="AK61" s="601"/>
      <c r="AL61" s="601"/>
      <c r="AM61" s="601"/>
    </row>
    <row r="62" spans="3:39" x14ac:dyDescent="0.2">
      <c r="C62" s="217">
        <v>57</v>
      </c>
      <c r="D62">
        <v>0</v>
      </c>
      <c r="L62">
        <v>70</v>
      </c>
      <c r="M62" s="601"/>
      <c r="N62" s="601"/>
      <c r="O62" s="601"/>
      <c r="P62" s="601"/>
      <c r="R62" s="601"/>
      <c r="S62" s="601">
        <v>200000</v>
      </c>
      <c r="U62" s="601"/>
      <c r="V62" s="601"/>
      <c r="W62" s="601"/>
      <c r="X62" s="601"/>
      <c r="Z62" s="601"/>
      <c r="AA62" s="601">
        <v>200000</v>
      </c>
      <c r="AB62" s="601"/>
      <c r="AC62" s="601">
        <v>200000</v>
      </c>
      <c r="AE62" s="601"/>
      <c r="AF62" s="601"/>
      <c r="AG62" s="601"/>
      <c r="AH62" s="601"/>
      <c r="AJ62" s="601"/>
      <c r="AK62" s="601"/>
      <c r="AL62" s="601"/>
      <c r="AM62" s="601"/>
    </row>
    <row r="63" spans="3:39" x14ac:dyDescent="0.2">
      <c r="C63" s="217">
        <v>58</v>
      </c>
      <c r="D63">
        <v>0</v>
      </c>
      <c r="L63">
        <v>71</v>
      </c>
      <c r="M63" s="601"/>
      <c r="N63" s="601"/>
      <c r="O63" s="601"/>
      <c r="P63" s="601"/>
      <c r="R63" s="601"/>
      <c r="S63" s="601">
        <v>100000</v>
      </c>
      <c r="U63" s="601"/>
      <c r="V63" s="601"/>
      <c r="W63" s="601"/>
      <c r="X63" s="601"/>
      <c r="Z63" s="601"/>
      <c r="AA63" s="601">
        <v>100000</v>
      </c>
      <c r="AB63" s="601"/>
      <c r="AC63" s="601">
        <v>100000</v>
      </c>
      <c r="AE63" s="601"/>
      <c r="AF63" s="601"/>
      <c r="AG63" s="601"/>
      <c r="AH63" s="601"/>
      <c r="AJ63" s="601"/>
      <c r="AK63" s="601"/>
      <c r="AL63" s="601"/>
      <c r="AM63" s="601"/>
    </row>
    <row r="64" spans="3:39" x14ac:dyDescent="0.2">
      <c r="C64" s="217">
        <v>59</v>
      </c>
      <c r="D64">
        <v>0</v>
      </c>
      <c r="L64">
        <v>72</v>
      </c>
      <c r="M64" s="601"/>
      <c r="N64" s="601"/>
      <c r="O64" s="601"/>
      <c r="P64" s="601"/>
      <c r="R64" s="601"/>
      <c r="S64" s="601">
        <v>45000</v>
      </c>
      <c r="U64" s="601"/>
      <c r="V64" s="601"/>
      <c r="W64" s="601"/>
      <c r="X64" s="601"/>
      <c r="Z64" s="601"/>
      <c r="AA64" s="601">
        <v>45000</v>
      </c>
      <c r="AB64" s="601"/>
      <c r="AC64" s="601">
        <v>45000</v>
      </c>
      <c r="AE64" s="601"/>
      <c r="AF64" s="601"/>
      <c r="AG64" s="601"/>
      <c r="AH64" s="601"/>
      <c r="AJ64" s="601"/>
      <c r="AK64" s="601"/>
      <c r="AL64" s="601"/>
      <c r="AM64" s="601"/>
    </row>
    <row r="65" spans="3:39" x14ac:dyDescent="0.2">
      <c r="C65" s="217">
        <v>60</v>
      </c>
      <c r="D65">
        <v>0</v>
      </c>
      <c r="L65">
        <v>73</v>
      </c>
      <c r="M65" s="601"/>
      <c r="N65" s="601"/>
      <c r="O65" s="601"/>
      <c r="P65" s="601"/>
      <c r="R65" s="601"/>
      <c r="S65" s="601"/>
      <c r="U65" s="601"/>
      <c r="V65" s="601"/>
      <c r="W65" s="601"/>
      <c r="X65" s="601"/>
      <c r="Z65" s="601"/>
      <c r="AA65" s="601" t="s">
        <v>77</v>
      </c>
      <c r="AB65" s="601"/>
      <c r="AC65" s="245"/>
      <c r="AE65" s="601"/>
      <c r="AF65" s="601"/>
      <c r="AG65" s="601"/>
      <c r="AH65" s="601"/>
      <c r="AJ65" s="601"/>
      <c r="AK65" s="601"/>
      <c r="AL65" s="601"/>
      <c r="AM65" s="601"/>
    </row>
    <row r="66" spans="3:39" x14ac:dyDescent="0.2">
      <c r="C66" s="217">
        <v>61</v>
      </c>
      <c r="D66">
        <v>0</v>
      </c>
      <c r="L66">
        <v>74</v>
      </c>
      <c r="M66" s="601"/>
      <c r="N66" s="601"/>
      <c r="O66" s="601"/>
      <c r="P66" s="601"/>
      <c r="R66" s="601"/>
      <c r="S66" s="601"/>
      <c r="U66" s="601"/>
      <c r="V66" s="601"/>
      <c r="W66" s="601"/>
      <c r="X66" s="601"/>
      <c r="Z66" s="601"/>
      <c r="AA66" s="601" t="s">
        <v>77</v>
      </c>
      <c r="AB66" s="601"/>
      <c r="AC66" s="245"/>
      <c r="AE66" s="601"/>
      <c r="AF66" s="601"/>
      <c r="AG66" s="601"/>
      <c r="AH66" s="601"/>
      <c r="AJ66" s="601"/>
      <c r="AK66" s="601"/>
      <c r="AL66" s="601"/>
      <c r="AM66" s="601"/>
    </row>
    <row r="67" spans="3:39" x14ac:dyDescent="0.2">
      <c r="C67" s="217">
        <v>62</v>
      </c>
      <c r="D67">
        <v>0</v>
      </c>
      <c r="L67">
        <v>75</v>
      </c>
      <c r="M67" s="601"/>
      <c r="N67" s="601"/>
      <c r="O67" s="601"/>
      <c r="P67" s="601"/>
      <c r="R67" s="601"/>
      <c r="S67" s="601"/>
      <c r="U67" s="601"/>
      <c r="V67" s="601"/>
      <c r="W67" s="601"/>
      <c r="X67" s="601"/>
      <c r="Z67" s="601"/>
      <c r="AA67" s="601" t="s">
        <v>77</v>
      </c>
      <c r="AB67" s="601"/>
      <c r="AC67" s="245"/>
      <c r="AE67" s="601"/>
      <c r="AF67" s="601"/>
      <c r="AG67" s="601"/>
      <c r="AH67" s="601"/>
      <c r="AJ67" s="601"/>
      <c r="AK67" s="601"/>
      <c r="AL67" s="601"/>
      <c r="AM67" s="601"/>
    </row>
    <row r="68" spans="3:39" x14ac:dyDescent="0.2">
      <c r="C68" s="217">
        <v>63</v>
      </c>
      <c r="D68">
        <v>0</v>
      </c>
      <c r="L68">
        <v>76</v>
      </c>
      <c r="M68" s="601"/>
      <c r="N68" s="601"/>
      <c r="O68" s="601"/>
      <c r="P68" s="601"/>
      <c r="R68" s="601"/>
      <c r="S68" s="601"/>
      <c r="U68" s="601"/>
      <c r="V68" s="601"/>
      <c r="W68" s="601"/>
      <c r="X68" s="601"/>
      <c r="Z68" s="601"/>
      <c r="AA68" s="601" t="s">
        <v>77</v>
      </c>
      <c r="AB68" s="601"/>
      <c r="AC68" s="245"/>
      <c r="AE68" s="601"/>
      <c r="AF68" s="601"/>
      <c r="AG68" s="601"/>
      <c r="AH68" s="601"/>
      <c r="AJ68" s="601"/>
      <c r="AK68" s="601"/>
      <c r="AL68" s="601"/>
      <c r="AM68" s="601"/>
    </row>
    <row r="69" spans="3:39" x14ac:dyDescent="0.2">
      <c r="C69" s="217">
        <v>64</v>
      </c>
      <c r="D69">
        <v>0</v>
      </c>
      <c r="L69">
        <v>77</v>
      </c>
      <c r="M69" s="601"/>
      <c r="N69" s="601"/>
      <c r="O69" s="601"/>
      <c r="P69" s="601"/>
      <c r="R69" s="601"/>
      <c r="S69" s="601"/>
      <c r="U69" s="601"/>
      <c r="V69" s="601"/>
      <c r="W69" s="601"/>
      <c r="X69" s="601"/>
      <c r="Z69" s="601"/>
      <c r="AA69" s="601" t="s">
        <v>77</v>
      </c>
      <c r="AB69" s="601"/>
      <c r="AC69" s="245"/>
      <c r="AE69" s="601"/>
      <c r="AF69" s="601"/>
      <c r="AG69" s="601"/>
      <c r="AH69" s="601"/>
      <c r="AJ69" s="601"/>
      <c r="AK69" s="601"/>
      <c r="AL69" s="601"/>
      <c r="AM69" s="601"/>
    </row>
    <row r="70" spans="3:39" x14ac:dyDescent="0.2">
      <c r="C70" s="217">
        <v>65</v>
      </c>
      <c r="D70">
        <v>0</v>
      </c>
      <c r="L70">
        <v>78</v>
      </c>
      <c r="M70" s="601"/>
      <c r="N70" s="601"/>
      <c r="O70" s="601"/>
      <c r="P70" s="601"/>
      <c r="R70" s="601"/>
      <c r="S70" s="601"/>
      <c r="U70" s="601"/>
      <c r="V70" s="601"/>
      <c r="W70" s="601"/>
      <c r="X70" s="601"/>
      <c r="Z70" s="601"/>
      <c r="AA70" s="601" t="s">
        <v>77</v>
      </c>
      <c r="AB70" s="601"/>
      <c r="AC70" s="245"/>
      <c r="AE70" s="601"/>
      <c r="AF70" s="601"/>
      <c r="AG70" s="601"/>
      <c r="AH70" s="601"/>
      <c r="AJ70" s="601"/>
      <c r="AK70" s="601"/>
      <c r="AL70" s="601"/>
      <c r="AM70" s="601"/>
    </row>
    <row r="71" spans="3:39" x14ac:dyDescent="0.2">
      <c r="C71" s="217">
        <v>66</v>
      </c>
      <c r="D71">
        <v>0</v>
      </c>
      <c r="L71">
        <v>80</v>
      </c>
      <c r="M71" s="601"/>
      <c r="N71" s="601"/>
      <c r="O71" s="601"/>
      <c r="P71" s="601"/>
      <c r="R71" s="601"/>
      <c r="S71" s="601"/>
      <c r="U71" s="601"/>
      <c r="V71" s="601"/>
      <c r="W71" s="601"/>
      <c r="X71" s="601"/>
      <c r="Z71" s="601"/>
      <c r="AA71" s="601" t="s">
        <v>77</v>
      </c>
      <c r="AB71" s="601"/>
      <c r="AC71" s="245"/>
      <c r="AE71" s="601"/>
      <c r="AF71" s="601"/>
      <c r="AG71" s="601"/>
      <c r="AH71" s="601"/>
      <c r="AJ71" s="601"/>
      <c r="AK71" s="601"/>
      <c r="AL71" s="601"/>
      <c r="AM71" s="601"/>
    </row>
    <row r="72" spans="3:39" x14ac:dyDescent="0.2">
      <c r="C72" s="217">
        <v>67</v>
      </c>
      <c r="D72">
        <v>0</v>
      </c>
      <c r="L72">
        <v>81</v>
      </c>
      <c r="M72" s="601"/>
      <c r="N72" s="601"/>
      <c r="O72" s="601"/>
      <c r="P72" s="601"/>
      <c r="R72" s="601"/>
      <c r="S72" s="601"/>
      <c r="U72" s="601"/>
      <c r="V72" s="601"/>
      <c r="W72" s="601"/>
      <c r="X72" s="601"/>
      <c r="Z72" s="601"/>
      <c r="AA72" s="601" t="s">
        <v>77</v>
      </c>
      <c r="AB72" s="601"/>
      <c r="AC72" s="245"/>
      <c r="AE72" s="601"/>
      <c r="AF72" s="601"/>
      <c r="AG72" s="601"/>
      <c r="AH72" s="601"/>
      <c r="AJ72" s="601"/>
      <c r="AK72" s="601"/>
      <c r="AL72" s="601"/>
      <c r="AM72" s="601"/>
    </row>
    <row r="73" spans="3:39" x14ac:dyDescent="0.2">
      <c r="C73" s="217">
        <v>68</v>
      </c>
      <c r="D73">
        <v>0</v>
      </c>
      <c r="L73">
        <v>82</v>
      </c>
      <c r="M73" s="601"/>
      <c r="N73" s="601"/>
      <c r="O73" s="601"/>
      <c r="P73" s="601"/>
      <c r="R73" s="601"/>
      <c r="S73" s="601"/>
      <c r="U73" s="601"/>
      <c r="V73" s="601"/>
      <c r="W73" s="601"/>
      <c r="X73" s="601"/>
      <c r="Z73" s="601"/>
      <c r="AA73" s="601" t="s">
        <v>77</v>
      </c>
      <c r="AB73" s="601"/>
      <c r="AC73" s="245"/>
      <c r="AE73" s="601"/>
      <c r="AF73" s="601"/>
      <c r="AG73" s="601"/>
      <c r="AH73" s="601"/>
      <c r="AJ73" s="601"/>
      <c r="AK73" s="601"/>
      <c r="AL73" s="601"/>
      <c r="AM73" s="601"/>
    </row>
    <row r="74" spans="3:39" x14ac:dyDescent="0.2">
      <c r="C74" s="217">
        <v>69</v>
      </c>
      <c r="D74">
        <v>0</v>
      </c>
      <c r="L74">
        <v>83</v>
      </c>
      <c r="M74" s="601"/>
      <c r="N74" s="601"/>
      <c r="O74" s="601"/>
      <c r="P74" s="601"/>
      <c r="R74" s="601"/>
      <c r="S74" s="601"/>
      <c r="U74" s="601"/>
      <c r="V74" s="601"/>
      <c r="W74" s="601"/>
      <c r="X74" s="601"/>
      <c r="Z74" s="601"/>
      <c r="AA74" s="601" t="s">
        <v>77</v>
      </c>
      <c r="AB74" s="601"/>
      <c r="AC74" s="245"/>
      <c r="AE74" s="601"/>
      <c r="AF74" s="601"/>
      <c r="AG74" s="601"/>
      <c r="AH74" s="601"/>
      <c r="AJ74" s="601"/>
      <c r="AK74" s="601"/>
      <c r="AL74" s="601"/>
      <c r="AM74" s="601"/>
    </row>
    <row r="75" spans="3:39" x14ac:dyDescent="0.2">
      <c r="C75" s="217">
        <v>70</v>
      </c>
      <c r="D75">
        <v>0</v>
      </c>
      <c r="L75">
        <v>84</v>
      </c>
      <c r="M75" s="601"/>
      <c r="N75" s="601"/>
      <c r="O75" s="601"/>
      <c r="P75" s="601"/>
      <c r="R75" s="601"/>
      <c r="S75" s="601"/>
      <c r="U75" s="601"/>
      <c r="V75" s="601"/>
      <c r="W75" s="601"/>
      <c r="X75" s="601"/>
      <c r="Z75" s="601"/>
      <c r="AA75" s="601" t="s">
        <v>77</v>
      </c>
      <c r="AB75" s="601"/>
      <c r="AC75" s="245"/>
      <c r="AE75" s="601"/>
      <c r="AF75" s="601"/>
      <c r="AG75" s="601"/>
      <c r="AH75" s="601"/>
      <c r="AJ75" s="601"/>
      <c r="AK75" s="601"/>
      <c r="AL75" s="601"/>
      <c r="AM75" s="601"/>
    </row>
    <row r="76" spans="3:39" x14ac:dyDescent="0.2">
      <c r="C76" s="217">
        <v>71</v>
      </c>
      <c r="D76">
        <v>0</v>
      </c>
      <c r="L76">
        <v>85</v>
      </c>
      <c r="M76" s="601"/>
      <c r="N76" s="601"/>
      <c r="O76" s="601"/>
      <c r="P76" s="601"/>
      <c r="R76" s="601"/>
      <c r="S76" s="601"/>
      <c r="U76" s="601"/>
      <c r="V76" s="601"/>
      <c r="W76" s="601"/>
      <c r="X76" s="601"/>
      <c r="Z76" s="601"/>
      <c r="AA76" s="601" t="s">
        <v>77</v>
      </c>
      <c r="AB76" s="601"/>
      <c r="AC76" s="245"/>
      <c r="AE76" s="601"/>
      <c r="AF76" s="601"/>
      <c r="AG76" s="601"/>
      <c r="AH76" s="601"/>
      <c r="AJ76" s="601"/>
      <c r="AK76" s="601"/>
      <c r="AL76" s="601"/>
      <c r="AM76" s="601"/>
    </row>
    <row r="77" spans="3:39" x14ac:dyDescent="0.2">
      <c r="C77" s="217">
        <v>72</v>
      </c>
      <c r="D77">
        <v>0</v>
      </c>
      <c r="L77">
        <v>86</v>
      </c>
      <c r="M77" s="601"/>
      <c r="N77" s="601"/>
      <c r="O77" s="601"/>
      <c r="P77" s="601"/>
      <c r="R77" s="601"/>
      <c r="S77" s="601"/>
      <c r="U77" s="601"/>
      <c r="V77" s="601"/>
      <c r="W77" s="601"/>
      <c r="X77" s="601"/>
      <c r="Z77" s="601"/>
      <c r="AA77" s="601" t="s">
        <v>77</v>
      </c>
      <c r="AB77" s="601"/>
      <c r="AC77" s="245"/>
      <c r="AE77" s="601"/>
      <c r="AF77" s="601"/>
      <c r="AG77" s="601"/>
      <c r="AH77" s="601"/>
      <c r="AJ77" s="601"/>
      <c r="AK77" s="601"/>
      <c r="AL77" s="601"/>
      <c r="AM77" s="601"/>
    </row>
    <row r="78" spans="3:39" x14ac:dyDescent="0.2">
      <c r="C78" s="217">
        <v>73</v>
      </c>
      <c r="D78">
        <v>0</v>
      </c>
      <c r="L78">
        <v>87</v>
      </c>
      <c r="M78" s="601"/>
      <c r="N78" s="601"/>
      <c r="O78" s="601"/>
      <c r="P78" s="601"/>
      <c r="R78" s="601"/>
      <c r="S78" s="601"/>
      <c r="U78" s="601"/>
      <c r="V78" s="601"/>
      <c r="W78" s="601"/>
      <c r="X78" s="601"/>
      <c r="Z78" s="601"/>
      <c r="AA78" s="601" t="s">
        <v>77</v>
      </c>
      <c r="AB78" s="601"/>
      <c r="AC78" s="245"/>
      <c r="AE78" s="601"/>
      <c r="AF78" s="601"/>
      <c r="AG78" s="601"/>
      <c r="AH78" s="601"/>
      <c r="AJ78" s="601"/>
      <c r="AK78" s="601"/>
      <c r="AL78" s="601"/>
      <c r="AM78" s="601"/>
    </row>
    <row r="79" spans="3:39" x14ac:dyDescent="0.2">
      <c r="C79" s="217">
        <v>74</v>
      </c>
      <c r="D79">
        <v>0</v>
      </c>
      <c r="L79">
        <v>88</v>
      </c>
      <c r="M79" s="601"/>
      <c r="N79" s="601"/>
      <c r="O79" s="601"/>
      <c r="P79" s="601"/>
      <c r="R79" s="601"/>
      <c r="S79" s="601"/>
      <c r="U79" s="601"/>
      <c r="V79" s="601"/>
      <c r="W79" s="601"/>
      <c r="X79" s="601"/>
      <c r="Z79" s="601"/>
      <c r="AA79" s="601" t="s">
        <v>77</v>
      </c>
      <c r="AB79" s="601"/>
      <c r="AC79" s="245"/>
      <c r="AE79" s="601"/>
      <c r="AF79" s="601"/>
      <c r="AG79" s="601"/>
      <c r="AH79" s="601"/>
      <c r="AJ79" s="601"/>
      <c r="AK79" s="601"/>
      <c r="AL79" s="601"/>
      <c r="AM79" s="601"/>
    </row>
    <row r="80" spans="3:39" x14ac:dyDescent="0.2">
      <c r="C80" s="217">
        <v>75</v>
      </c>
      <c r="D80">
        <v>0</v>
      </c>
      <c r="L80">
        <v>89</v>
      </c>
      <c r="M80" s="601"/>
      <c r="N80" s="601"/>
      <c r="O80" s="601"/>
      <c r="P80" s="601"/>
      <c r="R80" s="601"/>
      <c r="S80" s="601"/>
      <c r="U80" s="601"/>
      <c r="V80" s="601"/>
      <c r="W80" s="601"/>
      <c r="X80" s="601"/>
      <c r="Z80" s="601"/>
      <c r="AA80" s="601" t="s">
        <v>77</v>
      </c>
      <c r="AB80" s="601"/>
      <c r="AC80" s="245"/>
      <c r="AE80" s="601"/>
      <c r="AF80" s="601"/>
      <c r="AG80" s="601"/>
      <c r="AH80" s="601"/>
      <c r="AJ80" s="601"/>
      <c r="AK80" s="601"/>
      <c r="AL80" s="601"/>
      <c r="AM80" s="601"/>
    </row>
    <row r="81" spans="3:39" x14ac:dyDescent="0.2">
      <c r="C81" s="217">
        <v>76</v>
      </c>
      <c r="D81">
        <v>0</v>
      </c>
      <c r="L81">
        <v>90</v>
      </c>
      <c r="M81" s="601"/>
      <c r="N81" s="601"/>
      <c r="O81" s="601"/>
      <c r="P81" s="601"/>
      <c r="R81" s="601"/>
      <c r="S81" s="601"/>
      <c r="U81" s="601"/>
      <c r="V81" s="601"/>
      <c r="W81" s="601"/>
      <c r="X81" s="601"/>
      <c r="Z81" s="601"/>
      <c r="AA81" s="601" t="s">
        <v>77</v>
      </c>
      <c r="AB81" s="601"/>
      <c r="AC81" s="245"/>
      <c r="AE81" s="601"/>
      <c r="AF81" s="601"/>
      <c r="AG81" s="601"/>
      <c r="AH81" s="601"/>
      <c r="AJ81" s="601"/>
      <c r="AK81" s="601"/>
      <c r="AL81" s="601"/>
      <c r="AM81" s="601"/>
    </row>
    <row r="82" spans="3:39" x14ac:dyDescent="0.2">
      <c r="C82" s="217">
        <v>77</v>
      </c>
      <c r="D82">
        <v>0</v>
      </c>
      <c r="L82">
        <v>91</v>
      </c>
      <c r="M82" s="601"/>
      <c r="N82" s="601"/>
      <c r="O82" s="601"/>
      <c r="P82" s="601"/>
      <c r="R82" s="601"/>
      <c r="S82" s="601"/>
      <c r="U82" s="601"/>
      <c r="V82" s="601"/>
      <c r="W82" s="601"/>
      <c r="X82" s="601"/>
      <c r="Z82" s="601"/>
      <c r="AA82" s="601" t="s">
        <v>77</v>
      </c>
      <c r="AB82" s="601"/>
      <c r="AC82" s="245"/>
      <c r="AE82" s="601"/>
      <c r="AF82" s="601"/>
      <c r="AG82" s="601"/>
      <c r="AH82" s="601"/>
      <c r="AJ82" s="601"/>
      <c r="AK82" s="601"/>
      <c r="AL82" s="601"/>
      <c r="AM82" s="601"/>
    </row>
    <row r="83" spans="3:39" x14ac:dyDescent="0.2">
      <c r="C83" s="217">
        <v>78</v>
      </c>
      <c r="D83">
        <v>0</v>
      </c>
      <c r="L83">
        <v>94</v>
      </c>
      <c r="M83" s="601"/>
      <c r="N83" s="601"/>
      <c r="O83" s="601"/>
      <c r="P83" s="601"/>
      <c r="R83" s="601"/>
      <c r="S83" s="601"/>
      <c r="U83" s="601"/>
      <c r="V83" s="601"/>
      <c r="W83" s="601"/>
      <c r="X83" s="601"/>
      <c r="Z83" s="601"/>
      <c r="AA83" s="601" t="s">
        <v>77</v>
      </c>
      <c r="AB83" s="601"/>
      <c r="AC83" s="245"/>
      <c r="AE83" s="601"/>
      <c r="AF83" s="601"/>
      <c r="AG83" s="601"/>
      <c r="AH83" s="601"/>
      <c r="AJ83" s="601"/>
      <c r="AK83" s="601"/>
      <c r="AL83" s="601"/>
      <c r="AM83" s="601"/>
    </row>
    <row r="84" spans="3:39" x14ac:dyDescent="0.2">
      <c r="C84" s="217">
        <v>79</v>
      </c>
      <c r="D84">
        <v>0</v>
      </c>
      <c r="L84">
        <v>95</v>
      </c>
      <c r="M84" s="601"/>
      <c r="N84" s="601"/>
      <c r="O84" s="601"/>
      <c r="P84" s="601"/>
      <c r="R84" s="601"/>
      <c r="S84" s="601"/>
      <c r="U84" s="601"/>
      <c r="V84" s="601"/>
      <c r="W84" s="601"/>
      <c r="X84" s="601"/>
      <c r="Z84" s="601"/>
      <c r="AA84" s="601" t="s">
        <v>77</v>
      </c>
      <c r="AB84" s="601"/>
      <c r="AC84" s="245"/>
      <c r="AE84" s="601"/>
      <c r="AF84" s="601"/>
      <c r="AG84" s="601"/>
      <c r="AH84" s="601"/>
      <c r="AJ84" s="601"/>
      <c r="AK84" s="601"/>
      <c r="AL84" s="601"/>
      <c r="AM84" s="601"/>
    </row>
    <row r="85" spans="3:39" x14ac:dyDescent="0.2">
      <c r="C85" s="217">
        <v>80</v>
      </c>
      <c r="D85">
        <v>0</v>
      </c>
      <c r="L85">
        <v>96</v>
      </c>
      <c r="M85" s="601"/>
      <c r="N85" s="601"/>
      <c r="O85" s="601"/>
      <c r="P85" s="601"/>
      <c r="R85" s="601"/>
      <c r="S85" s="601"/>
      <c r="U85" s="601"/>
      <c r="V85" s="601"/>
      <c r="W85" s="601"/>
      <c r="X85" s="601"/>
      <c r="Z85" s="601"/>
      <c r="AA85" s="601" t="s">
        <v>77</v>
      </c>
      <c r="AB85" s="601"/>
      <c r="AC85" s="245"/>
      <c r="AE85" s="601"/>
      <c r="AF85" s="601"/>
      <c r="AG85" s="601"/>
      <c r="AH85" s="601"/>
      <c r="AJ85" s="601"/>
      <c r="AK85" s="601"/>
      <c r="AL85" s="601"/>
      <c r="AM85" s="601"/>
    </row>
    <row r="86" spans="3:39" x14ac:dyDescent="0.2">
      <c r="C86" s="217">
        <v>81</v>
      </c>
      <c r="D86">
        <v>0</v>
      </c>
      <c r="L86">
        <v>97</v>
      </c>
      <c r="M86" s="601"/>
      <c r="N86" s="601"/>
      <c r="O86" s="601"/>
      <c r="P86" s="601"/>
      <c r="R86" s="601"/>
      <c r="S86" s="601"/>
      <c r="U86" s="601"/>
      <c r="V86" s="601"/>
      <c r="W86" s="601"/>
      <c r="X86" s="601"/>
      <c r="Z86" s="601"/>
      <c r="AA86" s="601" t="s">
        <v>77</v>
      </c>
      <c r="AB86" s="601"/>
      <c r="AC86" s="245"/>
      <c r="AE86" s="601"/>
      <c r="AF86" s="601"/>
      <c r="AG86" s="601"/>
      <c r="AH86" s="601"/>
      <c r="AJ86" s="601"/>
      <c r="AK86" s="601"/>
      <c r="AL86" s="601"/>
      <c r="AM86" s="601"/>
    </row>
    <row r="87" spans="3:39" x14ac:dyDescent="0.2">
      <c r="C87" s="217">
        <v>82</v>
      </c>
      <c r="D87">
        <v>0</v>
      </c>
      <c r="L87">
        <v>98</v>
      </c>
      <c r="M87" s="601"/>
      <c r="N87" s="601"/>
      <c r="O87" s="601"/>
      <c r="P87" s="601"/>
      <c r="R87" s="601"/>
      <c r="S87" s="601"/>
      <c r="U87" s="601"/>
      <c r="V87" s="601"/>
      <c r="W87" s="601"/>
      <c r="X87" s="601"/>
      <c r="Z87" s="601"/>
      <c r="AA87" s="601" t="s">
        <v>77</v>
      </c>
      <c r="AB87" s="601"/>
      <c r="AC87" s="245"/>
      <c r="AE87" s="601"/>
      <c r="AF87" s="601"/>
      <c r="AG87" s="601"/>
      <c r="AH87" s="601"/>
      <c r="AJ87" s="601"/>
      <c r="AK87" s="601"/>
      <c r="AL87" s="601"/>
      <c r="AM87" s="601"/>
    </row>
    <row r="88" spans="3:39" x14ac:dyDescent="0.2">
      <c r="C88" s="217">
        <v>83</v>
      </c>
      <c r="D88">
        <v>0</v>
      </c>
      <c r="L88">
        <v>99</v>
      </c>
      <c r="M88" s="601"/>
      <c r="N88" s="601"/>
      <c r="O88" s="601"/>
      <c r="P88" s="601"/>
      <c r="R88" s="601"/>
      <c r="S88" s="601"/>
      <c r="U88" s="601"/>
      <c r="V88" s="601"/>
      <c r="W88" s="601"/>
      <c r="X88" s="601"/>
      <c r="Z88" s="601"/>
      <c r="AA88" s="601" t="s">
        <v>77</v>
      </c>
      <c r="AB88" s="601"/>
      <c r="AC88" s="245"/>
      <c r="AE88" s="601"/>
      <c r="AF88" s="601"/>
      <c r="AG88" s="601"/>
      <c r="AH88" s="601"/>
      <c r="AJ88" s="601"/>
      <c r="AK88" s="601"/>
      <c r="AL88" s="601"/>
      <c r="AM88" s="601"/>
    </row>
    <row r="89" spans="3:39" x14ac:dyDescent="0.2">
      <c r="C89" s="217">
        <v>84</v>
      </c>
      <c r="D89">
        <v>0</v>
      </c>
      <c r="L89">
        <v>100</v>
      </c>
      <c r="M89" s="601"/>
      <c r="N89" s="601"/>
      <c r="O89" s="601"/>
      <c r="P89" s="601"/>
      <c r="R89" s="601"/>
      <c r="S89" s="601"/>
      <c r="U89" s="601"/>
      <c r="V89" s="601"/>
      <c r="W89" s="601"/>
      <c r="X89" s="601"/>
      <c r="Z89" s="601"/>
      <c r="AA89" s="601" t="s">
        <v>77</v>
      </c>
      <c r="AB89" s="601"/>
      <c r="AC89" s="245"/>
      <c r="AE89" s="601"/>
      <c r="AF89" s="601"/>
      <c r="AG89" s="601"/>
      <c r="AH89" s="601"/>
      <c r="AJ89" s="601"/>
      <c r="AK89" s="601"/>
      <c r="AL89" s="601"/>
      <c r="AM89" s="601"/>
    </row>
    <row r="90" spans="3:39" x14ac:dyDescent="0.2">
      <c r="C90" s="217">
        <v>85</v>
      </c>
      <c r="D90">
        <v>0</v>
      </c>
      <c r="L90">
        <v>101</v>
      </c>
      <c r="M90" s="601"/>
      <c r="N90" s="601"/>
      <c r="O90" s="601"/>
      <c r="P90" s="601"/>
      <c r="R90" s="601"/>
      <c r="S90" s="601"/>
      <c r="U90" s="601"/>
      <c r="V90" s="601"/>
      <c r="W90" s="601"/>
      <c r="X90" s="601"/>
      <c r="Z90" s="601"/>
      <c r="AA90" s="601" t="s">
        <v>77</v>
      </c>
      <c r="AB90" s="601"/>
      <c r="AC90" s="245"/>
      <c r="AE90" s="601"/>
      <c r="AF90" s="601"/>
      <c r="AG90" s="601"/>
      <c r="AH90" s="601"/>
      <c r="AJ90" s="601"/>
      <c r="AK90" s="601"/>
      <c r="AL90" s="601"/>
      <c r="AM90" s="601"/>
    </row>
    <row r="91" spans="3:39" x14ac:dyDescent="0.2">
      <c r="C91" s="217">
        <v>86</v>
      </c>
      <c r="D91">
        <v>0</v>
      </c>
      <c r="L91">
        <v>102</v>
      </c>
      <c r="M91" s="601"/>
      <c r="N91" s="601"/>
      <c r="O91" s="601"/>
      <c r="P91" s="601"/>
      <c r="R91" s="601"/>
      <c r="S91" s="601"/>
      <c r="U91" s="601"/>
      <c r="V91" s="601"/>
      <c r="W91" s="601"/>
      <c r="X91" s="601"/>
      <c r="Z91" s="601"/>
      <c r="AA91" s="601" t="s">
        <v>77</v>
      </c>
      <c r="AB91" s="601"/>
      <c r="AC91" s="245"/>
      <c r="AE91" s="601"/>
      <c r="AF91" s="601"/>
      <c r="AG91" s="601"/>
      <c r="AH91" s="601"/>
      <c r="AJ91" s="601"/>
      <c r="AK91" s="601"/>
      <c r="AL91" s="601"/>
      <c r="AM91" s="601"/>
    </row>
    <row r="92" spans="3:39" x14ac:dyDescent="0.2">
      <c r="C92" s="217">
        <v>87</v>
      </c>
      <c r="D92">
        <v>0</v>
      </c>
      <c r="L92">
        <v>103</v>
      </c>
      <c r="M92" s="601"/>
      <c r="N92" s="601"/>
      <c r="O92" s="601"/>
      <c r="P92" s="601"/>
      <c r="R92" s="601"/>
      <c r="S92" s="601"/>
      <c r="U92" s="601"/>
      <c r="V92" s="601"/>
      <c r="W92" s="601"/>
      <c r="X92" s="601"/>
      <c r="Z92" s="601"/>
      <c r="AA92" s="601" t="s">
        <v>77</v>
      </c>
      <c r="AB92" s="601"/>
      <c r="AC92" s="245"/>
      <c r="AE92" s="601"/>
      <c r="AF92" s="601"/>
      <c r="AG92" s="601"/>
      <c r="AH92" s="601"/>
      <c r="AJ92" s="601"/>
      <c r="AK92" s="601"/>
      <c r="AL92" s="601"/>
      <c r="AM92" s="601"/>
    </row>
    <row r="93" spans="3:39" x14ac:dyDescent="0.2">
      <c r="C93" s="217">
        <v>88</v>
      </c>
      <c r="D93">
        <v>0</v>
      </c>
      <c r="L93">
        <v>104</v>
      </c>
      <c r="M93" s="601"/>
      <c r="N93" s="601"/>
      <c r="O93" s="601"/>
      <c r="P93" s="601"/>
      <c r="R93" s="601"/>
      <c r="S93" s="601"/>
      <c r="U93" s="601"/>
      <c r="V93" s="601"/>
      <c r="W93" s="601"/>
      <c r="X93" s="601"/>
      <c r="Z93" s="601"/>
      <c r="AA93" s="601" t="s">
        <v>77</v>
      </c>
      <c r="AB93" s="601"/>
      <c r="AC93" s="245"/>
      <c r="AE93" s="601"/>
      <c r="AF93" s="601"/>
      <c r="AG93" s="601"/>
      <c r="AH93" s="601"/>
      <c r="AJ93" s="601"/>
      <c r="AK93" s="601"/>
      <c r="AL93" s="601"/>
      <c r="AM93" s="601"/>
    </row>
    <row r="94" spans="3:39" x14ac:dyDescent="0.2">
      <c r="C94" s="217">
        <v>89</v>
      </c>
      <c r="D94">
        <v>0</v>
      </c>
      <c r="L94">
        <v>106</v>
      </c>
      <c r="M94" s="601"/>
      <c r="N94" s="601"/>
      <c r="O94" s="601"/>
      <c r="P94" s="601"/>
      <c r="R94" s="601"/>
      <c r="S94" s="601"/>
      <c r="U94" s="601"/>
      <c r="V94" s="601"/>
      <c r="W94" s="601"/>
      <c r="X94" s="601"/>
      <c r="Z94" s="601"/>
      <c r="AA94" s="601" t="s">
        <v>77</v>
      </c>
      <c r="AB94" s="601"/>
      <c r="AC94" s="245"/>
      <c r="AE94" s="601"/>
      <c r="AF94" s="601"/>
      <c r="AG94" s="601"/>
      <c r="AH94" s="601"/>
      <c r="AJ94" s="601"/>
      <c r="AK94" s="601"/>
      <c r="AL94" s="601"/>
      <c r="AM94" s="601"/>
    </row>
    <row r="95" spans="3:39" x14ac:dyDescent="0.2">
      <c r="C95" s="217">
        <v>90</v>
      </c>
      <c r="D95">
        <v>0</v>
      </c>
      <c r="L95">
        <v>107</v>
      </c>
      <c r="M95" s="601"/>
      <c r="N95" s="601"/>
      <c r="O95" s="601"/>
      <c r="P95" s="601"/>
      <c r="R95" s="601"/>
      <c r="S95" s="601"/>
      <c r="U95" s="601"/>
      <c r="V95" s="601"/>
      <c r="W95" s="601"/>
      <c r="X95" s="601"/>
      <c r="Z95" s="601"/>
      <c r="AA95" s="601" t="s">
        <v>77</v>
      </c>
      <c r="AB95" s="601"/>
      <c r="AC95" s="245"/>
      <c r="AE95" s="601"/>
      <c r="AF95" s="601"/>
      <c r="AG95" s="601"/>
      <c r="AH95" s="601"/>
      <c r="AJ95" s="601"/>
      <c r="AK95" s="601"/>
      <c r="AL95" s="601"/>
      <c r="AM95" s="601"/>
    </row>
    <row r="96" spans="3:39" x14ac:dyDescent="0.2">
      <c r="C96" s="217">
        <v>91</v>
      </c>
      <c r="D96">
        <v>0</v>
      </c>
      <c r="L96">
        <v>108</v>
      </c>
      <c r="M96" s="601"/>
      <c r="N96" s="601"/>
      <c r="O96" s="601"/>
      <c r="P96" s="601"/>
      <c r="R96" s="601"/>
      <c r="S96" s="601"/>
      <c r="U96" s="601"/>
      <c r="V96" s="601"/>
      <c r="W96" s="601"/>
      <c r="X96" s="601"/>
      <c r="Z96" s="601"/>
      <c r="AA96" s="601" t="s">
        <v>77</v>
      </c>
      <c r="AB96" s="601"/>
      <c r="AC96" s="245"/>
      <c r="AE96" s="601"/>
      <c r="AF96" s="601"/>
      <c r="AG96" s="601"/>
      <c r="AH96" s="601"/>
      <c r="AJ96" s="601"/>
      <c r="AK96" s="601"/>
      <c r="AL96" s="601"/>
      <c r="AM96" s="601"/>
    </row>
    <row r="97" spans="3:39" x14ac:dyDescent="0.2">
      <c r="C97" s="217">
        <v>92</v>
      </c>
      <c r="D97">
        <v>0</v>
      </c>
      <c r="L97">
        <v>109</v>
      </c>
      <c r="M97" s="601"/>
      <c r="N97" s="601"/>
      <c r="O97" s="601"/>
      <c r="P97" s="601"/>
      <c r="R97" s="601"/>
      <c r="S97" s="601"/>
      <c r="U97" s="601"/>
      <c r="V97" s="601"/>
      <c r="W97" s="601"/>
      <c r="X97" s="601"/>
      <c r="Z97" s="601"/>
      <c r="AA97" s="601" t="s">
        <v>77</v>
      </c>
      <c r="AB97" s="601"/>
      <c r="AC97" s="245"/>
      <c r="AE97" s="601"/>
      <c r="AF97" s="601"/>
      <c r="AG97" s="601"/>
      <c r="AH97" s="601"/>
      <c r="AJ97" s="601"/>
      <c r="AK97" s="601"/>
      <c r="AL97" s="601"/>
      <c r="AM97" s="601"/>
    </row>
    <row r="98" spans="3:39" x14ac:dyDescent="0.2">
      <c r="C98" s="217">
        <v>93</v>
      </c>
      <c r="D98">
        <v>0</v>
      </c>
      <c r="L98">
        <v>110</v>
      </c>
      <c r="M98" s="601"/>
      <c r="N98" s="601"/>
      <c r="O98" s="601"/>
      <c r="P98" s="601"/>
      <c r="R98" s="601"/>
      <c r="S98" s="601"/>
      <c r="U98" s="601"/>
      <c r="V98" s="601"/>
      <c r="W98" s="601"/>
      <c r="X98" s="601"/>
      <c r="Z98" s="601"/>
      <c r="AA98" s="601" t="s">
        <v>77</v>
      </c>
      <c r="AB98" s="601"/>
      <c r="AC98" s="245"/>
      <c r="AE98" s="601"/>
      <c r="AF98" s="601"/>
      <c r="AG98" s="601"/>
      <c r="AH98" s="601"/>
      <c r="AJ98" s="601"/>
      <c r="AK98" s="601"/>
      <c r="AL98" s="601"/>
      <c r="AM98" s="601"/>
    </row>
    <row r="99" spans="3:39" x14ac:dyDescent="0.2">
      <c r="C99" s="217">
        <v>94</v>
      </c>
      <c r="D99">
        <v>0</v>
      </c>
      <c r="L99">
        <v>111</v>
      </c>
      <c r="M99" s="601"/>
      <c r="N99" s="601"/>
      <c r="O99" s="601"/>
      <c r="P99" s="601"/>
      <c r="R99" s="601"/>
      <c r="S99" s="601"/>
      <c r="U99" s="601"/>
      <c r="V99" s="601"/>
      <c r="W99" s="601"/>
      <c r="X99" s="601"/>
      <c r="Z99" s="601"/>
      <c r="AA99" s="601" t="s">
        <v>77</v>
      </c>
      <c r="AB99" s="601"/>
      <c r="AC99" s="245"/>
      <c r="AE99" s="601"/>
      <c r="AF99" s="601"/>
      <c r="AG99" s="601"/>
      <c r="AH99" s="601"/>
      <c r="AJ99" s="601"/>
      <c r="AK99" s="601"/>
      <c r="AL99" s="601"/>
      <c r="AM99" s="601"/>
    </row>
    <row r="100" spans="3:39" x14ac:dyDescent="0.2">
      <c r="C100" s="217">
        <v>95</v>
      </c>
      <c r="D100">
        <v>0</v>
      </c>
      <c r="L100">
        <v>114</v>
      </c>
      <c r="M100" s="601"/>
      <c r="N100" s="601"/>
      <c r="O100" s="601"/>
      <c r="P100" s="601"/>
      <c r="R100" s="601"/>
      <c r="S100" s="601"/>
      <c r="U100" s="601"/>
      <c r="V100" s="601"/>
      <c r="W100" s="601"/>
      <c r="X100" s="601"/>
      <c r="Z100" s="601"/>
      <c r="AA100" s="601" t="s">
        <v>77</v>
      </c>
      <c r="AB100" s="601"/>
      <c r="AC100" s="245"/>
      <c r="AE100" s="601"/>
      <c r="AF100" s="601"/>
      <c r="AG100" s="601"/>
      <c r="AH100" s="601"/>
      <c r="AJ100" s="601"/>
      <c r="AK100" s="601"/>
      <c r="AL100" s="601"/>
      <c r="AM100" s="601"/>
    </row>
    <row r="101" spans="3:39" x14ac:dyDescent="0.2">
      <c r="C101" s="217">
        <v>96</v>
      </c>
      <c r="D101">
        <v>0</v>
      </c>
      <c r="L101">
        <v>115</v>
      </c>
      <c r="M101" s="601"/>
      <c r="N101" s="601"/>
      <c r="O101" s="601"/>
      <c r="P101" s="601"/>
      <c r="R101" s="601"/>
      <c r="S101" s="601"/>
      <c r="U101" s="601"/>
      <c r="V101" s="601"/>
      <c r="W101" s="601"/>
      <c r="X101" s="601"/>
      <c r="Z101" s="601"/>
      <c r="AA101" s="601" t="s">
        <v>77</v>
      </c>
      <c r="AB101" s="601"/>
      <c r="AC101" s="245"/>
      <c r="AE101" s="601"/>
      <c r="AF101" s="601"/>
      <c r="AG101" s="601"/>
      <c r="AH101" s="601"/>
      <c r="AJ101" s="601"/>
      <c r="AK101" s="601"/>
      <c r="AL101" s="601"/>
      <c r="AM101" s="601"/>
    </row>
    <row r="102" spans="3:39" x14ac:dyDescent="0.2">
      <c r="C102" s="217">
        <v>97</v>
      </c>
      <c r="D102">
        <v>0</v>
      </c>
      <c r="L102">
        <v>116</v>
      </c>
      <c r="M102" s="601"/>
      <c r="N102" s="601"/>
      <c r="O102" s="601"/>
      <c r="P102" s="601"/>
      <c r="R102" s="601"/>
      <c r="S102" s="601"/>
      <c r="U102" s="601"/>
      <c r="V102" s="601"/>
      <c r="W102" s="601"/>
      <c r="X102" s="601"/>
      <c r="Z102" s="601"/>
      <c r="AA102" s="601" t="s">
        <v>77</v>
      </c>
      <c r="AB102" s="601"/>
      <c r="AC102" s="245"/>
      <c r="AE102" s="601"/>
      <c r="AF102" s="601"/>
      <c r="AG102" s="601"/>
      <c r="AH102" s="601"/>
      <c r="AJ102" s="601"/>
      <c r="AK102" s="601"/>
      <c r="AL102" s="601"/>
      <c r="AM102" s="601"/>
    </row>
    <row r="103" spans="3:39" x14ac:dyDescent="0.2">
      <c r="C103" s="217">
        <v>98</v>
      </c>
      <c r="D103">
        <v>0</v>
      </c>
      <c r="L103">
        <v>117</v>
      </c>
      <c r="M103" s="601"/>
      <c r="N103" s="601"/>
      <c r="O103" s="601"/>
      <c r="P103" s="601"/>
      <c r="R103" s="601"/>
      <c r="S103" s="601"/>
      <c r="U103" s="601"/>
      <c r="V103" s="601"/>
      <c r="W103" s="601"/>
      <c r="X103" s="601"/>
      <c r="Z103" s="601"/>
      <c r="AA103" s="601" t="s">
        <v>77</v>
      </c>
      <c r="AB103" s="601"/>
      <c r="AC103" s="245"/>
      <c r="AE103" s="601"/>
      <c r="AF103" s="601"/>
      <c r="AG103" s="601"/>
      <c r="AH103" s="601"/>
      <c r="AJ103" s="601"/>
      <c r="AK103" s="601"/>
      <c r="AL103" s="601"/>
      <c r="AM103" s="601"/>
    </row>
    <row r="104" spans="3:39" x14ac:dyDescent="0.2">
      <c r="C104" s="217">
        <v>99</v>
      </c>
      <c r="D104">
        <v>0</v>
      </c>
      <c r="L104">
        <v>118</v>
      </c>
      <c r="M104" s="601"/>
      <c r="N104" s="601"/>
      <c r="O104" s="601"/>
      <c r="P104" s="601"/>
      <c r="R104" s="601"/>
      <c r="S104" s="601"/>
      <c r="U104" s="601"/>
      <c r="V104" s="601"/>
      <c r="W104" s="601"/>
      <c r="X104" s="601"/>
      <c r="Z104" s="601"/>
      <c r="AA104" s="601" t="s">
        <v>77</v>
      </c>
      <c r="AB104" s="601"/>
      <c r="AC104" s="245"/>
      <c r="AE104" s="601"/>
      <c r="AF104" s="601"/>
      <c r="AG104" s="601"/>
      <c r="AH104" s="601"/>
      <c r="AJ104" s="601"/>
      <c r="AK104" s="601"/>
      <c r="AL104" s="601"/>
      <c r="AM104" s="601"/>
    </row>
    <row r="105" spans="3:39" x14ac:dyDescent="0.2">
      <c r="C105" s="217">
        <v>100</v>
      </c>
      <c r="D105">
        <v>0</v>
      </c>
      <c r="L105">
        <v>119</v>
      </c>
      <c r="M105" s="601"/>
      <c r="N105" s="601"/>
      <c r="O105" s="601"/>
      <c r="P105" s="601"/>
      <c r="R105" s="601"/>
      <c r="S105" s="601"/>
      <c r="U105" s="601"/>
      <c r="V105" s="601"/>
      <c r="W105" s="601"/>
      <c r="X105" s="601"/>
      <c r="Z105" s="601"/>
      <c r="AA105" s="601" t="s">
        <v>77</v>
      </c>
      <c r="AB105" s="601"/>
      <c r="AC105" s="245"/>
      <c r="AE105" s="601"/>
      <c r="AF105" s="601"/>
      <c r="AG105" s="601"/>
      <c r="AH105" s="601"/>
      <c r="AJ105" s="601"/>
      <c r="AK105" s="601"/>
      <c r="AL105" s="601"/>
      <c r="AM105" s="601"/>
    </row>
    <row r="106" spans="3:39" x14ac:dyDescent="0.2">
      <c r="C106" s="217">
        <v>101</v>
      </c>
      <c r="D106">
        <v>0</v>
      </c>
      <c r="L106">
        <v>120</v>
      </c>
      <c r="M106" s="601"/>
      <c r="N106" s="601"/>
      <c r="O106" s="601"/>
      <c r="P106" s="601"/>
      <c r="R106" s="601"/>
      <c r="S106" s="601"/>
      <c r="U106" s="601"/>
      <c r="V106" s="601"/>
      <c r="W106" s="601"/>
      <c r="X106" s="601"/>
      <c r="Z106" s="601"/>
      <c r="AA106" s="601" t="s">
        <v>77</v>
      </c>
      <c r="AB106" s="601"/>
      <c r="AC106" s="245"/>
      <c r="AE106" s="601"/>
      <c r="AF106" s="601"/>
      <c r="AG106" s="601"/>
      <c r="AH106" s="601"/>
      <c r="AJ106" s="601"/>
      <c r="AK106" s="601"/>
      <c r="AL106" s="601"/>
      <c r="AM106" s="601"/>
    </row>
    <row r="107" spans="3:39" x14ac:dyDescent="0.2">
      <c r="C107" s="217">
        <v>102</v>
      </c>
      <c r="D107">
        <v>0</v>
      </c>
      <c r="L107">
        <v>122</v>
      </c>
      <c r="M107" s="601"/>
      <c r="N107" s="601"/>
      <c r="O107" s="601"/>
      <c r="P107" s="601"/>
      <c r="R107" s="601"/>
      <c r="S107" s="601"/>
      <c r="U107" s="601"/>
      <c r="V107" s="601"/>
      <c r="W107" s="601"/>
      <c r="X107" s="601"/>
      <c r="Z107" s="601"/>
      <c r="AA107" s="601" t="s">
        <v>77</v>
      </c>
      <c r="AB107" s="601"/>
      <c r="AC107" s="245"/>
      <c r="AE107" s="601"/>
      <c r="AF107" s="601"/>
      <c r="AG107" s="601"/>
      <c r="AH107" s="601"/>
      <c r="AJ107" s="601"/>
      <c r="AK107" s="601"/>
      <c r="AL107" s="601"/>
      <c r="AM107" s="601"/>
    </row>
    <row r="108" spans="3:39" x14ac:dyDescent="0.2">
      <c r="C108" s="217">
        <v>103</v>
      </c>
      <c r="D108">
        <v>0</v>
      </c>
      <c r="L108">
        <v>123</v>
      </c>
      <c r="M108" s="601"/>
      <c r="N108" s="601"/>
      <c r="O108" s="601"/>
      <c r="P108" s="601"/>
      <c r="R108" s="601"/>
      <c r="S108" s="601"/>
      <c r="U108" s="601"/>
      <c r="V108" s="601"/>
      <c r="W108" s="601"/>
      <c r="X108" s="601"/>
      <c r="Z108" s="601"/>
      <c r="AA108" s="601" t="s">
        <v>77</v>
      </c>
      <c r="AB108" s="601"/>
      <c r="AC108" s="245"/>
      <c r="AE108" s="601"/>
      <c r="AF108" s="601"/>
      <c r="AG108" s="601"/>
      <c r="AH108" s="601"/>
      <c r="AJ108" s="601"/>
      <c r="AK108" s="601"/>
      <c r="AL108" s="601"/>
      <c r="AM108" s="601"/>
    </row>
    <row r="109" spans="3:39" x14ac:dyDescent="0.2">
      <c r="C109" s="217">
        <v>104</v>
      </c>
      <c r="D109">
        <v>0</v>
      </c>
      <c r="L109">
        <v>124</v>
      </c>
      <c r="M109" s="601"/>
      <c r="N109" s="601"/>
      <c r="O109" s="601"/>
      <c r="P109" s="601"/>
      <c r="R109" s="601"/>
      <c r="S109" s="601"/>
      <c r="U109" s="601"/>
      <c r="V109" s="601"/>
      <c r="W109" s="601"/>
      <c r="X109" s="601"/>
      <c r="Z109" s="601"/>
      <c r="AA109" s="601" t="s">
        <v>77</v>
      </c>
      <c r="AB109" s="601"/>
      <c r="AC109" s="245"/>
      <c r="AE109" s="601"/>
      <c r="AF109" s="601"/>
      <c r="AG109" s="601"/>
      <c r="AH109" s="601"/>
      <c r="AJ109" s="601"/>
      <c r="AK109" s="601"/>
      <c r="AL109" s="601"/>
      <c r="AM109" s="601"/>
    </row>
    <row r="110" spans="3:39" x14ac:dyDescent="0.2">
      <c r="C110" s="217">
        <v>105</v>
      </c>
      <c r="D110">
        <v>0</v>
      </c>
      <c r="L110">
        <v>125</v>
      </c>
      <c r="M110" s="601"/>
      <c r="N110" s="601"/>
      <c r="O110" s="601"/>
      <c r="P110" s="601"/>
      <c r="R110" s="601"/>
      <c r="S110" s="601"/>
      <c r="U110" s="601"/>
      <c r="V110" s="601"/>
      <c r="W110" s="601"/>
      <c r="X110" s="601"/>
      <c r="Z110" s="601"/>
      <c r="AA110" s="601" t="s">
        <v>77</v>
      </c>
      <c r="AB110" s="601"/>
      <c r="AC110" s="245"/>
      <c r="AE110" s="601"/>
      <c r="AF110" s="601"/>
      <c r="AG110" s="601"/>
      <c r="AH110" s="601"/>
      <c r="AJ110" s="601"/>
      <c r="AK110" s="601"/>
      <c r="AL110" s="601"/>
      <c r="AM110" s="601"/>
    </row>
    <row r="111" spans="3:39" x14ac:dyDescent="0.2">
      <c r="C111" s="217">
        <v>106</v>
      </c>
      <c r="D111">
        <v>0</v>
      </c>
      <c r="L111">
        <v>126</v>
      </c>
      <c r="M111" s="601"/>
      <c r="N111" s="601"/>
      <c r="O111" s="601"/>
      <c r="P111" s="601"/>
      <c r="R111" s="601"/>
      <c r="S111" s="601"/>
      <c r="U111" s="601"/>
      <c r="V111" s="601"/>
      <c r="W111" s="601"/>
      <c r="X111" s="601"/>
      <c r="Z111" s="601"/>
      <c r="AA111" s="601" t="s">
        <v>77</v>
      </c>
      <c r="AB111" s="601"/>
      <c r="AC111" s="245"/>
      <c r="AE111" s="601"/>
      <c r="AF111" s="601"/>
      <c r="AG111" s="601"/>
      <c r="AH111" s="601"/>
      <c r="AJ111" s="601"/>
      <c r="AK111" s="601"/>
      <c r="AL111" s="601"/>
      <c r="AM111" s="601"/>
    </row>
    <row r="112" spans="3:39" x14ac:dyDescent="0.2">
      <c r="C112" s="217">
        <v>107</v>
      </c>
      <c r="D112">
        <v>0</v>
      </c>
      <c r="L112">
        <v>127</v>
      </c>
      <c r="M112" s="601"/>
      <c r="N112" s="601"/>
      <c r="O112" s="601"/>
      <c r="P112" s="601"/>
      <c r="R112" s="601"/>
      <c r="S112" s="601"/>
      <c r="U112" s="601"/>
      <c r="V112" s="601"/>
      <c r="W112" s="601"/>
      <c r="X112" s="601"/>
      <c r="Z112" s="601"/>
      <c r="AA112" s="601" t="s">
        <v>77</v>
      </c>
      <c r="AB112" s="601"/>
      <c r="AC112" s="245"/>
      <c r="AE112" s="601"/>
      <c r="AF112" s="601"/>
      <c r="AG112" s="601"/>
      <c r="AH112" s="601"/>
      <c r="AJ112" s="601"/>
      <c r="AK112" s="601"/>
      <c r="AL112" s="601"/>
      <c r="AM112" s="601"/>
    </row>
    <row r="113" spans="3:39" x14ac:dyDescent="0.2">
      <c r="C113" s="217">
        <v>108</v>
      </c>
      <c r="D113">
        <v>0</v>
      </c>
      <c r="L113">
        <v>130</v>
      </c>
      <c r="M113" s="601"/>
      <c r="N113" s="601"/>
      <c r="O113" s="601"/>
      <c r="P113" s="601"/>
      <c r="R113" s="601"/>
      <c r="S113" s="601"/>
      <c r="U113" s="601"/>
      <c r="V113" s="601"/>
      <c r="W113" s="601"/>
      <c r="X113" s="601"/>
      <c r="Z113" s="601"/>
      <c r="AA113" s="601" t="s">
        <v>77</v>
      </c>
      <c r="AB113" s="601"/>
      <c r="AC113" s="245"/>
      <c r="AE113" s="601"/>
      <c r="AF113" s="601"/>
      <c r="AG113" s="601"/>
      <c r="AH113" s="601"/>
      <c r="AJ113" s="601"/>
      <c r="AK113" s="601"/>
      <c r="AL113" s="601"/>
      <c r="AM113" s="601"/>
    </row>
    <row r="114" spans="3:39" x14ac:dyDescent="0.2">
      <c r="C114" s="217">
        <v>109</v>
      </c>
      <c r="D114">
        <v>0</v>
      </c>
      <c r="L114">
        <v>131</v>
      </c>
      <c r="M114" s="601"/>
      <c r="N114" s="601"/>
      <c r="O114" s="601"/>
      <c r="P114" s="601"/>
      <c r="R114" s="601"/>
      <c r="S114" s="601"/>
      <c r="U114" s="601"/>
      <c r="V114" s="601"/>
      <c r="W114" s="601"/>
      <c r="X114" s="601"/>
      <c r="Z114" s="601"/>
      <c r="AA114" s="601" t="s">
        <v>77</v>
      </c>
      <c r="AB114" s="601"/>
      <c r="AC114" s="245"/>
      <c r="AE114" s="601"/>
      <c r="AF114" s="601"/>
      <c r="AG114" s="601"/>
      <c r="AH114" s="601"/>
      <c r="AJ114" s="601"/>
      <c r="AK114" s="601"/>
      <c r="AL114" s="601"/>
      <c r="AM114" s="601"/>
    </row>
    <row r="115" spans="3:39" x14ac:dyDescent="0.2">
      <c r="C115" s="217">
        <v>110</v>
      </c>
      <c r="D115">
        <v>0</v>
      </c>
      <c r="L115">
        <v>132</v>
      </c>
      <c r="M115" s="601"/>
      <c r="N115" s="601"/>
      <c r="O115" s="601"/>
      <c r="P115" s="601"/>
      <c r="R115" s="601"/>
      <c r="S115" s="601"/>
      <c r="U115" s="601"/>
      <c r="V115" s="601"/>
      <c r="W115" s="601"/>
      <c r="X115" s="601"/>
      <c r="Z115" s="601"/>
      <c r="AA115" s="601" t="s">
        <v>77</v>
      </c>
      <c r="AB115" s="601"/>
      <c r="AC115" s="245"/>
      <c r="AE115" s="601"/>
      <c r="AF115" s="601"/>
      <c r="AG115" s="601"/>
      <c r="AH115" s="601"/>
      <c r="AJ115" s="601"/>
      <c r="AK115" s="601"/>
      <c r="AL115" s="601"/>
      <c r="AM115" s="601"/>
    </row>
    <row r="116" spans="3:39" x14ac:dyDescent="0.2">
      <c r="C116" s="217">
        <v>111</v>
      </c>
      <c r="D116">
        <v>0</v>
      </c>
      <c r="L116">
        <v>133</v>
      </c>
      <c r="M116" s="601"/>
      <c r="N116" s="601"/>
      <c r="O116" s="601"/>
      <c r="P116" s="601"/>
      <c r="R116" s="601"/>
      <c r="S116" s="601"/>
      <c r="U116" s="601"/>
      <c r="V116" s="601"/>
      <c r="W116" s="601"/>
      <c r="X116" s="601"/>
      <c r="Z116" s="601"/>
      <c r="AA116" s="601" t="s">
        <v>77</v>
      </c>
      <c r="AB116" s="601"/>
      <c r="AC116" s="245"/>
      <c r="AE116" s="601"/>
      <c r="AF116" s="601"/>
      <c r="AG116" s="601"/>
      <c r="AH116" s="601"/>
      <c r="AJ116" s="601"/>
      <c r="AK116" s="601"/>
      <c r="AL116" s="601"/>
      <c r="AM116" s="601"/>
    </row>
    <row r="117" spans="3:39" x14ac:dyDescent="0.2">
      <c r="C117" s="217">
        <v>112</v>
      </c>
      <c r="D117">
        <v>0</v>
      </c>
      <c r="L117">
        <v>134</v>
      </c>
      <c r="M117" s="601"/>
      <c r="N117" s="601"/>
      <c r="O117" s="601"/>
      <c r="P117" s="601"/>
      <c r="R117" s="601"/>
      <c r="S117" s="601"/>
      <c r="U117" s="601"/>
      <c r="V117" s="601"/>
      <c r="W117" s="601"/>
      <c r="X117" s="601"/>
      <c r="Z117" s="601"/>
      <c r="AA117" s="601" t="s">
        <v>77</v>
      </c>
      <c r="AB117" s="601"/>
      <c r="AC117" s="245"/>
      <c r="AE117" s="601"/>
      <c r="AF117" s="601"/>
      <c r="AG117" s="601"/>
      <c r="AH117" s="601"/>
      <c r="AJ117" s="601"/>
      <c r="AK117" s="601"/>
      <c r="AL117" s="601"/>
      <c r="AM117" s="601"/>
    </row>
    <row r="118" spans="3:39" x14ac:dyDescent="0.2">
      <c r="C118" s="217">
        <v>113</v>
      </c>
      <c r="D118">
        <v>0</v>
      </c>
      <c r="L118">
        <v>135</v>
      </c>
      <c r="M118" s="601"/>
      <c r="N118" s="601"/>
      <c r="O118" s="601"/>
      <c r="P118" s="601"/>
      <c r="R118" s="601"/>
      <c r="S118" s="601"/>
      <c r="U118" s="601"/>
      <c r="V118" s="601"/>
      <c r="W118" s="601"/>
      <c r="X118" s="601"/>
      <c r="Z118" s="601"/>
      <c r="AA118" s="601" t="s">
        <v>77</v>
      </c>
      <c r="AB118" s="601"/>
      <c r="AC118" s="245"/>
      <c r="AE118" s="601"/>
      <c r="AF118" s="601"/>
      <c r="AG118" s="601"/>
      <c r="AH118" s="601"/>
      <c r="AJ118" s="601"/>
      <c r="AK118" s="601"/>
      <c r="AL118" s="601"/>
      <c r="AM118" s="601"/>
    </row>
    <row r="119" spans="3:39" x14ac:dyDescent="0.2">
      <c r="C119" s="217">
        <v>114</v>
      </c>
      <c r="D119">
        <v>0</v>
      </c>
      <c r="L119">
        <v>136</v>
      </c>
      <c r="M119" s="601"/>
      <c r="N119" s="601"/>
      <c r="O119" s="601"/>
      <c r="P119" s="601"/>
      <c r="R119" s="601"/>
      <c r="S119" s="601"/>
      <c r="U119" s="601"/>
      <c r="V119" s="601"/>
      <c r="W119" s="601"/>
      <c r="X119" s="601"/>
      <c r="Z119" s="601"/>
      <c r="AA119" s="601" t="s">
        <v>77</v>
      </c>
      <c r="AB119" s="601"/>
      <c r="AC119" s="245"/>
      <c r="AE119" s="601"/>
      <c r="AF119" s="601"/>
      <c r="AG119" s="601"/>
      <c r="AH119" s="601"/>
      <c r="AJ119" s="601"/>
      <c r="AK119" s="601"/>
      <c r="AL119" s="601"/>
      <c r="AM119" s="601"/>
    </row>
    <row r="120" spans="3:39" x14ac:dyDescent="0.2">
      <c r="C120" s="217">
        <v>115</v>
      </c>
      <c r="D120">
        <v>0</v>
      </c>
      <c r="L120">
        <v>137</v>
      </c>
      <c r="M120" s="601"/>
      <c r="N120" s="601"/>
      <c r="O120" s="601"/>
      <c r="P120" s="601"/>
      <c r="R120" s="601"/>
      <c r="S120" s="601"/>
      <c r="U120" s="601"/>
      <c r="V120" s="601"/>
      <c r="W120" s="601"/>
      <c r="X120" s="601"/>
      <c r="Z120" s="601"/>
      <c r="AA120" s="601" t="s">
        <v>77</v>
      </c>
      <c r="AB120" s="601"/>
      <c r="AC120" s="245"/>
      <c r="AE120" s="601"/>
      <c r="AF120" s="601"/>
      <c r="AG120" s="601"/>
      <c r="AH120" s="601"/>
      <c r="AJ120" s="601"/>
      <c r="AK120" s="601"/>
      <c r="AL120" s="601"/>
      <c r="AM120" s="601"/>
    </row>
    <row r="121" spans="3:39" x14ac:dyDescent="0.2">
      <c r="C121" s="217">
        <v>116</v>
      </c>
      <c r="D121">
        <v>0</v>
      </c>
      <c r="L121">
        <v>138</v>
      </c>
      <c r="M121" s="601"/>
      <c r="N121" s="601"/>
      <c r="O121" s="601"/>
      <c r="P121" s="601"/>
      <c r="R121" s="601"/>
      <c r="S121" s="601"/>
      <c r="U121" s="601"/>
      <c r="V121" s="601"/>
      <c r="W121" s="601"/>
      <c r="X121" s="601"/>
      <c r="Z121" s="601"/>
      <c r="AA121" s="601" t="s">
        <v>77</v>
      </c>
      <c r="AB121" s="601"/>
      <c r="AC121" s="245"/>
      <c r="AE121" s="601"/>
      <c r="AF121" s="601"/>
      <c r="AG121" s="601"/>
      <c r="AH121" s="601"/>
      <c r="AJ121" s="601"/>
      <c r="AK121" s="601"/>
      <c r="AL121" s="601"/>
      <c r="AM121" s="601"/>
    </row>
    <row r="122" spans="3:39" x14ac:dyDescent="0.2">
      <c r="C122" s="217">
        <v>117</v>
      </c>
      <c r="D122">
        <v>0</v>
      </c>
      <c r="L122">
        <v>139</v>
      </c>
      <c r="M122" s="601"/>
      <c r="N122" s="601"/>
      <c r="O122" s="601"/>
      <c r="P122" s="601"/>
      <c r="R122" s="601"/>
      <c r="S122" s="601"/>
      <c r="U122" s="601"/>
      <c r="V122" s="601"/>
      <c r="W122" s="601"/>
      <c r="X122" s="601"/>
      <c r="Z122" s="601"/>
      <c r="AA122" s="601" t="s">
        <v>77</v>
      </c>
      <c r="AB122" s="601"/>
      <c r="AC122" s="245"/>
      <c r="AE122" s="601"/>
      <c r="AF122" s="601"/>
      <c r="AG122" s="601"/>
      <c r="AH122" s="601"/>
      <c r="AJ122" s="601"/>
      <c r="AK122" s="601"/>
      <c r="AL122" s="601"/>
      <c r="AM122" s="601"/>
    </row>
    <row r="123" spans="3:39" x14ac:dyDescent="0.2">
      <c r="C123" s="217">
        <v>118</v>
      </c>
      <c r="D123">
        <v>0</v>
      </c>
      <c r="L123">
        <v>140</v>
      </c>
      <c r="M123" s="601"/>
      <c r="N123" s="601"/>
      <c r="O123" s="601"/>
      <c r="P123" s="601"/>
      <c r="R123" s="601"/>
      <c r="S123" s="601"/>
      <c r="U123" s="601"/>
      <c r="V123" s="601"/>
      <c r="W123" s="601"/>
      <c r="X123" s="601"/>
      <c r="Z123" s="601"/>
      <c r="AA123" s="601" t="s">
        <v>77</v>
      </c>
      <c r="AB123" s="601"/>
      <c r="AC123" s="245"/>
      <c r="AE123" s="601"/>
      <c r="AF123" s="601"/>
      <c r="AG123" s="601"/>
      <c r="AH123" s="601"/>
      <c r="AJ123" s="601"/>
      <c r="AK123" s="601"/>
      <c r="AL123" s="601"/>
      <c r="AM123" s="601"/>
    </row>
    <row r="124" spans="3:39" x14ac:dyDescent="0.2">
      <c r="C124" s="217">
        <v>119</v>
      </c>
      <c r="D124">
        <v>0</v>
      </c>
      <c r="L124">
        <v>141</v>
      </c>
      <c r="M124" s="601"/>
      <c r="N124" s="601"/>
      <c r="O124" s="601"/>
      <c r="P124" s="601"/>
      <c r="R124" s="601"/>
      <c r="S124" s="601"/>
      <c r="U124" s="601"/>
      <c r="V124" s="601"/>
      <c r="W124" s="601"/>
      <c r="X124" s="601"/>
      <c r="Z124" s="601"/>
      <c r="AA124" s="601" t="s">
        <v>77</v>
      </c>
      <c r="AB124" s="601"/>
      <c r="AC124" s="245"/>
      <c r="AE124" s="601"/>
      <c r="AF124" s="601"/>
      <c r="AG124" s="601"/>
      <c r="AH124" s="601"/>
      <c r="AJ124" s="601"/>
      <c r="AK124" s="601"/>
      <c r="AL124" s="601"/>
      <c r="AM124" s="601"/>
    </row>
    <row r="125" spans="3:39" x14ac:dyDescent="0.2">
      <c r="C125" s="217">
        <v>120</v>
      </c>
      <c r="D125">
        <v>0</v>
      </c>
      <c r="L125">
        <v>142</v>
      </c>
      <c r="M125" s="601"/>
      <c r="N125" s="601"/>
      <c r="O125" s="601"/>
      <c r="P125" s="601"/>
      <c r="R125" s="601"/>
      <c r="S125" s="601"/>
      <c r="U125" s="601"/>
      <c r="V125" s="601"/>
      <c r="W125" s="601"/>
      <c r="X125" s="601"/>
      <c r="Z125" s="601"/>
      <c r="AA125" s="601" t="s">
        <v>77</v>
      </c>
      <c r="AB125" s="601"/>
      <c r="AC125" s="245"/>
      <c r="AE125" s="601"/>
      <c r="AF125" s="601"/>
      <c r="AG125" s="601"/>
      <c r="AH125" s="601"/>
      <c r="AJ125" s="601"/>
      <c r="AK125" s="601"/>
      <c r="AL125" s="601"/>
      <c r="AM125" s="601"/>
    </row>
    <row r="126" spans="3:39" x14ac:dyDescent="0.2">
      <c r="C126" s="217">
        <v>121</v>
      </c>
      <c r="D126">
        <v>0</v>
      </c>
      <c r="L126">
        <v>143</v>
      </c>
      <c r="M126" s="601"/>
      <c r="N126" s="601"/>
      <c r="O126" s="601"/>
      <c r="P126" s="601"/>
      <c r="R126" s="601"/>
      <c r="S126" s="601"/>
      <c r="U126" s="601"/>
      <c r="V126" s="601"/>
      <c r="W126" s="601"/>
      <c r="X126" s="601"/>
      <c r="Z126" s="601"/>
      <c r="AA126" s="601" t="s">
        <v>77</v>
      </c>
      <c r="AB126" s="601"/>
      <c r="AC126" s="245"/>
      <c r="AE126" s="601"/>
      <c r="AF126" s="601"/>
      <c r="AG126" s="601"/>
      <c r="AH126" s="601"/>
      <c r="AJ126" s="601"/>
      <c r="AK126" s="601"/>
      <c r="AL126" s="601"/>
      <c r="AM126" s="601"/>
    </row>
    <row r="127" spans="3:39" x14ac:dyDescent="0.2">
      <c r="C127" s="217">
        <v>122</v>
      </c>
      <c r="D127">
        <v>0</v>
      </c>
      <c r="L127">
        <v>144</v>
      </c>
      <c r="M127" s="601"/>
      <c r="N127" s="601"/>
      <c r="O127" s="601"/>
      <c r="P127" s="601"/>
      <c r="R127" s="601"/>
      <c r="S127" s="601"/>
      <c r="U127" s="601"/>
      <c r="V127" s="601"/>
      <c r="W127" s="601"/>
      <c r="X127" s="601"/>
      <c r="Z127" s="601"/>
      <c r="AA127" s="601" t="s">
        <v>77</v>
      </c>
      <c r="AB127" s="601"/>
      <c r="AC127" s="245"/>
      <c r="AE127" s="601"/>
      <c r="AF127" s="601"/>
      <c r="AG127" s="601"/>
      <c r="AH127" s="601"/>
      <c r="AJ127" s="601"/>
      <c r="AK127" s="601"/>
      <c r="AL127" s="601"/>
      <c r="AM127" s="601"/>
    </row>
    <row r="128" spans="3:39" x14ac:dyDescent="0.2">
      <c r="C128" s="217">
        <v>123</v>
      </c>
      <c r="D128">
        <v>0</v>
      </c>
      <c r="L128">
        <v>145</v>
      </c>
      <c r="M128" s="601"/>
      <c r="N128" s="601"/>
      <c r="O128" s="601"/>
      <c r="P128" s="601"/>
      <c r="R128" s="601"/>
      <c r="S128" s="601"/>
      <c r="U128" s="601"/>
      <c r="V128" s="601"/>
      <c r="W128" s="601"/>
      <c r="X128" s="601"/>
      <c r="Z128" s="601"/>
      <c r="AA128" s="601" t="s">
        <v>77</v>
      </c>
      <c r="AB128" s="601"/>
      <c r="AC128" s="245"/>
      <c r="AE128" s="601"/>
      <c r="AF128" s="601"/>
      <c r="AG128" s="601"/>
      <c r="AH128" s="601"/>
      <c r="AJ128" s="601"/>
      <c r="AK128" s="601"/>
      <c r="AL128" s="601"/>
      <c r="AM128" s="601"/>
    </row>
    <row r="129" spans="3:39" x14ac:dyDescent="0.2">
      <c r="C129" s="217">
        <v>124</v>
      </c>
      <c r="D129">
        <v>0</v>
      </c>
      <c r="L129">
        <v>146</v>
      </c>
      <c r="M129" s="601"/>
      <c r="N129" s="601"/>
      <c r="O129" s="601"/>
      <c r="P129" s="601"/>
      <c r="R129" s="601"/>
      <c r="S129" s="601"/>
      <c r="U129" s="601"/>
      <c r="V129" s="601"/>
      <c r="W129" s="601"/>
      <c r="X129" s="601"/>
      <c r="Z129" s="601"/>
      <c r="AA129" s="601" t="s">
        <v>77</v>
      </c>
      <c r="AB129" s="601"/>
      <c r="AC129" s="245"/>
      <c r="AE129" s="601"/>
      <c r="AF129" s="601"/>
      <c r="AG129" s="601"/>
      <c r="AH129" s="601"/>
      <c r="AJ129" s="601"/>
      <c r="AK129" s="601"/>
      <c r="AL129" s="601"/>
      <c r="AM129" s="601"/>
    </row>
    <row r="130" spans="3:39" x14ac:dyDescent="0.2">
      <c r="C130" s="217">
        <v>125</v>
      </c>
      <c r="D130">
        <v>0</v>
      </c>
      <c r="L130">
        <v>147</v>
      </c>
      <c r="M130" s="601"/>
      <c r="N130" s="601"/>
      <c r="O130" s="601"/>
      <c r="P130" s="601"/>
      <c r="R130" s="601"/>
      <c r="S130" s="601"/>
      <c r="U130" s="601"/>
      <c r="V130" s="601"/>
      <c r="W130" s="601"/>
      <c r="X130" s="601"/>
      <c r="Z130" s="601"/>
      <c r="AA130" s="601" t="s">
        <v>77</v>
      </c>
      <c r="AB130" s="601"/>
      <c r="AC130" s="245"/>
      <c r="AE130" s="601"/>
      <c r="AF130" s="601"/>
      <c r="AG130" s="601"/>
      <c r="AH130" s="601"/>
      <c r="AJ130" s="601"/>
      <c r="AK130" s="601"/>
      <c r="AL130" s="601"/>
      <c r="AM130" s="601"/>
    </row>
    <row r="131" spans="3:39" x14ac:dyDescent="0.2">
      <c r="C131" s="217">
        <v>126</v>
      </c>
      <c r="D131">
        <v>0</v>
      </c>
      <c r="L131" t="s">
        <v>62</v>
      </c>
      <c r="M131" s="601">
        <f t="shared" ref="M131:P131" si="4">+SUM(M5:M130)</f>
        <v>1248085</v>
      </c>
      <c r="N131" s="601">
        <f t="shared" si="4"/>
        <v>1750000</v>
      </c>
      <c r="O131" s="601">
        <f t="shared" si="4"/>
        <v>101000</v>
      </c>
      <c r="P131" s="601">
        <f t="shared" si="4"/>
        <v>3099085</v>
      </c>
      <c r="R131" s="601">
        <f>+SUM(R5:R130)</f>
        <v>1350000</v>
      </c>
      <c r="S131" s="601">
        <f>+SUM(S5:S130)</f>
        <v>755000</v>
      </c>
      <c r="U131" s="601">
        <v>1245600</v>
      </c>
      <c r="V131" s="601">
        <v>1740000</v>
      </c>
      <c r="W131" s="601">
        <v>3110955</v>
      </c>
      <c r="X131" s="601">
        <v>6096555</v>
      </c>
      <c r="Z131" s="601">
        <v>4761416</v>
      </c>
      <c r="AA131" s="601">
        <v>2105000</v>
      </c>
      <c r="AB131" s="601">
        <v>3706500</v>
      </c>
      <c r="AC131" s="601">
        <v>10572916</v>
      </c>
      <c r="AE131" s="601"/>
      <c r="AF131" s="601"/>
      <c r="AG131" s="601"/>
      <c r="AH131" s="601"/>
      <c r="AJ131" s="601"/>
      <c r="AK131" s="601"/>
      <c r="AL131" s="601"/>
      <c r="AM131" s="601"/>
    </row>
    <row r="132" spans="3:39" x14ac:dyDescent="0.2">
      <c r="C132" s="217">
        <v>127</v>
      </c>
      <c r="D132">
        <v>0</v>
      </c>
    </row>
    <row r="133" spans="3:39" x14ac:dyDescent="0.2">
      <c r="C133" s="217">
        <v>128</v>
      </c>
      <c r="D133">
        <v>0</v>
      </c>
    </row>
    <row r="134" spans="3:39" x14ac:dyDescent="0.2">
      <c r="C134" s="217">
        <v>129</v>
      </c>
      <c r="D134">
        <v>0</v>
      </c>
    </row>
    <row r="135" spans="3:39" x14ac:dyDescent="0.2">
      <c r="C135" s="217">
        <v>130</v>
      </c>
      <c r="D135">
        <v>224000</v>
      </c>
    </row>
    <row r="136" spans="3:39" x14ac:dyDescent="0.2">
      <c r="C136" s="217">
        <v>131</v>
      </c>
      <c r="D136">
        <v>60000</v>
      </c>
    </row>
    <row r="137" spans="3:39" x14ac:dyDescent="0.2">
      <c r="C137" s="217">
        <v>132</v>
      </c>
      <c r="D137">
        <v>250000</v>
      </c>
    </row>
    <row r="138" spans="3:39" x14ac:dyDescent="0.2">
      <c r="C138" s="217">
        <v>133</v>
      </c>
      <c r="D138">
        <v>150000</v>
      </c>
    </row>
    <row r="139" spans="3:39" x14ac:dyDescent="0.2">
      <c r="C139" s="217">
        <v>134</v>
      </c>
      <c r="D139">
        <v>38000</v>
      </c>
    </row>
    <row r="140" spans="3:39" x14ac:dyDescent="0.2">
      <c r="C140" s="217">
        <v>135</v>
      </c>
      <c r="D140">
        <v>340000</v>
      </c>
    </row>
    <row r="141" spans="3:39" x14ac:dyDescent="0.2">
      <c r="C141" s="217">
        <v>136</v>
      </c>
      <c r="D141">
        <v>240000</v>
      </c>
    </row>
    <row r="142" spans="3:39" x14ac:dyDescent="0.2">
      <c r="C142" s="217">
        <v>137</v>
      </c>
      <c r="D142">
        <v>220000</v>
      </c>
    </row>
    <row r="143" spans="3:39" x14ac:dyDescent="0.2">
      <c r="C143" s="217">
        <v>138</v>
      </c>
      <c r="D143">
        <v>450000</v>
      </c>
    </row>
    <row r="144" spans="3:39" x14ac:dyDescent="0.2">
      <c r="C144" s="217">
        <v>139</v>
      </c>
      <c r="D144">
        <v>180000</v>
      </c>
    </row>
    <row r="145" spans="3:4" x14ac:dyDescent="0.2">
      <c r="C145" s="217">
        <v>140</v>
      </c>
      <c r="D145">
        <v>260000</v>
      </c>
    </row>
    <row r="146" spans="3:4" x14ac:dyDescent="0.2">
      <c r="C146" s="217">
        <v>141</v>
      </c>
      <c r="D146">
        <v>30000</v>
      </c>
    </row>
    <row r="147" spans="3:4" x14ac:dyDescent="0.2">
      <c r="C147" s="217">
        <v>142</v>
      </c>
      <c r="D147">
        <v>900000</v>
      </c>
    </row>
    <row r="148" spans="3:4" x14ac:dyDescent="0.2">
      <c r="C148" s="217">
        <v>143</v>
      </c>
      <c r="D148">
        <v>450000</v>
      </c>
    </row>
    <row r="149" spans="3:4" x14ac:dyDescent="0.2">
      <c r="C149" s="217">
        <v>144</v>
      </c>
      <c r="D149">
        <v>200000</v>
      </c>
    </row>
    <row r="150" spans="3:4" x14ac:dyDescent="0.2">
      <c r="C150" s="217">
        <v>145</v>
      </c>
      <c r="D150">
        <v>50000</v>
      </c>
    </row>
    <row r="151" spans="3:4" x14ac:dyDescent="0.2">
      <c r="C151" s="217">
        <v>146</v>
      </c>
      <c r="D151">
        <v>100000</v>
      </c>
    </row>
    <row r="152" spans="3:4" x14ac:dyDescent="0.2">
      <c r="C152" s="217">
        <v>147</v>
      </c>
      <c r="D152">
        <v>45000</v>
      </c>
    </row>
    <row r="153" spans="3:4" x14ac:dyDescent="0.2">
      <c r="C153" s="217" t="s">
        <v>61</v>
      </c>
    </row>
    <row r="154" spans="3:4" x14ac:dyDescent="0.2">
      <c r="C154" s="217" t="s">
        <v>62</v>
      </c>
      <c r="D154">
        <v>4729085</v>
      </c>
    </row>
  </sheetData>
  <mergeCells count="4">
    <mergeCell ref="U1:X1"/>
    <mergeCell ref="Z1:AC1"/>
    <mergeCell ref="AE1:AH1"/>
    <mergeCell ref="AJ1:A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ED78-FA68-48F3-9455-8C90E5935E74}">
  <dimension ref="A3:L134"/>
  <sheetViews>
    <sheetView topLeftCell="A52" workbookViewId="0">
      <selection activeCell="E15" sqref="E15"/>
    </sheetView>
  </sheetViews>
  <sheetFormatPr baseColWidth="10" defaultColWidth="11.5" defaultRowHeight="15" x14ac:dyDescent="0.2"/>
  <cols>
    <col min="1" max="1" width="18" bestFit="1" customWidth="1"/>
    <col min="2" max="2" width="20.6640625" bestFit="1" customWidth="1"/>
    <col min="3" max="3" width="12.1640625" bestFit="1" customWidth="1"/>
    <col min="4" max="4" width="11.1640625" bestFit="1" customWidth="1"/>
    <col min="5" max="5" width="12.83203125" bestFit="1" customWidth="1"/>
    <col min="6" max="6" width="11.5" bestFit="1" customWidth="1"/>
    <col min="8" max="8" width="12.83203125" bestFit="1" customWidth="1"/>
    <col min="9" max="9" width="11.5" bestFit="1" customWidth="1"/>
  </cols>
  <sheetData>
    <row r="3" spans="1:11" x14ac:dyDescent="0.2">
      <c r="A3" s="213" t="s">
        <v>65</v>
      </c>
      <c r="B3" s="213" t="s">
        <v>51</v>
      </c>
    </row>
    <row r="4" spans="1:11" x14ac:dyDescent="0.2">
      <c r="A4" s="213" t="s">
        <v>60</v>
      </c>
      <c r="B4" t="s">
        <v>20</v>
      </c>
      <c r="C4" t="s">
        <v>37</v>
      </c>
      <c r="D4" t="s">
        <v>62</v>
      </c>
      <c r="G4" s="606" t="s">
        <v>20</v>
      </c>
      <c r="H4" s="606" t="s">
        <v>37</v>
      </c>
      <c r="I4" s="606" t="s">
        <v>62</v>
      </c>
    </row>
    <row r="5" spans="1:11" x14ac:dyDescent="0.2">
      <c r="A5" s="217">
        <v>7</v>
      </c>
      <c r="B5" s="218">
        <v>4339980</v>
      </c>
      <c r="C5" s="218"/>
      <c r="D5" s="218">
        <v>4339980</v>
      </c>
      <c r="F5" s="218">
        <v>1</v>
      </c>
      <c r="G5" s="218">
        <v>4339980</v>
      </c>
      <c r="H5" s="218"/>
      <c r="I5" s="218">
        <v>4339980</v>
      </c>
    </row>
    <row r="6" spans="1:11" x14ac:dyDescent="0.2">
      <c r="A6" s="217">
        <v>19</v>
      </c>
      <c r="B6" s="218"/>
      <c r="C6" s="218">
        <v>1650000</v>
      </c>
      <c r="D6" s="218">
        <v>1650000</v>
      </c>
      <c r="F6" s="218">
        <v>2</v>
      </c>
      <c r="G6" s="218"/>
      <c r="H6" s="218">
        <v>1650000</v>
      </c>
      <c r="I6" s="218">
        <v>1650000</v>
      </c>
    </row>
    <row r="7" spans="1:11" x14ac:dyDescent="0.2">
      <c r="A7" s="217">
        <v>79</v>
      </c>
      <c r="B7" s="218"/>
      <c r="C7" s="218">
        <v>1500000</v>
      </c>
      <c r="D7" s="218">
        <v>1500000</v>
      </c>
      <c r="F7" s="218">
        <v>3</v>
      </c>
      <c r="G7" s="218"/>
      <c r="H7" s="218">
        <v>1500000</v>
      </c>
      <c r="I7" s="218">
        <v>1500000</v>
      </c>
    </row>
    <row r="8" spans="1:11" x14ac:dyDescent="0.2">
      <c r="A8" s="217">
        <v>118</v>
      </c>
      <c r="B8" s="218"/>
      <c r="C8" s="218">
        <v>1300000</v>
      </c>
      <c r="D8" s="218">
        <v>1300000</v>
      </c>
      <c r="F8" s="218">
        <v>4</v>
      </c>
      <c r="G8" s="218"/>
      <c r="H8" s="218">
        <v>1300000</v>
      </c>
      <c r="I8" s="218">
        <v>1300000</v>
      </c>
    </row>
    <row r="9" spans="1:11" x14ac:dyDescent="0.2">
      <c r="A9" s="217">
        <v>26</v>
      </c>
      <c r="B9" s="218"/>
      <c r="C9" s="218">
        <v>1100000</v>
      </c>
      <c r="D9" s="218">
        <v>1100000</v>
      </c>
      <c r="F9" s="218">
        <v>5</v>
      </c>
      <c r="G9" s="218"/>
      <c r="H9" s="218">
        <v>1100000</v>
      </c>
      <c r="I9" s="218">
        <v>1100000</v>
      </c>
    </row>
    <row r="10" spans="1:11" x14ac:dyDescent="0.2">
      <c r="A10" s="217">
        <v>92</v>
      </c>
      <c r="B10" s="218"/>
      <c r="C10" s="218">
        <v>1000000</v>
      </c>
      <c r="D10" s="218">
        <v>1000000</v>
      </c>
      <c r="F10" s="218">
        <v>6</v>
      </c>
      <c r="G10" s="218"/>
      <c r="H10" s="218">
        <v>1000000</v>
      </c>
      <c r="I10" s="218">
        <v>1000000</v>
      </c>
    </row>
    <row r="11" spans="1:11" x14ac:dyDescent="0.2">
      <c r="A11" s="217">
        <v>59</v>
      </c>
      <c r="B11" s="218"/>
      <c r="C11" s="218">
        <v>1000000</v>
      </c>
      <c r="D11" s="218">
        <v>1000000</v>
      </c>
      <c r="F11" s="218">
        <v>7</v>
      </c>
      <c r="G11" s="218"/>
      <c r="H11" s="218">
        <v>1000000</v>
      </c>
      <c r="I11" s="218">
        <v>1000000</v>
      </c>
      <c r="K11">
        <f>20/30</f>
        <v>0.66666666666666663</v>
      </c>
    </row>
    <row r="12" spans="1:11" x14ac:dyDescent="0.2">
      <c r="A12" s="217">
        <v>10</v>
      </c>
      <c r="B12" s="218">
        <v>840000</v>
      </c>
      <c r="C12" s="218"/>
      <c r="D12" s="218">
        <v>840000</v>
      </c>
      <c r="F12" s="218">
        <v>8</v>
      </c>
      <c r="G12" s="218">
        <v>840000</v>
      </c>
      <c r="H12" s="218"/>
      <c r="I12" s="218">
        <v>840000</v>
      </c>
    </row>
    <row r="13" spans="1:11" x14ac:dyDescent="0.2">
      <c r="A13" s="217">
        <v>16</v>
      </c>
      <c r="B13" s="218"/>
      <c r="C13" s="218">
        <v>800000</v>
      </c>
      <c r="D13" s="218">
        <v>800000</v>
      </c>
      <c r="F13" s="218">
        <v>9</v>
      </c>
      <c r="G13" s="218"/>
      <c r="H13" s="218">
        <v>800000</v>
      </c>
      <c r="I13" s="218">
        <v>800000</v>
      </c>
    </row>
    <row r="14" spans="1:11" x14ac:dyDescent="0.2">
      <c r="A14" s="217">
        <v>18</v>
      </c>
      <c r="B14" s="218"/>
      <c r="C14" s="218">
        <v>725000</v>
      </c>
      <c r="D14" s="218">
        <v>725000</v>
      </c>
      <c r="F14" s="218">
        <v>10</v>
      </c>
      <c r="G14" s="218"/>
      <c r="H14" s="218">
        <v>725000</v>
      </c>
      <c r="I14" s="218">
        <v>725000</v>
      </c>
    </row>
    <row r="15" spans="1:11" x14ac:dyDescent="0.2">
      <c r="A15" s="217">
        <v>93</v>
      </c>
      <c r="B15" s="218"/>
      <c r="C15" s="218">
        <v>720000</v>
      </c>
      <c r="D15" s="218">
        <v>720000</v>
      </c>
      <c r="F15" s="218">
        <v>11</v>
      </c>
      <c r="G15" s="218"/>
      <c r="H15" s="218">
        <v>720000</v>
      </c>
      <c r="I15" s="218">
        <v>720000</v>
      </c>
    </row>
    <row r="16" spans="1:11" x14ac:dyDescent="0.2">
      <c r="A16" s="217">
        <v>47</v>
      </c>
      <c r="B16" s="218"/>
      <c r="C16" s="218">
        <v>651000</v>
      </c>
      <c r="D16" s="218">
        <v>651000</v>
      </c>
      <c r="F16" s="218">
        <v>12</v>
      </c>
      <c r="G16" s="218"/>
      <c r="H16" s="218">
        <v>651000</v>
      </c>
      <c r="I16" s="218">
        <v>651000</v>
      </c>
    </row>
    <row r="17" spans="1:9" x14ac:dyDescent="0.2">
      <c r="A17" s="217">
        <v>15</v>
      </c>
      <c r="B17" s="218">
        <v>612000</v>
      </c>
      <c r="C17" s="218"/>
      <c r="D17" s="218">
        <v>612000</v>
      </c>
      <c r="F17" s="218">
        <v>13</v>
      </c>
      <c r="G17" s="218">
        <v>612000</v>
      </c>
      <c r="H17" s="218"/>
      <c r="I17" s="218">
        <v>612000</v>
      </c>
    </row>
    <row r="18" spans="1:9" x14ac:dyDescent="0.2">
      <c r="A18" s="217">
        <v>29</v>
      </c>
      <c r="B18" s="218"/>
      <c r="C18" s="218">
        <v>600000</v>
      </c>
      <c r="D18" s="218">
        <v>600000</v>
      </c>
      <c r="F18" s="218">
        <v>14</v>
      </c>
      <c r="G18" s="218"/>
      <c r="H18" s="218">
        <v>600000</v>
      </c>
      <c r="I18" s="218">
        <v>600000</v>
      </c>
    </row>
    <row r="19" spans="1:9" x14ac:dyDescent="0.2">
      <c r="A19" s="217">
        <v>41</v>
      </c>
      <c r="B19" s="218"/>
      <c r="C19" s="218">
        <v>520000</v>
      </c>
      <c r="D19" s="218">
        <v>520000</v>
      </c>
      <c r="F19" s="218">
        <v>15</v>
      </c>
      <c r="G19" s="218"/>
      <c r="H19" s="218">
        <v>520000</v>
      </c>
      <c r="I19" s="218">
        <v>520000</v>
      </c>
    </row>
    <row r="20" spans="1:9" x14ac:dyDescent="0.2">
      <c r="A20" s="217">
        <v>107</v>
      </c>
      <c r="B20" s="218">
        <v>500000</v>
      </c>
      <c r="C20" s="218"/>
      <c r="D20" s="218">
        <v>500000</v>
      </c>
      <c r="F20" s="218">
        <v>16</v>
      </c>
      <c r="G20" s="218">
        <v>500000</v>
      </c>
      <c r="H20" s="218"/>
      <c r="I20" s="218">
        <v>500000</v>
      </c>
    </row>
    <row r="21" spans="1:9" x14ac:dyDescent="0.2">
      <c r="A21" s="217">
        <v>98</v>
      </c>
      <c r="B21" s="218"/>
      <c r="C21" s="218">
        <v>500000</v>
      </c>
      <c r="D21" s="218">
        <v>500000</v>
      </c>
      <c r="F21" s="218">
        <v>17</v>
      </c>
      <c r="G21" s="218"/>
      <c r="H21" s="218">
        <v>500000</v>
      </c>
      <c r="I21" s="218">
        <v>500000</v>
      </c>
    </row>
    <row r="22" spans="1:9" x14ac:dyDescent="0.2">
      <c r="A22" s="217">
        <v>113</v>
      </c>
      <c r="B22" s="218"/>
      <c r="C22" s="218">
        <v>500000</v>
      </c>
      <c r="D22" s="218">
        <v>500000</v>
      </c>
      <c r="F22" s="218">
        <v>18</v>
      </c>
      <c r="G22" s="218"/>
      <c r="H22" s="218">
        <v>500000</v>
      </c>
      <c r="I22" s="218">
        <v>500000</v>
      </c>
    </row>
    <row r="23" spans="1:9" x14ac:dyDescent="0.2">
      <c r="A23" s="217">
        <v>32</v>
      </c>
      <c r="B23" s="218"/>
      <c r="C23" s="218">
        <v>492580</v>
      </c>
      <c r="D23" s="218">
        <v>492580</v>
      </c>
      <c r="F23" s="218">
        <v>19</v>
      </c>
      <c r="G23" s="218"/>
      <c r="H23" s="218">
        <v>492580</v>
      </c>
      <c r="I23" s="218">
        <v>492580</v>
      </c>
    </row>
    <row r="24" spans="1:9" x14ac:dyDescent="0.2">
      <c r="A24" s="217">
        <v>103</v>
      </c>
      <c r="B24" s="218">
        <v>480000</v>
      </c>
      <c r="C24" s="218"/>
      <c r="D24" s="218">
        <v>480000</v>
      </c>
      <c r="F24" s="218">
        <v>20</v>
      </c>
      <c r="G24" s="218">
        <v>480000</v>
      </c>
      <c r="H24" s="218"/>
      <c r="I24" s="218">
        <v>480000</v>
      </c>
    </row>
    <row r="25" spans="1:9" x14ac:dyDescent="0.2">
      <c r="A25" s="217">
        <v>138</v>
      </c>
      <c r="B25" s="218">
        <v>450000</v>
      </c>
      <c r="C25" s="218"/>
      <c r="D25" s="218">
        <v>450000</v>
      </c>
      <c r="F25" s="218">
        <v>21</v>
      </c>
      <c r="G25" s="218">
        <v>450000</v>
      </c>
      <c r="H25" s="218"/>
      <c r="I25" s="218">
        <v>450000</v>
      </c>
    </row>
    <row r="26" spans="1:9" x14ac:dyDescent="0.2">
      <c r="A26" s="217">
        <v>35</v>
      </c>
      <c r="B26" s="218"/>
      <c r="C26" s="218">
        <v>395205</v>
      </c>
      <c r="D26" s="218">
        <v>395205</v>
      </c>
      <c r="F26" s="218">
        <v>22</v>
      </c>
      <c r="G26" s="218"/>
      <c r="H26" s="218">
        <v>395205</v>
      </c>
      <c r="I26" s="600">
        <v>395205</v>
      </c>
    </row>
    <row r="27" spans="1:9" x14ac:dyDescent="0.2">
      <c r="A27" s="217">
        <v>36</v>
      </c>
      <c r="B27" s="218"/>
      <c r="C27" s="218">
        <v>375000</v>
      </c>
      <c r="D27" s="218">
        <v>375000</v>
      </c>
      <c r="F27" s="218">
        <v>23</v>
      </c>
      <c r="G27" s="218"/>
      <c r="H27" s="218">
        <v>375000</v>
      </c>
      <c r="I27" s="600">
        <v>375000</v>
      </c>
    </row>
    <row r="28" spans="1:9" x14ac:dyDescent="0.2">
      <c r="A28" s="217">
        <v>67</v>
      </c>
      <c r="B28" s="218"/>
      <c r="C28" s="218">
        <v>370000</v>
      </c>
      <c r="D28" s="218">
        <v>370000</v>
      </c>
      <c r="F28" s="218">
        <v>24</v>
      </c>
      <c r="G28" s="218"/>
      <c r="H28" s="218">
        <v>370000</v>
      </c>
      <c r="I28" s="600">
        <v>370000</v>
      </c>
    </row>
    <row r="29" spans="1:9" x14ac:dyDescent="0.2">
      <c r="A29" s="217">
        <v>115</v>
      </c>
      <c r="B29" s="218">
        <v>355000</v>
      </c>
      <c r="C29" s="218"/>
      <c r="D29" s="218">
        <v>355000</v>
      </c>
      <c r="F29" s="218">
        <v>25</v>
      </c>
      <c r="G29" s="218">
        <v>355000</v>
      </c>
      <c r="H29" s="218"/>
      <c r="I29" s="600">
        <v>355000</v>
      </c>
    </row>
    <row r="30" spans="1:9" x14ac:dyDescent="0.2">
      <c r="A30" s="217">
        <v>30</v>
      </c>
      <c r="B30" s="218"/>
      <c r="C30" s="218">
        <v>324700</v>
      </c>
      <c r="D30" s="218">
        <v>324700</v>
      </c>
      <c r="F30" s="218">
        <v>26</v>
      </c>
      <c r="G30" s="218"/>
      <c r="H30" s="218">
        <v>324700</v>
      </c>
      <c r="I30" s="600">
        <v>324700</v>
      </c>
    </row>
    <row r="31" spans="1:9" x14ac:dyDescent="0.2">
      <c r="A31" s="217">
        <v>20</v>
      </c>
      <c r="B31" s="218"/>
      <c r="C31" s="218">
        <v>317000</v>
      </c>
      <c r="D31" s="218">
        <v>317000</v>
      </c>
      <c r="F31" s="218">
        <v>27</v>
      </c>
      <c r="G31" s="218"/>
      <c r="H31" s="218">
        <v>317000</v>
      </c>
      <c r="I31" s="600">
        <v>317000</v>
      </c>
    </row>
    <row r="32" spans="1:9" x14ac:dyDescent="0.2">
      <c r="A32" s="217">
        <v>49</v>
      </c>
      <c r="B32" s="218"/>
      <c r="C32" s="218">
        <v>300000</v>
      </c>
      <c r="D32" s="218">
        <v>300000</v>
      </c>
      <c r="F32" s="218">
        <v>28</v>
      </c>
      <c r="G32" s="218"/>
      <c r="H32" s="218">
        <v>300000</v>
      </c>
      <c r="I32" s="600">
        <v>300000</v>
      </c>
    </row>
    <row r="33" spans="1:11" x14ac:dyDescent="0.2">
      <c r="A33" s="217">
        <v>22</v>
      </c>
      <c r="B33" s="218">
        <v>300000</v>
      </c>
      <c r="C33" s="218"/>
      <c r="D33" s="218">
        <v>300000</v>
      </c>
      <c r="F33" s="218">
        <v>29</v>
      </c>
      <c r="G33" s="218">
        <v>300000</v>
      </c>
      <c r="H33" s="218"/>
      <c r="I33" s="600">
        <v>300000</v>
      </c>
      <c r="K33">
        <f>29/50</f>
        <v>0.57999999999999996</v>
      </c>
    </row>
    <row r="34" spans="1:11" x14ac:dyDescent="0.2">
      <c r="A34" s="217">
        <v>42</v>
      </c>
      <c r="B34" s="218"/>
      <c r="C34" s="218">
        <v>285000</v>
      </c>
      <c r="D34" s="218">
        <v>285000</v>
      </c>
      <c r="F34" s="218">
        <v>30</v>
      </c>
      <c r="G34" s="218"/>
      <c r="H34" s="218">
        <v>285000</v>
      </c>
      <c r="I34" s="600">
        <v>285000</v>
      </c>
    </row>
    <row r="35" spans="1:11" x14ac:dyDescent="0.2">
      <c r="A35" s="217">
        <v>116</v>
      </c>
      <c r="B35" s="218">
        <v>270000</v>
      </c>
      <c r="C35" s="218"/>
      <c r="D35" s="218">
        <v>270000</v>
      </c>
      <c r="F35" s="218">
        <v>31</v>
      </c>
      <c r="G35" s="218">
        <v>270000</v>
      </c>
      <c r="H35" s="218"/>
      <c r="I35" s="600">
        <v>270000</v>
      </c>
    </row>
    <row r="36" spans="1:11" x14ac:dyDescent="0.2">
      <c r="A36" s="217">
        <v>2</v>
      </c>
      <c r="B36" s="218">
        <v>263238.40000000002</v>
      </c>
      <c r="C36" s="218"/>
      <c r="D36" s="218">
        <v>263238.40000000002</v>
      </c>
      <c r="F36" s="218">
        <v>32</v>
      </c>
      <c r="G36" s="218">
        <v>263238.40000000002</v>
      </c>
      <c r="H36" s="218"/>
      <c r="I36" s="600">
        <v>263238.40000000002</v>
      </c>
    </row>
    <row r="37" spans="1:11" x14ac:dyDescent="0.2">
      <c r="A37" s="217">
        <v>140</v>
      </c>
      <c r="B37" s="218">
        <v>260000</v>
      </c>
      <c r="C37" s="218"/>
      <c r="D37" s="218">
        <v>260000</v>
      </c>
      <c r="F37" s="218">
        <v>33</v>
      </c>
      <c r="G37" s="218">
        <v>260000</v>
      </c>
      <c r="H37" s="218"/>
      <c r="I37" s="600">
        <v>260000</v>
      </c>
    </row>
    <row r="38" spans="1:11" x14ac:dyDescent="0.2">
      <c r="A38" s="217">
        <v>17</v>
      </c>
      <c r="B38" s="218"/>
      <c r="C38" s="218">
        <v>250000</v>
      </c>
      <c r="D38" s="218">
        <v>250000</v>
      </c>
      <c r="F38" s="218">
        <v>34</v>
      </c>
      <c r="G38" s="218"/>
      <c r="H38" s="218">
        <v>250000</v>
      </c>
      <c r="I38" s="600">
        <v>250000</v>
      </c>
    </row>
    <row r="39" spans="1:11" x14ac:dyDescent="0.2">
      <c r="A39" s="217">
        <v>108</v>
      </c>
      <c r="B39" s="218">
        <v>250000</v>
      </c>
      <c r="C39" s="218"/>
      <c r="D39" s="218">
        <v>250000</v>
      </c>
      <c r="F39" s="218">
        <v>35</v>
      </c>
      <c r="G39" s="218">
        <v>250000</v>
      </c>
      <c r="H39" s="218"/>
      <c r="I39" s="600">
        <v>250000</v>
      </c>
    </row>
    <row r="40" spans="1:11" x14ac:dyDescent="0.2">
      <c r="A40" s="217">
        <v>111</v>
      </c>
      <c r="B40" s="218"/>
      <c r="C40" s="218">
        <v>250000</v>
      </c>
      <c r="D40" s="218">
        <v>250000</v>
      </c>
      <c r="F40" s="218">
        <v>36</v>
      </c>
      <c r="G40" s="218"/>
      <c r="H40" s="218">
        <v>250000</v>
      </c>
      <c r="I40" s="600">
        <v>250000</v>
      </c>
    </row>
    <row r="41" spans="1:11" x14ac:dyDescent="0.2">
      <c r="A41" s="217">
        <v>132</v>
      </c>
      <c r="B41" s="218"/>
      <c r="C41" s="218">
        <v>250000</v>
      </c>
      <c r="D41" s="218">
        <v>250000</v>
      </c>
      <c r="F41" s="218">
        <v>37</v>
      </c>
      <c r="G41" s="218"/>
      <c r="H41" s="218">
        <v>250000</v>
      </c>
      <c r="I41" s="600">
        <v>250000</v>
      </c>
    </row>
    <row r="42" spans="1:11" x14ac:dyDescent="0.2">
      <c r="A42" s="217">
        <v>112</v>
      </c>
      <c r="B42" s="218"/>
      <c r="C42" s="218">
        <v>240000</v>
      </c>
      <c r="D42" s="218">
        <v>240000</v>
      </c>
      <c r="F42" s="218">
        <v>38</v>
      </c>
      <c r="G42" s="218"/>
      <c r="H42" s="218">
        <v>240000</v>
      </c>
      <c r="I42" s="600">
        <v>240000</v>
      </c>
    </row>
    <row r="43" spans="1:11" x14ac:dyDescent="0.2">
      <c r="A43" s="217">
        <v>9</v>
      </c>
      <c r="B43" s="218">
        <v>239000</v>
      </c>
      <c r="C43" s="218"/>
      <c r="D43" s="218">
        <v>239000</v>
      </c>
      <c r="F43" s="218">
        <v>39</v>
      </c>
      <c r="G43" s="218">
        <v>239000</v>
      </c>
      <c r="H43" s="218"/>
      <c r="I43" s="600">
        <v>239000</v>
      </c>
    </row>
    <row r="44" spans="1:11" x14ac:dyDescent="0.2">
      <c r="A44" s="217">
        <v>34</v>
      </c>
      <c r="B44" s="218"/>
      <c r="C44" s="218">
        <v>236000</v>
      </c>
      <c r="D44" s="218">
        <v>236000</v>
      </c>
      <c r="F44" s="218">
        <v>40</v>
      </c>
      <c r="G44" s="218"/>
      <c r="H44" s="218">
        <v>236000</v>
      </c>
      <c r="I44" s="600">
        <v>236000</v>
      </c>
    </row>
    <row r="45" spans="1:11" x14ac:dyDescent="0.2">
      <c r="A45" s="217">
        <v>4</v>
      </c>
      <c r="B45" s="218">
        <v>225000</v>
      </c>
      <c r="C45" s="218"/>
      <c r="D45" s="218">
        <v>225000</v>
      </c>
      <c r="F45" s="218">
        <v>41</v>
      </c>
      <c r="G45" s="218">
        <v>225000</v>
      </c>
      <c r="H45" s="218"/>
      <c r="I45" s="600">
        <v>225000</v>
      </c>
    </row>
    <row r="46" spans="1:11" x14ac:dyDescent="0.2">
      <c r="A46" s="217">
        <v>130</v>
      </c>
      <c r="B46" s="218">
        <v>224000</v>
      </c>
      <c r="C46" s="218"/>
      <c r="D46" s="218">
        <v>224000</v>
      </c>
      <c r="F46" s="218">
        <v>42</v>
      </c>
      <c r="G46" s="218">
        <v>224000</v>
      </c>
      <c r="H46" s="218"/>
      <c r="I46" s="600">
        <v>224000</v>
      </c>
    </row>
    <row r="47" spans="1:11" x14ac:dyDescent="0.2">
      <c r="A47" s="217">
        <v>128</v>
      </c>
      <c r="B47" s="218">
        <v>215000</v>
      </c>
      <c r="C47" s="218"/>
      <c r="D47" s="218">
        <v>215000</v>
      </c>
      <c r="F47" s="218">
        <v>43</v>
      </c>
      <c r="G47" s="218">
        <v>215000</v>
      </c>
      <c r="H47" s="218"/>
      <c r="I47" s="600">
        <v>215000</v>
      </c>
    </row>
    <row r="48" spans="1:11" x14ac:dyDescent="0.2">
      <c r="A48" s="217">
        <v>28</v>
      </c>
      <c r="B48" s="218"/>
      <c r="C48" s="218">
        <v>202300</v>
      </c>
      <c r="D48" s="218">
        <v>202300</v>
      </c>
      <c r="F48" s="218">
        <v>44</v>
      </c>
      <c r="G48" s="218"/>
      <c r="H48" s="218">
        <v>202300</v>
      </c>
      <c r="I48" s="600">
        <v>202300</v>
      </c>
    </row>
    <row r="49" spans="1:9" x14ac:dyDescent="0.2">
      <c r="A49" s="217">
        <v>5</v>
      </c>
      <c r="B49" s="218">
        <v>200000</v>
      </c>
      <c r="C49" s="218"/>
      <c r="D49" s="218">
        <v>200000</v>
      </c>
      <c r="F49" s="218">
        <v>45</v>
      </c>
      <c r="G49" s="218">
        <v>200000</v>
      </c>
      <c r="H49" s="218"/>
      <c r="I49" s="600">
        <v>200000</v>
      </c>
    </row>
    <row r="50" spans="1:9" x14ac:dyDescent="0.2">
      <c r="A50" s="217">
        <v>57</v>
      </c>
      <c r="B50" s="218"/>
      <c r="C50" s="218">
        <v>200000</v>
      </c>
      <c r="D50" s="218">
        <v>200000</v>
      </c>
      <c r="F50" s="218">
        <v>46</v>
      </c>
      <c r="G50" s="218"/>
      <c r="H50" s="218">
        <v>200000</v>
      </c>
      <c r="I50" s="600">
        <v>200000</v>
      </c>
    </row>
    <row r="51" spans="1:9" x14ac:dyDescent="0.2">
      <c r="A51" s="217">
        <v>3</v>
      </c>
      <c r="B51" s="218">
        <v>200000</v>
      </c>
      <c r="C51" s="218"/>
      <c r="D51" s="218">
        <v>200000</v>
      </c>
      <c r="F51" s="218">
        <v>47</v>
      </c>
      <c r="G51" s="218">
        <v>200000</v>
      </c>
      <c r="H51" s="218"/>
      <c r="I51" s="600">
        <v>200000</v>
      </c>
    </row>
    <row r="52" spans="1:9" x14ac:dyDescent="0.2">
      <c r="A52" s="217">
        <v>38</v>
      </c>
      <c r="B52" s="218"/>
      <c r="C52" s="218">
        <v>200000</v>
      </c>
      <c r="D52" s="218">
        <v>200000</v>
      </c>
      <c r="F52" s="218">
        <v>48</v>
      </c>
      <c r="G52" s="218"/>
      <c r="H52" s="218">
        <v>200000</v>
      </c>
      <c r="I52" s="600">
        <v>200000</v>
      </c>
    </row>
    <row r="53" spans="1:9" x14ac:dyDescent="0.2">
      <c r="A53" s="217">
        <v>40</v>
      </c>
      <c r="B53" s="218"/>
      <c r="C53" s="218">
        <v>200000</v>
      </c>
      <c r="D53" s="218">
        <v>200000</v>
      </c>
      <c r="F53" s="218">
        <v>49</v>
      </c>
      <c r="G53" s="218"/>
      <c r="H53" s="218">
        <v>200000</v>
      </c>
      <c r="I53" s="600">
        <v>200000</v>
      </c>
    </row>
    <row r="54" spans="1:9" x14ac:dyDescent="0.2">
      <c r="A54" s="217">
        <v>48</v>
      </c>
      <c r="B54" s="218"/>
      <c r="C54" s="218">
        <v>200000</v>
      </c>
      <c r="D54" s="218">
        <v>200000</v>
      </c>
      <c r="F54" s="218">
        <v>50</v>
      </c>
      <c r="G54" s="218"/>
      <c r="H54" s="218">
        <v>200000</v>
      </c>
      <c r="I54" s="600">
        <v>200000</v>
      </c>
    </row>
    <row r="55" spans="1:9" x14ac:dyDescent="0.2">
      <c r="A55" s="217">
        <v>50</v>
      </c>
      <c r="B55" s="218"/>
      <c r="C55" s="218">
        <v>198000</v>
      </c>
      <c r="D55" s="218">
        <v>198000</v>
      </c>
      <c r="F55" s="218">
        <v>51</v>
      </c>
      <c r="G55" s="218"/>
      <c r="H55" s="218">
        <v>198000</v>
      </c>
      <c r="I55" s="600">
        <v>198000</v>
      </c>
    </row>
    <row r="56" spans="1:9" x14ac:dyDescent="0.2">
      <c r="A56" s="217">
        <v>68</v>
      </c>
      <c r="B56" s="218"/>
      <c r="C56" s="218">
        <v>197000</v>
      </c>
      <c r="D56" s="218">
        <v>197000</v>
      </c>
      <c r="F56" s="218">
        <v>52</v>
      </c>
      <c r="G56" s="218"/>
      <c r="H56" s="218">
        <v>197000</v>
      </c>
      <c r="I56" s="600">
        <v>197000</v>
      </c>
    </row>
    <row r="57" spans="1:9" x14ac:dyDescent="0.2">
      <c r="A57" s="217">
        <v>14</v>
      </c>
      <c r="B57" s="218">
        <v>196600</v>
      </c>
      <c r="C57" s="218"/>
      <c r="D57" s="218">
        <v>196600</v>
      </c>
      <c r="F57" s="218">
        <v>53</v>
      </c>
      <c r="G57" s="218">
        <v>196600</v>
      </c>
      <c r="H57" s="218"/>
      <c r="I57" s="600">
        <v>196600</v>
      </c>
    </row>
    <row r="58" spans="1:9" x14ac:dyDescent="0.2">
      <c r="A58" s="217">
        <v>74</v>
      </c>
      <c r="B58" s="218">
        <v>196000</v>
      </c>
      <c r="C58" s="218"/>
      <c r="D58" s="218">
        <v>196000</v>
      </c>
      <c r="F58" s="218">
        <v>54</v>
      </c>
      <c r="G58" s="218">
        <v>196000</v>
      </c>
      <c r="H58" s="218"/>
      <c r="I58" s="600">
        <v>196000</v>
      </c>
    </row>
    <row r="59" spans="1:9" x14ac:dyDescent="0.2">
      <c r="A59" s="217">
        <v>117</v>
      </c>
      <c r="B59" s="218"/>
      <c r="C59" s="218">
        <v>190000</v>
      </c>
      <c r="D59" s="218">
        <v>190000</v>
      </c>
      <c r="F59" s="218">
        <v>55</v>
      </c>
      <c r="G59" s="218"/>
      <c r="H59" s="218">
        <v>190000</v>
      </c>
      <c r="I59" s="600">
        <v>190000</v>
      </c>
    </row>
    <row r="60" spans="1:9" x14ac:dyDescent="0.2">
      <c r="A60" s="217">
        <v>85</v>
      </c>
      <c r="B60" s="218">
        <v>190000</v>
      </c>
      <c r="C60" s="218"/>
      <c r="D60" s="218">
        <v>190000</v>
      </c>
      <c r="F60" s="218">
        <v>56</v>
      </c>
      <c r="G60" s="218">
        <v>190000</v>
      </c>
      <c r="H60" s="218"/>
      <c r="I60" s="600">
        <v>190000</v>
      </c>
    </row>
    <row r="61" spans="1:9" x14ac:dyDescent="0.2">
      <c r="A61" s="217">
        <v>31</v>
      </c>
      <c r="B61" s="218"/>
      <c r="C61" s="218">
        <v>173900</v>
      </c>
      <c r="D61" s="218">
        <v>173900</v>
      </c>
      <c r="F61" s="218">
        <v>57</v>
      </c>
      <c r="G61" s="218"/>
      <c r="H61" s="218">
        <v>173900</v>
      </c>
      <c r="I61" s="600">
        <v>173900</v>
      </c>
    </row>
    <row r="62" spans="1:9" x14ac:dyDescent="0.2">
      <c r="A62" s="217">
        <v>33</v>
      </c>
      <c r="B62" s="218"/>
      <c r="C62" s="218">
        <v>162000</v>
      </c>
      <c r="D62" s="218">
        <v>162000</v>
      </c>
      <c r="F62" s="218">
        <v>58</v>
      </c>
      <c r="G62" s="218"/>
      <c r="H62" s="218">
        <v>162000</v>
      </c>
      <c r="I62" s="600">
        <v>162000</v>
      </c>
    </row>
    <row r="63" spans="1:9" x14ac:dyDescent="0.2">
      <c r="A63" s="217">
        <v>123</v>
      </c>
      <c r="B63" s="218"/>
      <c r="C63" s="218">
        <v>160000</v>
      </c>
      <c r="D63" s="218">
        <v>160000</v>
      </c>
      <c r="F63" s="218">
        <v>59</v>
      </c>
      <c r="G63" s="218"/>
      <c r="H63" s="218">
        <v>160000</v>
      </c>
      <c r="I63" s="600">
        <v>160000</v>
      </c>
    </row>
    <row r="64" spans="1:9" x14ac:dyDescent="0.2">
      <c r="A64" s="217">
        <v>53</v>
      </c>
      <c r="B64" s="218">
        <v>155000</v>
      </c>
      <c r="C64" s="218"/>
      <c r="D64" s="218">
        <v>155000</v>
      </c>
      <c r="F64" s="218">
        <v>60</v>
      </c>
      <c r="G64" s="218">
        <v>155000</v>
      </c>
      <c r="H64" s="218"/>
      <c r="I64" s="600">
        <v>155000</v>
      </c>
    </row>
    <row r="65" spans="1:11" x14ac:dyDescent="0.2">
      <c r="A65" s="217">
        <v>133</v>
      </c>
      <c r="B65" s="218"/>
      <c r="C65" s="218">
        <v>150000</v>
      </c>
      <c r="D65" s="218">
        <v>150000</v>
      </c>
      <c r="F65" s="218">
        <v>61</v>
      </c>
      <c r="G65" s="218"/>
      <c r="H65" s="218">
        <v>150000</v>
      </c>
      <c r="I65" s="600">
        <v>150000</v>
      </c>
    </row>
    <row r="66" spans="1:11" x14ac:dyDescent="0.2">
      <c r="A66" s="217">
        <v>105</v>
      </c>
      <c r="B66" s="218"/>
      <c r="C66" s="218">
        <v>150000</v>
      </c>
      <c r="D66" s="218">
        <v>150000</v>
      </c>
      <c r="F66" s="218">
        <v>62</v>
      </c>
      <c r="G66" s="218"/>
      <c r="H66" s="218">
        <v>150000</v>
      </c>
      <c r="I66" s="600">
        <v>150000</v>
      </c>
    </row>
    <row r="67" spans="1:11" x14ac:dyDescent="0.2">
      <c r="A67" s="217">
        <v>46</v>
      </c>
      <c r="B67" s="218"/>
      <c r="C67" s="218">
        <v>150000</v>
      </c>
      <c r="D67" s="218">
        <v>150000</v>
      </c>
      <c r="F67" s="218">
        <v>63</v>
      </c>
      <c r="G67" s="218"/>
      <c r="H67" s="218">
        <v>150000</v>
      </c>
      <c r="I67" s="600">
        <v>150000</v>
      </c>
    </row>
    <row r="68" spans="1:11" x14ac:dyDescent="0.2">
      <c r="A68" s="217">
        <v>44</v>
      </c>
      <c r="B68" s="218"/>
      <c r="C68" s="218">
        <v>149657</v>
      </c>
      <c r="D68" s="218">
        <v>149657</v>
      </c>
      <c r="F68" s="218">
        <v>64</v>
      </c>
      <c r="G68" s="218"/>
      <c r="H68" s="218">
        <v>149657</v>
      </c>
      <c r="I68" s="600">
        <v>149657</v>
      </c>
    </row>
    <row r="69" spans="1:11" x14ac:dyDescent="0.2">
      <c r="A69" s="217">
        <v>23</v>
      </c>
      <c r="B69" s="218"/>
      <c r="C69" s="218">
        <v>145000</v>
      </c>
      <c r="D69" s="218">
        <v>145000</v>
      </c>
      <c r="F69" s="218">
        <v>65</v>
      </c>
      <c r="G69" s="218"/>
      <c r="H69" s="218">
        <v>145000</v>
      </c>
      <c r="I69" s="600">
        <v>145000</v>
      </c>
    </row>
    <row r="70" spans="1:11" x14ac:dyDescent="0.2">
      <c r="A70" s="217">
        <v>89</v>
      </c>
      <c r="B70" s="218">
        <v>133000</v>
      </c>
      <c r="C70" s="218"/>
      <c r="D70" s="218">
        <v>133000</v>
      </c>
      <c r="F70" s="218">
        <v>66</v>
      </c>
      <c r="G70" s="218">
        <v>133000</v>
      </c>
      <c r="H70" s="218"/>
      <c r="I70" s="600">
        <v>133000</v>
      </c>
    </row>
    <row r="71" spans="1:11" x14ac:dyDescent="0.2">
      <c r="A71" s="217">
        <v>12</v>
      </c>
      <c r="B71" s="218"/>
      <c r="C71" s="218">
        <v>130000</v>
      </c>
      <c r="D71" s="218">
        <v>130000</v>
      </c>
      <c r="F71" s="218">
        <v>67</v>
      </c>
      <c r="G71" s="218"/>
      <c r="H71" s="218">
        <v>130000</v>
      </c>
      <c r="I71" s="600">
        <v>130000</v>
      </c>
    </row>
    <row r="72" spans="1:11" x14ac:dyDescent="0.2">
      <c r="A72" s="217">
        <v>87</v>
      </c>
      <c r="B72" s="218"/>
      <c r="C72" s="218">
        <v>125000</v>
      </c>
      <c r="D72" s="218">
        <v>125000</v>
      </c>
      <c r="F72" s="218">
        <v>68</v>
      </c>
      <c r="G72" s="218"/>
      <c r="H72" s="218">
        <v>125000</v>
      </c>
      <c r="I72" s="600">
        <v>125000</v>
      </c>
    </row>
    <row r="73" spans="1:11" x14ac:dyDescent="0.2">
      <c r="A73" s="217">
        <v>100</v>
      </c>
      <c r="B73" s="218">
        <v>120000</v>
      </c>
      <c r="C73" s="218"/>
      <c r="D73" s="218">
        <v>120000</v>
      </c>
      <c r="F73" s="218">
        <v>69</v>
      </c>
      <c r="G73" s="218">
        <v>120000</v>
      </c>
      <c r="H73" s="218"/>
      <c r="I73" s="600">
        <v>120000</v>
      </c>
    </row>
    <row r="74" spans="1:11" x14ac:dyDescent="0.2">
      <c r="A74" s="217">
        <v>51</v>
      </c>
      <c r="B74" s="218">
        <v>119000</v>
      </c>
      <c r="C74" s="218"/>
      <c r="D74" s="218">
        <v>119000</v>
      </c>
      <c r="F74" s="218">
        <v>70</v>
      </c>
      <c r="G74" s="218">
        <v>119000</v>
      </c>
      <c r="H74" s="218"/>
      <c r="I74" s="600">
        <v>119000</v>
      </c>
      <c r="K74">
        <f>34/50</f>
        <v>0.68</v>
      </c>
    </row>
    <row r="75" spans="1:11" x14ac:dyDescent="0.2">
      <c r="A75" s="217">
        <v>37</v>
      </c>
      <c r="B75" s="218">
        <v>105000</v>
      </c>
      <c r="C75" s="218"/>
      <c r="D75" s="218">
        <v>105000</v>
      </c>
      <c r="F75" s="218">
        <v>71</v>
      </c>
      <c r="G75" s="218">
        <v>105000</v>
      </c>
      <c r="H75" s="218"/>
      <c r="I75" s="600">
        <v>105000</v>
      </c>
    </row>
    <row r="76" spans="1:11" x14ac:dyDescent="0.2">
      <c r="A76" s="217">
        <v>43</v>
      </c>
      <c r="B76" s="218"/>
      <c r="C76" s="218">
        <v>102545</v>
      </c>
      <c r="D76" s="218">
        <v>102545</v>
      </c>
      <c r="F76" s="218">
        <v>72</v>
      </c>
      <c r="G76" s="218"/>
      <c r="H76" s="218">
        <v>102545</v>
      </c>
      <c r="I76" s="600">
        <v>102545</v>
      </c>
    </row>
    <row r="77" spans="1:11" x14ac:dyDescent="0.2">
      <c r="A77" s="217">
        <v>39</v>
      </c>
      <c r="B77" s="218"/>
      <c r="C77" s="218">
        <v>101000</v>
      </c>
      <c r="D77" s="218">
        <v>101000</v>
      </c>
      <c r="F77" s="218">
        <v>73</v>
      </c>
      <c r="G77" s="218"/>
      <c r="H77" s="218">
        <v>101000</v>
      </c>
      <c r="I77" s="600">
        <v>101000</v>
      </c>
    </row>
    <row r="78" spans="1:11" x14ac:dyDescent="0.2">
      <c r="A78" s="217">
        <v>102</v>
      </c>
      <c r="B78" s="218">
        <v>100000</v>
      </c>
      <c r="C78" s="218"/>
      <c r="D78" s="218">
        <v>100000</v>
      </c>
      <c r="F78" s="218">
        <v>74</v>
      </c>
      <c r="G78" s="218">
        <v>100000</v>
      </c>
      <c r="H78" s="218"/>
      <c r="I78" s="600">
        <v>100000</v>
      </c>
    </row>
    <row r="79" spans="1:11" x14ac:dyDescent="0.2">
      <c r="A79" s="217">
        <v>86</v>
      </c>
      <c r="B79" s="218"/>
      <c r="C79" s="218">
        <v>100000</v>
      </c>
      <c r="D79" s="218">
        <v>100000</v>
      </c>
      <c r="F79" s="218">
        <v>75</v>
      </c>
      <c r="G79" s="218"/>
      <c r="H79" s="218">
        <v>100000</v>
      </c>
      <c r="I79" s="600">
        <v>100000</v>
      </c>
    </row>
    <row r="80" spans="1:11" x14ac:dyDescent="0.2">
      <c r="A80" s="217">
        <v>96</v>
      </c>
      <c r="B80" s="218">
        <v>100000</v>
      </c>
      <c r="C80" s="218"/>
      <c r="D80" s="218">
        <v>100000</v>
      </c>
      <c r="F80" s="218">
        <v>76</v>
      </c>
      <c r="G80" s="218">
        <v>100000</v>
      </c>
      <c r="H80" s="218"/>
      <c r="I80" s="600">
        <v>100000</v>
      </c>
    </row>
    <row r="81" spans="1:9" x14ac:dyDescent="0.2">
      <c r="A81" s="217">
        <v>58</v>
      </c>
      <c r="B81" s="218"/>
      <c r="C81" s="218">
        <v>100000</v>
      </c>
      <c r="D81" s="218">
        <v>100000</v>
      </c>
      <c r="F81" s="218">
        <v>77</v>
      </c>
      <c r="G81" s="218"/>
      <c r="H81" s="218">
        <v>100000</v>
      </c>
      <c r="I81" s="600">
        <v>100000</v>
      </c>
    </row>
    <row r="82" spans="1:9" x14ac:dyDescent="0.2">
      <c r="A82" s="217">
        <v>77</v>
      </c>
      <c r="B82" s="218">
        <v>98000</v>
      </c>
      <c r="C82" s="218"/>
      <c r="D82" s="218">
        <v>98000</v>
      </c>
      <c r="F82" s="218">
        <v>78</v>
      </c>
      <c r="G82" s="218">
        <v>98000</v>
      </c>
      <c r="H82" s="218"/>
      <c r="I82" s="218">
        <v>98000</v>
      </c>
    </row>
    <row r="83" spans="1:9" x14ac:dyDescent="0.2">
      <c r="A83" s="217">
        <v>65</v>
      </c>
      <c r="B83" s="218"/>
      <c r="C83" s="218">
        <v>97000</v>
      </c>
      <c r="D83" s="218">
        <v>97000</v>
      </c>
      <c r="F83" s="218">
        <v>79</v>
      </c>
      <c r="G83" s="218"/>
      <c r="H83" s="218">
        <v>97000</v>
      </c>
      <c r="I83" s="218">
        <v>97000</v>
      </c>
    </row>
    <row r="84" spans="1:9" x14ac:dyDescent="0.2">
      <c r="A84" s="217">
        <v>76</v>
      </c>
      <c r="B84" s="218">
        <v>95000</v>
      </c>
      <c r="C84" s="218"/>
      <c r="D84" s="218">
        <v>95000</v>
      </c>
      <c r="F84" s="218">
        <v>80</v>
      </c>
      <c r="G84" s="218">
        <v>95000</v>
      </c>
      <c r="H84" s="218"/>
      <c r="I84" s="218">
        <v>95000</v>
      </c>
    </row>
    <row r="85" spans="1:9" x14ac:dyDescent="0.2">
      <c r="A85" s="217">
        <v>24</v>
      </c>
      <c r="B85" s="218">
        <v>91650</v>
      </c>
      <c r="C85" s="218"/>
      <c r="D85" s="218">
        <v>91650</v>
      </c>
      <c r="F85" s="218">
        <v>81</v>
      </c>
      <c r="G85" s="218">
        <v>91650</v>
      </c>
      <c r="H85" s="218"/>
      <c r="I85" s="218">
        <v>91650</v>
      </c>
    </row>
    <row r="86" spans="1:9" x14ac:dyDescent="0.2">
      <c r="A86" s="217">
        <v>45</v>
      </c>
      <c r="B86" s="218"/>
      <c r="C86" s="218">
        <v>90120</v>
      </c>
      <c r="D86" s="218">
        <v>90120</v>
      </c>
      <c r="F86" s="218">
        <v>82</v>
      </c>
      <c r="G86" s="218"/>
      <c r="H86" s="218">
        <v>90120</v>
      </c>
      <c r="I86" s="218">
        <v>90120</v>
      </c>
    </row>
    <row r="87" spans="1:9" x14ac:dyDescent="0.2">
      <c r="A87" s="217">
        <v>97</v>
      </c>
      <c r="B87" s="218"/>
      <c r="C87" s="218">
        <v>90000</v>
      </c>
      <c r="D87" s="218">
        <v>90000</v>
      </c>
      <c r="F87" s="218">
        <v>83</v>
      </c>
      <c r="G87" s="218"/>
      <c r="H87" s="218">
        <v>90000</v>
      </c>
      <c r="I87" s="218">
        <v>90000</v>
      </c>
    </row>
    <row r="88" spans="1:9" x14ac:dyDescent="0.2">
      <c r="A88" s="217">
        <v>8</v>
      </c>
      <c r="B88" s="218">
        <v>90000</v>
      </c>
      <c r="C88" s="218"/>
      <c r="D88" s="218">
        <v>90000</v>
      </c>
      <c r="F88" s="218">
        <v>84</v>
      </c>
      <c r="G88" s="218">
        <v>90000</v>
      </c>
      <c r="H88" s="218"/>
      <c r="I88" s="218">
        <v>90000</v>
      </c>
    </row>
    <row r="89" spans="1:9" x14ac:dyDescent="0.2">
      <c r="A89" s="217">
        <v>80</v>
      </c>
      <c r="B89" s="218">
        <v>90000</v>
      </c>
      <c r="C89" s="218"/>
      <c r="D89" s="218">
        <v>90000</v>
      </c>
      <c r="F89" s="218">
        <v>85</v>
      </c>
      <c r="G89" s="218">
        <v>90000</v>
      </c>
      <c r="H89" s="218"/>
      <c r="I89" s="218">
        <v>90000</v>
      </c>
    </row>
    <row r="90" spans="1:9" x14ac:dyDescent="0.2">
      <c r="A90" s="217">
        <v>27</v>
      </c>
      <c r="B90" s="218">
        <v>88166</v>
      </c>
      <c r="C90" s="218"/>
      <c r="D90" s="218">
        <v>88166</v>
      </c>
      <c r="F90" s="218">
        <v>86</v>
      </c>
      <c r="G90" s="218">
        <v>88166</v>
      </c>
      <c r="H90" s="218"/>
      <c r="I90" s="218">
        <v>88166</v>
      </c>
    </row>
    <row r="91" spans="1:9" x14ac:dyDescent="0.2">
      <c r="A91" s="217">
        <v>91</v>
      </c>
      <c r="B91" s="218">
        <v>85000</v>
      </c>
      <c r="C91" s="218"/>
      <c r="D91" s="218">
        <v>85000</v>
      </c>
      <c r="F91" s="218">
        <v>87</v>
      </c>
      <c r="G91" s="218">
        <v>85000</v>
      </c>
      <c r="H91" s="218"/>
      <c r="I91" s="218">
        <v>85000</v>
      </c>
    </row>
    <row r="92" spans="1:9" x14ac:dyDescent="0.2">
      <c r="A92" s="217">
        <v>62</v>
      </c>
      <c r="B92" s="218"/>
      <c r="C92" s="218">
        <v>85000</v>
      </c>
      <c r="D92" s="218">
        <v>85000</v>
      </c>
      <c r="F92" s="218">
        <v>88</v>
      </c>
      <c r="G92" s="218"/>
      <c r="H92" s="218">
        <v>85000</v>
      </c>
      <c r="I92" s="218">
        <v>85000</v>
      </c>
    </row>
    <row r="93" spans="1:9" x14ac:dyDescent="0.2">
      <c r="A93" s="217">
        <v>75</v>
      </c>
      <c r="B93" s="218">
        <v>83000</v>
      </c>
      <c r="C93" s="218"/>
      <c r="D93" s="218">
        <v>83000</v>
      </c>
      <c r="F93" s="218">
        <v>89</v>
      </c>
      <c r="G93" s="218">
        <v>83000</v>
      </c>
      <c r="H93" s="218"/>
      <c r="I93" s="218">
        <v>83000</v>
      </c>
    </row>
    <row r="94" spans="1:9" x14ac:dyDescent="0.2">
      <c r="A94" s="217">
        <v>82</v>
      </c>
      <c r="B94" s="218"/>
      <c r="C94" s="218">
        <v>81000</v>
      </c>
      <c r="D94" s="218">
        <v>81000</v>
      </c>
      <c r="F94" s="218">
        <v>90</v>
      </c>
      <c r="G94" s="218"/>
      <c r="H94" s="218">
        <v>81000</v>
      </c>
      <c r="I94" s="218">
        <v>81000</v>
      </c>
    </row>
    <row r="95" spans="1:9" x14ac:dyDescent="0.2">
      <c r="A95" s="217">
        <v>124</v>
      </c>
      <c r="B95" s="218">
        <v>80000</v>
      </c>
      <c r="C95" s="218"/>
      <c r="D95" s="218">
        <v>80000</v>
      </c>
      <c r="F95" s="218">
        <v>91</v>
      </c>
      <c r="G95" s="218">
        <v>80000</v>
      </c>
      <c r="H95" s="218"/>
      <c r="I95" s="218">
        <v>80000</v>
      </c>
    </row>
    <row r="96" spans="1:9" x14ac:dyDescent="0.2">
      <c r="A96" s="217">
        <v>88</v>
      </c>
      <c r="B96" s="218"/>
      <c r="C96" s="218">
        <v>80000</v>
      </c>
      <c r="D96" s="218">
        <v>80000</v>
      </c>
      <c r="F96" s="218">
        <v>92</v>
      </c>
      <c r="G96" s="218"/>
      <c r="H96" s="218">
        <v>80000</v>
      </c>
      <c r="I96" s="218">
        <v>80000</v>
      </c>
    </row>
    <row r="97" spans="1:9" x14ac:dyDescent="0.2">
      <c r="A97" s="217">
        <v>1</v>
      </c>
      <c r="B97" s="218">
        <v>78846.600000000006</v>
      </c>
      <c r="C97" s="218"/>
      <c r="D97" s="218">
        <v>78846.600000000006</v>
      </c>
      <c r="F97" s="218">
        <v>93</v>
      </c>
      <c r="G97" s="218">
        <v>78846.600000000006</v>
      </c>
      <c r="H97" s="218"/>
      <c r="I97" s="218">
        <v>78846.600000000006</v>
      </c>
    </row>
    <row r="98" spans="1:9" x14ac:dyDescent="0.2">
      <c r="A98" s="217">
        <v>25</v>
      </c>
      <c r="B98" s="218"/>
      <c r="C98" s="218">
        <v>78000</v>
      </c>
      <c r="D98" s="218">
        <v>78000</v>
      </c>
      <c r="F98" s="218">
        <v>94</v>
      </c>
      <c r="G98" s="218"/>
      <c r="H98" s="218">
        <v>78000</v>
      </c>
      <c r="I98" s="218">
        <v>78000</v>
      </c>
    </row>
    <row r="99" spans="1:9" x14ac:dyDescent="0.2">
      <c r="A99" s="217">
        <v>110</v>
      </c>
      <c r="B99" s="218">
        <v>75000</v>
      </c>
      <c r="C99" s="218"/>
      <c r="D99" s="218">
        <v>75000</v>
      </c>
      <c r="F99" s="218">
        <v>95</v>
      </c>
      <c r="G99" s="218">
        <v>75000</v>
      </c>
      <c r="H99" s="218"/>
      <c r="I99" s="218">
        <v>75000</v>
      </c>
    </row>
    <row r="100" spans="1:9" x14ac:dyDescent="0.2">
      <c r="A100" s="217">
        <v>52</v>
      </c>
      <c r="B100" s="218">
        <v>74000</v>
      </c>
      <c r="C100" s="218"/>
      <c r="D100" s="218">
        <v>74000</v>
      </c>
      <c r="F100" s="218">
        <v>96</v>
      </c>
      <c r="G100" s="218">
        <v>74000</v>
      </c>
      <c r="H100" s="218"/>
      <c r="I100" s="218">
        <v>74000</v>
      </c>
    </row>
    <row r="101" spans="1:9" x14ac:dyDescent="0.2">
      <c r="A101" s="217">
        <v>81</v>
      </c>
      <c r="B101" s="218">
        <v>70000</v>
      </c>
      <c r="C101" s="218"/>
      <c r="D101" s="218">
        <v>70000</v>
      </c>
      <c r="F101" s="218">
        <v>97</v>
      </c>
      <c r="G101" s="218">
        <v>70000</v>
      </c>
      <c r="H101" s="218"/>
      <c r="I101" s="218">
        <v>70000</v>
      </c>
    </row>
    <row r="102" spans="1:9" x14ac:dyDescent="0.2">
      <c r="A102" s="217">
        <v>84</v>
      </c>
      <c r="B102" s="218">
        <v>70000</v>
      </c>
      <c r="C102" s="218"/>
      <c r="D102" s="218">
        <v>70000</v>
      </c>
      <c r="F102" s="218">
        <v>98</v>
      </c>
      <c r="G102" s="218">
        <v>70000</v>
      </c>
      <c r="H102" s="218"/>
      <c r="I102" s="218">
        <v>70000</v>
      </c>
    </row>
    <row r="103" spans="1:9" x14ac:dyDescent="0.2">
      <c r="A103" s="217">
        <v>95</v>
      </c>
      <c r="B103" s="218">
        <v>70000</v>
      </c>
      <c r="C103" s="218"/>
      <c r="D103" s="218">
        <v>70000</v>
      </c>
      <c r="F103" s="218">
        <v>99</v>
      </c>
      <c r="G103" s="218">
        <v>70000</v>
      </c>
      <c r="H103" s="218"/>
      <c r="I103" s="218">
        <v>70000</v>
      </c>
    </row>
    <row r="104" spans="1:9" x14ac:dyDescent="0.2">
      <c r="A104" s="217">
        <v>78</v>
      </c>
      <c r="B104" s="218"/>
      <c r="C104" s="218">
        <v>70000</v>
      </c>
      <c r="D104" s="218">
        <v>70000</v>
      </c>
      <c r="F104" s="218">
        <v>100</v>
      </c>
      <c r="G104" s="218"/>
      <c r="H104" s="218">
        <v>70000</v>
      </c>
      <c r="I104" s="218">
        <v>70000</v>
      </c>
    </row>
    <row r="105" spans="1:9" x14ac:dyDescent="0.2">
      <c r="A105" s="217">
        <v>66</v>
      </c>
      <c r="B105" s="218">
        <v>67000</v>
      </c>
      <c r="C105" s="218"/>
      <c r="D105" s="218">
        <v>67000</v>
      </c>
      <c r="F105" s="218">
        <v>101</v>
      </c>
      <c r="G105" s="218">
        <v>67000</v>
      </c>
      <c r="H105" s="218"/>
      <c r="I105" s="218">
        <v>67000</v>
      </c>
    </row>
    <row r="106" spans="1:9" x14ac:dyDescent="0.2">
      <c r="A106" s="217">
        <v>109</v>
      </c>
      <c r="B106" s="218"/>
      <c r="C106" s="218">
        <v>66000</v>
      </c>
      <c r="D106" s="218">
        <v>66000</v>
      </c>
      <c r="F106" s="218">
        <v>102</v>
      </c>
      <c r="G106" s="218"/>
      <c r="H106" s="218">
        <v>66000</v>
      </c>
      <c r="I106" s="218">
        <v>66000</v>
      </c>
    </row>
    <row r="107" spans="1:9" x14ac:dyDescent="0.2">
      <c r="A107" s="217">
        <v>99</v>
      </c>
      <c r="B107" s="218">
        <v>66000</v>
      </c>
      <c r="C107" s="218"/>
      <c r="D107" s="218">
        <v>66000</v>
      </c>
      <c r="F107" s="218">
        <v>103</v>
      </c>
      <c r="G107" s="218">
        <v>66000</v>
      </c>
      <c r="H107" s="218"/>
      <c r="I107" s="218">
        <v>66000</v>
      </c>
    </row>
    <row r="108" spans="1:9" x14ac:dyDescent="0.2">
      <c r="A108" s="217">
        <v>83</v>
      </c>
      <c r="B108" s="218">
        <v>60000</v>
      </c>
      <c r="C108" s="218"/>
      <c r="D108" s="218">
        <v>60000</v>
      </c>
      <c r="F108" s="218">
        <v>104</v>
      </c>
      <c r="G108" s="218">
        <v>60000</v>
      </c>
      <c r="H108" s="218"/>
      <c r="I108" s="218">
        <v>60000</v>
      </c>
    </row>
    <row r="109" spans="1:9" x14ac:dyDescent="0.2">
      <c r="A109" s="217">
        <v>21</v>
      </c>
      <c r="B109" s="218"/>
      <c r="C109" s="218">
        <v>60000</v>
      </c>
      <c r="D109" s="218">
        <v>60000</v>
      </c>
      <c r="F109" s="218">
        <v>105</v>
      </c>
      <c r="G109" s="218"/>
      <c r="H109" s="218">
        <v>60000</v>
      </c>
      <c r="I109" s="218">
        <v>60000</v>
      </c>
    </row>
    <row r="110" spans="1:9" x14ac:dyDescent="0.2">
      <c r="A110" s="217">
        <v>6</v>
      </c>
      <c r="B110" s="218">
        <v>54000</v>
      </c>
      <c r="C110" s="218"/>
      <c r="D110" s="218">
        <v>54000</v>
      </c>
      <c r="F110" s="218">
        <v>106</v>
      </c>
      <c r="G110" s="218">
        <v>54000</v>
      </c>
      <c r="H110" s="218"/>
      <c r="I110" s="218">
        <v>54000</v>
      </c>
    </row>
    <row r="111" spans="1:9" x14ac:dyDescent="0.2">
      <c r="A111" s="217">
        <v>69</v>
      </c>
      <c r="B111" s="218">
        <v>50000</v>
      </c>
      <c r="C111" s="218"/>
      <c r="D111" s="218">
        <v>50000</v>
      </c>
      <c r="F111" s="218">
        <v>107</v>
      </c>
      <c r="G111" s="218">
        <v>50000</v>
      </c>
      <c r="H111" s="218"/>
      <c r="I111" s="218">
        <v>50000</v>
      </c>
    </row>
    <row r="112" spans="1:9" x14ac:dyDescent="0.2">
      <c r="A112" s="217">
        <v>145</v>
      </c>
      <c r="B112" s="218">
        <v>50000</v>
      </c>
      <c r="C112" s="218"/>
      <c r="D112" s="218">
        <v>50000</v>
      </c>
      <c r="F112" s="218">
        <v>108</v>
      </c>
      <c r="G112" s="218">
        <v>50000</v>
      </c>
      <c r="H112" s="218"/>
      <c r="I112" s="218">
        <v>50000</v>
      </c>
    </row>
    <row r="113" spans="1:12" x14ac:dyDescent="0.2">
      <c r="A113" s="217">
        <v>90</v>
      </c>
      <c r="B113" s="218"/>
      <c r="C113" s="218">
        <v>45000</v>
      </c>
      <c r="D113" s="218">
        <v>45000</v>
      </c>
      <c r="F113" s="218">
        <v>109</v>
      </c>
      <c r="G113" s="218"/>
      <c r="H113" s="218">
        <v>45000</v>
      </c>
      <c r="I113" s="218">
        <v>45000</v>
      </c>
    </row>
    <row r="114" spans="1:12" x14ac:dyDescent="0.2">
      <c r="A114" s="217">
        <v>94</v>
      </c>
      <c r="B114" s="218">
        <v>45000</v>
      </c>
      <c r="C114" s="218"/>
      <c r="D114" s="218">
        <v>45000</v>
      </c>
      <c r="F114" s="218">
        <v>110</v>
      </c>
      <c r="G114" s="218">
        <v>45000</v>
      </c>
      <c r="H114" s="218"/>
      <c r="I114" s="218">
        <v>45000</v>
      </c>
    </row>
    <row r="115" spans="1:12" x14ac:dyDescent="0.2">
      <c r="A115" s="217">
        <v>122</v>
      </c>
      <c r="B115" s="218">
        <v>45000</v>
      </c>
      <c r="C115" s="218"/>
      <c r="D115" s="218">
        <v>45000</v>
      </c>
      <c r="F115" s="218">
        <v>111</v>
      </c>
      <c r="G115" s="218">
        <v>45000</v>
      </c>
      <c r="H115" s="218"/>
      <c r="I115" s="218">
        <v>45000</v>
      </c>
    </row>
    <row r="116" spans="1:12" x14ac:dyDescent="0.2">
      <c r="A116" s="217">
        <v>71</v>
      </c>
      <c r="B116" s="218">
        <v>43000</v>
      </c>
      <c r="C116" s="218"/>
      <c r="D116" s="218">
        <v>43000</v>
      </c>
      <c r="F116" s="218">
        <v>112</v>
      </c>
      <c r="G116" s="218">
        <v>43000</v>
      </c>
      <c r="H116" s="218"/>
      <c r="I116" s="218">
        <v>43000</v>
      </c>
    </row>
    <row r="117" spans="1:12" x14ac:dyDescent="0.2">
      <c r="A117" s="217">
        <v>61</v>
      </c>
      <c r="B117" s="218"/>
      <c r="C117" s="218">
        <v>40053</v>
      </c>
      <c r="D117" s="218">
        <v>40053</v>
      </c>
      <c r="F117" s="218">
        <v>113</v>
      </c>
      <c r="G117" s="218"/>
      <c r="H117" s="218">
        <v>40053</v>
      </c>
      <c r="I117" s="218">
        <v>40053</v>
      </c>
    </row>
    <row r="118" spans="1:12" x14ac:dyDescent="0.2">
      <c r="A118" s="217">
        <v>54</v>
      </c>
      <c r="B118" s="218"/>
      <c r="C118" s="218">
        <v>40000</v>
      </c>
      <c r="D118" s="218">
        <v>40000</v>
      </c>
      <c r="F118" s="218">
        <v>114</v>
      </c>
      <c r="G118" s="218"/>
      <c r="H118" s="218">
        <v>40000</v>
      </c>
      <c r="I118" s="218">
        <v>40000</v>
      </c>
    </row>
    <row r="119" spans="1:12" x14ac:dyDescent="0.2">
      <c r="A119" s="217">
        <v>104</v>
      </c>
      <c r="B119" s="218">
        <v>40000</v>
      </c>
      <c r="C119" s="218"/>
      <c r="D119" s="218">
        <v>40000</v>
      </c>
      <c r="F119" s="218">
        <v>115</v>
      </c>
      <c r="G119" s="218">
        <v>40000</v>
      </c>
      <c r="H119" s="218"/>
      <c r="I119" s="218">
        <v>40000</v>
      </c>
      <c r="L119">
        <f>15/50</f>
        <v>0.3</v>
      </c>
    </row>
    <row r="120" spans="1:12" x14ac:dyDescent="0.2">
      <c r="A120" s="217">
        <v>134</v>
      </c>
      <c r="B120" s="218">
        <v>38000</v>
      </c>
      <c r="C120" s="218"/>
      <c r="D120" s="218">
        <v>38000</v>
      </c>
      <c r="F120" s="218">
        <v>116</v>
      </c>
      <c r="G120" s="218">
        <v>38000</v>
      </c>
      <c r="H120" s="218"/>
      <c r="I120" s="218">
        <v>38000</v>
      </c>
    </row>
    <row r="121" spans="1:12" x14ac:dyDescent="0.2">
      <c r="A121" s="217">
        <v>73</v>
      </c>
      <c r="B121" s="218"/>
      <c r="C121" s="218">
        <v>38000</v>
      </c>
      <c r="D121" s="218">
        <v>38000</v>
      </c>
      <c r="F121" s="218">
        <v>117</v>
      </c>
      <c r="G121" s="218"/>
      <c r="H121" s="218">
        <v>38000</v>
      </c>
      <c r="I121" s="218">
        <v>38000</v>
      </c>
    </row>
    <row r="122" spans="1:12" x14ac:dyDescent="0.2">
      <c r="A122" s="217">
        <v>55</v>
      </c>
      <c r="B122" s="218">
        <v>35600</v>
      </c>
      <c r="C122" s="218"/>
      <c r="D122" s="218">
        <v>35600</v>
      </c>
      <c r="F122" s="218">
        <v>118</v>
      </c>
      <c r="G122" s="218">
        <v>35600</v>
      </c>
      <c r="H122" s="218"/>
      <c r="I122" s="218">
        <v>35600</v>
      </c>
    </row>
    <row r="123" spans="1:12" x14ac:dyDescent="0.2">
      <c r="A123" s="217">
        <v>141</v>
      </c>
      <c r="B123" s="218">
        <v>30000</v>
      </c>
      <c r="C123" s="218"/>
      <c r="D123" s="218">
        <v>30000</v>
      </c>
      <c r="F123" s="218">
        <v>119</v>
      </c>
      <c r="G123" s="218">
        <v>30000</v>
      </c>
      <c r="H123" s="218"/>
      <c r="I123" s="218">
        <v>30000</v>
      </c>
    </row>
    <row r="124" spans="1:12" x14ac:dyDescent="0.2">
      <c r="A124" s="217">
        <v>56</v>
      </c>
      <c r="B124" s="218">
        <v>30000</v>
      </c>
      <c r="C124" s="218"/>
      <c r="D124" s="218">
        <v>30000</v>
      </c>
      <c r="F124" s="218">
        <v>120</v>
      </c>
      <c r="G124" s="218">
        <v>30000</v>
      </c>
      <c r="H124" s="218"/>
      <c r="I124" s="218">
        <v>30000</v>
      </c>
    </row>
    <row r="125" spans="1:12" x14ac:dyDescent="0.2">
      <c r="A125" s="217">
        <v>72</v>
      </c>
      <c r="B125" s="218">
        <v>27000</v>
      </c>
      <c r="C125" s="218"/>
      <c r="D125" s="218">
        <v>27000</v>
      </c>
      <c r="F125" s="218">
        <v>121</v>
      </c>
      <c r="G125" s="218">
        <v>27000</v>
      </c>
      <c r="H125" s="218"/>
      <c r="I125" s="218">
        <v>27000</v>
      </c>
    </row>
    <row r="126" spans="1:12" x14ac:dyDescent="0.2">
      <c r="A126" s="217">
        <v>119</v>
      </c>
      <c r="B126" s="218">
        <v>20000</v>
      </c>
      <c r="C126" s="218"/>
      <c r="D126" s="218">
        <v>20000</v>
      </c>
      <c r="F126" s="218">
        <v>122</v>
      </c>
      <c r="G126" s="218">
        <v>20000</v>
      </c>
      <c r="H126" s="218"/>
      <c r="I126" s="218">
        <v>20000</v>
      </c>
    </row>
    <row r="127" spans="1:12" x14ac:dyDescent="0.2">
      <c r="A127" s="217">
        <v>70</v>
      </c>
      <c r="B127" s="218">
        <v>15000</v>
      </c>
      <c r="C127" s="218"/>
      <c r="D127" s="218">
        <v>15000</v>
      </c>
      <c r="F127" s="218">
        <v>123</v>
      </c>
      <c r="G127" s="218">
        <v>15000</v>
      </c>
      <c r="H127" s="218"/>
      <c r="I127" s="218">
        <v>15000</v>
      </c>
    </row>
    <row r="128" spans="1:12" x14ac:dyDescent="0.2">
      <c r="A128" s="217">
        <v>120</v>
      </c>
      <c r="B128" s="218">
        <v>14000</v>
      </c>
      <c r="C128" s="218"/>
      <c r="D128" s="218">
        <v>14000</v>
      </c>
      <c r="F128" s="218">
        <v>124</v>
      </c>
      <c r="G128" s="218">
        <v>14000</v>
      </c>
      <c r="H128" s="218"/>
      <c r="I128" s="218">
        <v>14000</v>
      </c>
    </row>
    <row r="129" spans="1:9" x14ac:dyDescent="0.2">
      <c r="A129" s="217">
        <v>60</v>
      </c>
      <c r="B129" s="218"/>
      <c r="C129" s="218">
        <v>12500</v>
      </c>
      <c r="D129" s="218">
        <v>12500</v>
      </c>
      <c r="F129" s="218">
        <v>125</v>
      </c>
      <c r="G129" s="218"/>
      <c r="H129" s="218">
        <v>12500</v>
      </c>
      <c r="I129" s="218">
        <v>12500</v>
      </c>
    </row>
    <row r="130" spans="1:9" x14ac:dyDescent="0.2">
      <c r="A130" s="217">
        <v>64</v>
      </c>
      <c r="B130" s="218">
        <v>12000</v>
      </c>
      <c r="C130" s="218"/>
      <c r="D130" s="218">
        <v>12000</v>
      </c>
      <c r="F130" s="218">
        <v>126</v>
      </c>
      <c r="G130" s="218">
        <v>12000</v>
      </c>
      <c r="H130" s="218"/>
      <c r="I130" s="218">
        <v>12000</v>
      </c>
    </row>
    <row r="131" spans="1:9" x14ac:dyDescent="0.2">
      <c r="A131" s="217">
        <v>63</v>
      </c>
      <c r="B131" s="218">
        <v>8000</v>
      </c>
      <c r="C131" s="218"/>
      <c r="D131" s="218">
        <v>8000</v>
      </c>
      <c r="F131" s="218">
        <v>127</v>
      </c>
      <c r="G131" s="218">
        <v>8000</v>
      </c>
      <c r="H131" s="218"/>
      <c r="I131" s="218">
        <v>8000</v>
      </c>
    </row>
    <row r="132" spans="1:9" x14ac:dyDescent="0.2">
      <c r="A132" s="217">
        <v>11</v>
      </c>
      <c r="B132" s="218"/>
      <c r="C132" s="218">
        <v>0</v>
      </c>
      <c r="D132" s="218">
        <v>0</v>
      </c>
      <c r="F132" s="218"/>
      <c r="G132" s="218"/>
      <c r="H132" s="218"/>
      <c r="I132" s="218"/>
    </row>
    <row r="133" spans="1:9" x14ac:dyDescent="0.2">
      <c r="A133" s="217">
        <v>13</v>
      </c>
      <c r="B133" s="218"/>
      <c r="C133" s="218">
        <v>0</v>
      </c>
      <c r="D133" s="218">
        <v>0</v>
      </c>
      <c r="F133" s="218"/>
      <c r="G133" s="218"/>
      <c r="H133" s="218"/>
      <c r="I133" s="218"/>
    </row>
    <row r="134" spans="1:9" x14ac:dyDescent="0.2">
      <c r="A134" s="217" t="s">
        <v>62</v>
      </c>
      <c r="B134" s="636">
        <v>13626081</v>
      </c>
      <c r="C134" s="636">
        <v>21110560</v>
      </c>
      <c r="D134" s="636">
        <v>34736641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6E54-60B2-4E7F-B73A-FB71983D33A2}">
  <dimension ref="A1:A145"/>
  <sheetViews>
    <sheetView workbookViewId="0">
      <selection activeCell="F99" sqref="F99"/>
    </sheetView>
  </sheetViews>
  <sheetFormatPr baseColWidth="10" defaultColWidth="11.5" defaultRowHeight="15" x14ac:dyDescent="0.2"/>
  <cols>
    <col min="1" max="1" width="10.83203125" style="218"/>
  </cols>
  <sheetData>
    <row r="1" spans="1:1" x14ac:dyDescent="0.2">
      <c r="A1" s="218">
        <v>2500</v>
      </c>
    </row>
    <row r="2" spans="1:1" x14ac:dyDescent="0.2">
      <c r="A2" s="218">
        <v>4666.666666666667</v>
      </c>
    </row>
    <row r="3" spans="1:1" x14ac:dyDescent="0.2">
      <c r="A3" s="218">
        <v>6000</v>
      </c>
    </row>
    <row r="4" spans="1:1" x14ac:dyDescent="0.2">
      <c r="A4" s="218">
        <v>6250</v>
      </c>
    </row>
    <row r="5" spans="1:1" x14ac:dyDescent="0.2">
      <c r="A5" s="218">
        <v>7500</v>
      </c>
    </row>
    <row r="6" spans="1:1" x14ac:dyDescent="0.2">
      <c r="A6" s="218">
        <v>8000</v>
      </c>
    </row>
    <row r="7" spans="1:1" x14ac:dyDescent="0.2">
      <c r="A7" s="218">
        <v>10000</v>
      </c>
    </row>
    <row r="8" spans="1:1" x14ac:dyDescent="0.2">
      <c r="A8" s="218">
        <v>10000</v>
      </c>
    </row>
    <row r="9" spans="1:1" x14ac:dyDescent="0.2">
      <c r="A9" s="218">
        <v>10000</v>
      </c>
    </row>
    <row r="10" spans="1:1" x14ac:dyDescent="0.2">
      <c r="A10" s="218">
        <v>12666.666666666666</v>
      </c>
    </row>
    <row r="11" spans="1:1" x14ac:dyDescent="0.2">
      <c r="A11" s="218">
        <v>13333.333333333334</v>
      </c>
    </row>
    <row r="12" spans="1:1" x14ac:dyDescent="0.2">
      <c r="A12" s="218">
        <v>13500</v>
      </c>
    </row>
    <row r="13" spans="1:1" x14ac:dyDescent="0.2">
      <c r="A13" s="218">
        <v>14166.666666666666</v>
      </c>
    </row>
    <row r="14" spans="1:1" x14ac:dyDescent="0.2">
      <c r="A14" s="218">
        <v>14500</v>
      </c>
    </row>
    <row r="15" spans="1:1" x14ac:dyDescent="0.2">
      <c r="A15" s="218">
        <v>15000</v>
      </c>
    </row>
    <row r="16" spans="1:1" x14ac:dyDescent="0.2">
      <c r="A16" s="218">
        <v>15000</v>
      </c>
    </row>
    <row r="17" spans="1:1" x14ac:dyDescent="0.2">
      <c r="A17" s="218">
        <v>15000</v>
      </c>
    </row>
    <row r="18" spans="1:1" x14ac:dyDescent="0.2">
      <c r="A18" s="218">
        <v>16500</v>
      </c>
    </row>
    <row r="19" spans="1:1" x14ac:dyDescent="0.2">
      <c r="A19" s="218">
        <v>16666.666666666668</v>
      </c>
    </row>
    <row r="20" spans="1:1" x14ac:dyDescent="0.2">
      <c r="A20" s="218">
        <v>16666.666666666668</v>
      </c>
    </row>
    <row r="21" spans="1:1" x14ac:dyDescent="0.2">
      <c r="A21" s="218">
        <v>17800</v>
      </c>
    </row>
    <row r="22" spans="1:1" x14ac:dyDescent="0.2">
      <c r="A22" s="218">
        <v>18024</v>
      </c>
    </row>
    <row r="23" spans="1:1" x14ac:dyDescent="0.2">
      <c r="A23" s="218">
        <v>19000</v>
      </c>
    </row>
    <row r="24" spans="1:1" x14ac:dyDescent="0.2">
      <c r="A24" s="218">
        <v>20000</v>
      </c>
    </row>
    <row r="25" spans="1:1" x14ac:dyDescent="0.2">
      <c r="A25" s="218">
        <v>20000</v>
      </c>
    </row>
    <row r="26" spans="1:1" x14ac:dyDescent="0.2">
      <c r="A26" s="218">
        <v>20026.5</v>
      </c>
    </row>
    <row r="27" spans="1:1" x14ac:dyDescent="0.2">
      <c r="A27" s="218">
        <v>20509</v>
      </c>
    </row>
    <row r="28" spans="1:1" x14ac:dyDescent="0.2">
      <c r="A28" s="218">
        <v>20833.333333333332</v>
      </c>
    </row>
    <row r="29" spans="1:1" x14ac:dyDescent="0.2">
      <c r="A29" s="218">
        <v>21500</v>
      </c>
    </row>
    <row r="30" spans="1:1" x14ac:dyDescent="0.2">
      <c r="A30" s="218">
        <v>22500</v>
      </c>
    </row>
    <row r="31" spans="1:1" x14ac:dyDescent="0.2">
      <c r="A31" s="218">
        <v>22912.5</v>
      </c>
    </row>
    <row r="32" spans="1:1" x14ac:dyDescent="0.2">
      <c r="A32" s="218">
        <v>23750</v>
      </c>
    </row>
    <row r="33" spans="1:1" x14ac:dyDescent="0.2">
      <c r="A33" s="218">
        <v>24666.666666666668</v>
      </c>
    </row>
    <row r="34" spans="1:1" x14ac:dyDescent="0.2">
      <c r="A34" s="218">
        <v>25000</v>
      </c>
    </row>
    <row r="35" spans="1:1" x14ac:dyDescent="0.2">
      <c r="A35" s="218">
        <v>25000</v>
      </c>
    </row>
    <row r="36" spans="1:1" x14ac:dyDescent="0.2">
      <c r="A36" s="218">
        <v>25000</v>
      </c>
    </row>
    <row r="37" spans="1:1" x14ac:dyDescent="0.2">
      <c r="A37" s="218">
        <v>26000</v>
      </c>
    </row>
    <row r="38" spans="1:1" x14ac:dyDescent="0.2">
      <c r="A38" s="218">
        <v>26282.2</v>
      </c>
    </row>
    <row r="39" spans="1:1" x14ac:dyDescent="0.2">
      <c r="A39" s="218">
        <v>26666.666666666668</v>
      </c>
    </row>
    <row r="40" spans="1:1" x14ac:dyDescent="0.2">
      <c r="A40" s="218">
        <v>28333.333333333332</v>
      </c>
    </row>
    <row r="41" spans="1:1" x14ac:dyDescent="0.2">
      <c r="A41" s="218">
        <v>30000</v>
      </c>
    </row>
    <row r="42" spans="1:1" x14ac:dyDescent="0.2">
      <c r="A42" s="218">
        <v>30000</v>
      </c>
    </row>
    <row r="43" spans="1:1" x14ac:dyDescent="0.2">
      <c r="A43" s="218">
        <v>30000</v>
      </c>
    </row>
    <row r="44" spans="1:1" x14ac:dyDescent="0.2">
      <c r="A44" s="218">
        <v>31250</v>
      </c>
    </row>
    <row r="45" spans="1:1" x14ac:dyDescent="0.2">
      <c r="A45" s="218">
        <v>32500</v>
      </c>
    </row>
    <row r="46" spans="1:1" x14ac:dyDescent="0.2">
      <c r="A46" s="218">
        <v>32904.800000000003</v>
      </c>
    </row>
    <row r="47" spans="1:1" x14ac:dyDescent="0.2">
      <c r="A47" s="218">
        <v>33000</v>
      </c>
    </row>
    <row r="48" spans="1:1" x14ac:dyDescent="0.2">
      <c r="A48" s="218">
        <v>33333.333333333336</v>
      </c>
    </row>
    <row r="49" spans="1:1" x14ac:dyDescent="0.2">
      <c r="A49" s="218">
        <v>33333.333333333336</v>
      </c>
    </row>
    <row r="50" spans="1:1" x14ac:dyDescent="0.2">
      <c r="A50" s="218">
        <v>33333.333333333336</v>
      </c>
    </row>
    <row r="51" spans="1:1" x14ac:dyDescent="0.2">
      <c r="A51" s="218">
        <v>33500</v>
      </c>
    </row>
    <row r="52" spans="1:1" x14ac:dyDescent="0.2">
      <c r="A52" s="218">
        <v>33716.666666666664</v>
      </c>
    </row>
    <row r="53" spans="1:1" x14ac:dyDescent="0.2">
      <c r="A53" s="218">
        <v>35000</v>
      </c>
    </row>
    <row r="54" spans="1:1" x14ac:dyDescent="0.2">
      <c r="A54" s="218">
        <v>35000</v>
      </c>
    </row>
    <row r="55" spans="1:1" x14ac:dyDescent="0.2">
      <c r="A55" s="218">
        <v>35000</v>
      </c>
    </row>
    <row r="56" spans="1:1" x14ac:dyDescent="0.2">
      <c r="A56" s="218">
        <v>35000</v>
      </c>
    </row>
    <row r="57" spans="1:1" x14ac:dyDescent="0.2">
      <c r="A57" s="218">
        <v>35000</v>
      </c>
    </row>
    <row r="58" spans="1:1" x14ac:dyDescent="0.2">
      <c r="A58" s="218">
        <v>37414.25</v>
      </c>
    </row>
    <row r="59" spans="1:1" x14ac:dyDescent="0.2">
      <c r="A59" s="218">
        <v>39666.666666666664</v>
      </c>
    </row>
    <row r="60" spans="1:1" x14ac:dyDescent="0.2">
      <c r="A60" s="218">
        <v>40000</v>
      </c>
    </row>
    <row r="61" spans="1:1" x14ac:dyDescent="0.2">
      <c r="A61" s="218">
        <v>40500</v>
      </c>
    </row>
    <row r="62" spans="1:1" x14ac:dyDescent="0.2">
      <c r="A62" s="218">
        <v>40500</v>
      </c>
    </row>
    <row r="63" spans="1:1" x14ac:dyDescent="0.2">
      <c r="A63" s="218">
        <v>41500</v>
      </c>
    </row>
    <row r="64" spans="1:1" x14ac:dyDescent="0.2">
      <c r="A64" s="218">
        <v>41666.666666666664</v>
      </c>
    </row>
    <row r="65" spans="1:1" x14ac:dyDescent="0.2">
      <c r="A65" s="218">
        <v>41666.666666666664</v>
      </c>
    </row>
    <row r="66" spans="1:1" x14ac:dyDescent="0.2">
      <c r="A66" s="218">
        <v>44780</v>
      </c>
    </row>
    <row r="67" spans="1:1" x14ac:dyDescent="0.2">
      <c r="A67" s="218">
        <v>45000</v>
      </c>
    </row>
    <row r="68" spans="1:1" x14ac:dyDescent="0.2">
      <c r="A68" s="218">
        <v>45000</v>
      </c>
    </row>
    <row r="69" spans="1:1" x14ac:dyDescent="0.2">
      <c r="A69" s="218">
        <v>45000</v>
      </c>
    </row>
    <row r="70" spans="1:1" x14ac:dyDescent="0.2">
      <c r="A70" s="218">
        <v>45000</v>
      </c>
    </row>
    <row r="71" spans="1:1" x14ac:dyDescent="0.2">
      <c r="A71" s="218">
        <v>47500</v>
      </c>
    </row>
    <row r="72" spans="1:1" x14ac:dyDescent="0.2">
      <c r="A72" s="218">
        <v>48500</v>
      </c>
    </row>
    <row r="73" spans="1:1" x14ac:dyDescent="0.2">
      <c r="A73" s="218">
        <v>49000</v>
      </c>
    </row>
    <row r="74" spans="1:1" x14ac:dyDescent="0.2">
      <c r="A74" s="218">
        <v>49250</v>
      </c>
    </row>
    <row r="75" spans="1:1" x14ac:dyDescent="0.2">
      <c r="A75" s="218">
        <v>50000</v>
      </c>
    </row>
    <row r="76" spans="1:1" x14ac:dyDescent="0.2">
      <c r="A76" s="218">
        <v>50000</v>
      </c>
    </row>
    <row r="77" spans="1:1" x14ac:dyDescent="0.2">
      <c r="A77" s="218">
        <v>50000</v>
      </c>
    </row>
    <row r="78" spans="1:1" x14ac:dyDescent="0.2">
      <c r="A78" s="218">
        <v>50000</v>
      </c>
    </row>
    <row r="79" spans="1:1" x14ac:dyDescent="0.2">
      <c r="A79" s="218">
        <v>50000</v>
      </c>
    </row>
    <row r="80" spans="1:1" x14ac:dyDescent="0.2">
      <c r="A80" s="218">
        <v>50000</v>
      </c>
    </row>
    <row r="81" spans="1:1" x14ac:dyDescent="0.2">
      <c r="A81" s="218">
        <v>50000</v>
      </c>
    </row>
    <row r="82" spans="1:1" x14ac:dyDescent="0.2">
      <c r="A82" s="218">
        <v>50500</v>
      </c>
    </row>
    <row r="83" spans="1:1" x14ac:dyDescent="0.2">
      <c r="A83" s="218">
        <v>53333.333333333336</v>
      </c>
    </row>
    <row r="84" spans="1:1" x14ac:dyDescent="0.2">
      <c r="A84" s="218">
        <v>53571.428571428572</v>
      </c>
    </row>
    <row r="85" spans="1:1" x14ac:dyDescent="0.2">
      <c r="A85" s="218">
        <v>54000</v>
      </c>
    </row>
    <row r="86" spans="1:1" x14ac:dyDescent="0.2">
      <c r="A86" s="218">
        <v>54116.666666666664</v>
      </c>
    </row>
    <row r="87" spans="1:1" x14ac:dyDescent="0.2">
      <c r="A87" s="218">
        <v>54250</v>
      </c>
    </row>
    <row r="88" spans="1:1" x14ac:dyDescent="0.2">
      <c r="A88" s="218">
        <v>56250</v>
      </c>
    </row>
    <row r="89" spans="1:1" x14ac:dyDescent="0.2">
      <c r="A89" s="218">
        <v>56250</v>
      </c>
    </row>
    <row r="90" spans="1:1" x14ac:dyDescent="0.2">
      <c r="A90" s="218">
        <v>56457.857142857145</v>
      </c>
    </row>
    <row r="91" spans="1:1" x14ac:dyDescent="0.2">
      <c r="A91" s="218">
        <v>56666.666666666664</v>
      </c>
    </row>
    <row r="92" spans="1:1" x14ac:dyDescent="0.2">
      <c r="A92" s="218">
        <v>57966.666666666664</v>
      </c>
    </row>
    <row r="93" spans="1:1" x14ac:dyDescent="0.2">
      <c r="A93" s="218">
        <v>59000</v>
      </c>
    </row>
    <row r="94" spans="1:1" x14ac:dyDescent="0.2">
      <c r="A94" s="218">
        <v>59166.666666666664</v>
      </c>
    </row>
    <row r="95" spans="1:1" x14ac:dyDescent="0.2">
      <c r="A95" s="218">
        <v>59750</v>
      </c>
    </row>
    <row r="96" spans="1:1" x14ac:dyDescent="0.2">
      <c r="A96" s="218">
        <v>60000</v>
      </c>
    </row>
    <row r="97" spans="1:1" x14ac:dyDescent="0.2">
      <c r="A97" s="218">
        <v>60000</v>
      </c>
    </row>
    <row r="98" spans="1:1" x14ac:dyDescent="0.2">
      <c r="A98" s="218">
        <v>60000</v>
      </c>
    </row>
    <row r="99" spans="1:1" x14ac:dyDescent="0.2">
      <c r="A99" s="218">
        <v>63333.333333333336</v>
      </c>
    </row>
    <row r="100" spans="1:1" x14ac:dyDescent="0.2">
      <c r="A100" s="218">
        <v>65000</v>
      </c>
    </row>
    <row r="101" spans="1:1" x14ac:dyDescent="0.2">
      <c r="A101" s="218">
        <v>65333.333333333336</v>
      </c>
    </row>
    <row r="102" spans="1:1" x14ac:dyDescent="0.2">
      <c r="A102" s="218">
        <v>65533.333333333336</v>
      </c>
    </row>
    <row r="103" spans="1:1" x14ac:dyDescent="0.2">
      <c r="A103" s="218">
        <v>66000</v>
      </c>
    </row>
    <row r="104" spans="1:1" x14ac:dyDescent="0.2">
      <c r="A104" s="218">
        <v>66500</v>
      </c>
    </row>
    <row r="105" spans="1:1" x14ac:dyDescent="0.2">
      <c r="A105" s="218">
        <v>66666.666666666672</v>
      </c>
    </row>
    <row r="106" spans="1:1" x14ac:dyDescent="0.2">
      <c r="A106" s="218">
        <v>66666.666666666672</v>
      </c>
    </row>
    <row r="107" spans="1:1" x14ac:dyDescent="0.2">
      <c r="A107" s="218">
        <v>66666.666666666672</v>
      </c>
    </row>
    <row r="108" spans="1:1" x14ac:dyDescent="0.2">
      <c r="A108" s="218">
        <v>66666.666666666672</v>
      </c>
    </row>
    <row r="109" spans="1:1" x14ac:dyDescent="0.2">
      <c r="A109" s="218">
        <v>66666.666666666672</v>
      </c>
    </row>
    <row r="110" spans="1:1" x14ac:dyDescent="0.2">
      <c r="A110" s="218">
        <v>70000</v>
      </c>
    </row>
    <row r="111" spans="1:1" x14ac:dyDescent="0.2">
      <c r="A111" s="218">
        <v>74666.666666666672</v>
      </c>
    </row>
    <row r="112" spans="1:1" x14ac:dyDescent="0.2">
      <c r="A112" s="218">
        <v>75000</v>
      </c>
    </row>
    <row r="113" spans="1:1" x14ac:dyDescent="0.2">
      <c r="A113" s="218">
        <v>75000</v>
      </c>
    </row>
    <row r="114" spans="1:1" x14ac:dyDescent="0.2">
      <c r="A114" s="218">
        <v>77500</v>
      </c>
    </row>
    <row r="115" spans="1:1" x14ac:dyDescent="0.2">
      <c r="A115" s="218">
        <v>79250</v>
      </c>
    </row>
    <row r="116" spans="1:1" x14ac:dyDescent="0.2">
      <c r="A116" s="218">
        <v>80000</v>
      </c>
    </row>
    <row r="117" spans="1:1" x14ac:dyDescent="0.2">
      <c r="A117" s="218">
        <v>80000</v>
      </c>
    </row>
    <row r="118" spans="1:1" x14ac:dyDescent="0.2">
      <c r="A118" s="218">
        <v>80000</v>
      </c>
    </row>
    <row r="119" spans="1:1" x14ac:dyDescent="0.2">
      <c r="A119" s="218">
        <v>80000</v>
      </c>
    </row>
    <row r="120" spans="1:1" x14ac:dyDescent="0.2">
      <c r="A120" s="218">
        <v>83333.333333333328</v>
      </c>
    </row>
    <row r="121" spans="1:1" x14ac:dyDescent="0.2">
      <c r="A121" s="218">
        <v>83333.333333333328</v>
      </c>
    </row>
    <row r="122" spans="1:1" x14ac:dyDescent="0.2">
      <c r="A122" s="218">
        <v>83333.333333333328</v>
      </c>
    </row>
    <row r="123" spans="1:1" x14ac:dyDescent="0.2">
      <c r="A123" s="218">
        <v>84615.38461538461</v>
      </c>
    </row>
    <row r="124" spans="1:1" x14ac:dyDescent="0.2">
      <c r="A124" s="218">
        <v>86666.666666666672</v>
      </c>
    </row>
    <row r="125" spans="1:1" x14ac:dyDescent="0.2">
      <c r="A125" s="218">
        <v>88166</v>
      </c>
    </row>
    <row r="126" spans="1:1" x14ac:dyDescent="0.2">
      <c r="A126" s="218">
        <v>90000</v>
      </c>
    </row>
    <row r="127" spans="1:1" x14ac:dyDescent="0.2">
      <c r="A127" s="218">
        <v>92500</v>
      </c>
    </row>
    <row r="128" spans="1:1" x14ac:dyDescent="0.2">
      <c r="A128" s="218">
        <v>95000</v>
      </c>
    </row>
    <row r="129" spans="1:1" x14ac:dyDescent="0.2">
      <c r="A129" s="218">
        <v>100000</v>
      </c>
    </row>
    <row r="130" spans="1:1" x14ac:dyDescent="0.2">
      <c r="A130" s="218">
        <v>107142.85714285714</v>
      </c>
    </row>
    <row r="131" spans="1:1" x14ac:dyDescent="0.2">
      <c r="A131" s="218">
        <v>107500</v>
      </c>
    </row>
    <row r="132" spans="1:1" x14ac:dyDescent="0.2">
      <c r="A132" s="218">
        <v>108333.33333333333</v>
      </c>
    </row>
    <row r="133" spans="1:1" x14ac:dyDescent="0.2">
      <c r="A133" s="218">
        <v>110000</v>
      </c>
    </row>
    <row r="134" spans="1:1" x14ac:dyDescent="0.2">
      <c r="A134" s="218">
        <v>111333.33333333333</v>
      </c>
    </row>
    <row r="135" spans="1:1" x14ac:dyDescent="0.2">
      <c r="A135" s="218">
        <v>113333.33333333333</v>
      </c>
    </row>
    <row r="136" spans="1:1" x14ac:dyDescent="0.2">
      <c r="A136" s="218">
        <v>122400</v>
      </c>
    </row>
    <row r="137" spans="1:1" x14ac:dyDescent="0.2">
      <c r="A137" s="218">
        <v>137500</v>
      </c>
    </row>
    <row r="138" spans="1:1" x14ac:dyDescent="0.2">
      <c r="A138" s="218">
        <v>150000</v>
      </c>
    </row>
    <row r="139" spans="1:1" x14ac:dyDescent="0.2">
      <c r="A139" s="218">
        <v>166666.66666666666</v>
      </c>
    </row>
    <row r="140" spans="1:1" x14ac:dyDescent="0.2">
      <c r="A140" s="218">
        <v>188666.66666666666</v>
      </c>
    </row>
    <row r="141" spans="1:1" x14ac:dyDescent="0.2">
      <c r="A141" s="218">
        <v>212500</v>
      </c>
    </row>
    <row r="142" spans="1:1" x14ac:dyDescent="0.2">
      <c r="A142" s="218">
        <v>241666.66666666666</v>
      </c>
    </row>
    <row r="143" spans="1:1" x14ac:dyDescent="0.2">
      <c r="A143" s="218">
        <v>250000</v>
      </c>
    </row>
    <row r="144" spans="1:1" x14ac:dyDescent="0.2">
      <c r="A144" s="218">
        <v>275000</v>
      </c>
    </row>
    <row r="145" spans="1:1" x14ac:dyDescent="0.2">
      <c r="A145" s="218">
        <v>309998.57142857142</v>
      </c>
    </row>
  </sheetData>
  <sortState xmlns:xlrd2="http://schemas.microsoft.com/office/spreadsheetml/2017/richdata2" ref="A1:A151">
    <sortCondition ref="A1:A15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A579-711E-F345-8760-F6CD41430D53}">
  <dimension ref="A1:B16"/>
  <sheetViews>
    <sheetView workbookViewId="0">
      <selection activeCell="B15" sqref="B4:B15"/>
    </sheetView>
  </sheetViews>
  <sheetFormatPr baseColWidth="10" defaultRowHeight="15" x14ac:dyDescent="0.2"/>
  <cols>
    <col min="1" max="1" width="16.1640625" bestFit="1" customWidth="1"/>
    <col min="2" max="2" width="21.5" bestFit="1" customWidth="1"/>
  </cols>
  <sheetData>
    <row r="1" spans="1:2" x14ac:dyDescent="0.2">
      <c r="A1" s="213" t="s">
        <v>84</v>
      </c>
      <c r="B1" t="s">
        <v>20</v>
      </c>
    </row>
    <row r="3" spans="1:2" x14ac:dyDescent="0.2">
      <c r="A3" s="213" t="s">
        <v>60</v>
      </c>
      <c r="B3" t="s">
        <v>1106</v>
      </c>
    </row>
    <row r="4" spans="1:2" x14ac:dyDescent="0.2">
      <c r="A4" s="217" t="s">
        <v>1096</v>
      </c>
      <c r="B4" s="636">
        <v>279423.3</v>
      </c>
    </row>
    <row r="5" spans="1:2" x14ac:dyDescent="0.2">
      <c r="A5" s="217" t="s">
        <v>924</v>
      </c>
      <c r="B5" s="636">
        <v>139500</v>
      </c>
    </row>
    <row r="6" spans="1:2" x14ac:dyDescent="0.2">
      <c r="A6" s="217" t="s">
        <v>925</v>
      </c>
      <c r="B6" s="636">
        <v>118308.33333333333</v>
      </c>
    </row>
    <row r="7" spans="1:2" x14ac:dyDescent="0.2">
      <c r="A7" s="217" t="s">
        <v>1097</v>
      </c>
      <c r="B7" s="636">
        <v>177333.33333333334</v>
      </c>
    </row>
    <row r="8" spans="1:2" x14ac:dyDescent="0.2">
      <c r="A8" s="217" t="s">
        <v>1098</v>
      </c>
      <c r="B8" s="636">
        <v>585931.60000000009</v>
      </c>
    </row>
    <row r="9" spans="1:2" x14ac:dyDescent="0.2">
      <c r="A9" s="217" t="s">
        <v>1099</v>
      </c>
      <c r="B9" s="636">
        <v>88142.857142857145</v>
      </c>
    </row>
    <row r="10" spans="1:2" x14ac:dyDescent="0.2">
      <c r="A10" s="217" t="s">
        <v>1100</v>
      </c>
      <c r="B10" s="636">
        <v>389666.66666666669</v>
      </c>
    </row>
    <row r="11" spans="1:2" x14ac:dyDescent="0.2">
      <c r="A11" s="217" t="s">
        <v>1101</v>
      </c>
      <c r="B11" s="636">
        <v>94777.777777777781</v>
      </c>
    </row>
    <row r="12" spans="1:2" x14ac:dyDescent="0.2">
      <c r="A12" s="217" t="s">
        <v>1102</v>
      </c>
      <c r="B12" s="636">
        <v>63000</v>
      </c>
    </row>
    <row r="13" spans="1:2" x14ac:dyDescent="0.2">
      <c r="A13" s="217" t="s">
        <v>1103</v>
      </c>
      <c r="B13" s="636">
        <v>217500</v>
      </c>
    </row>
    <row r="14" spans="1:2" x14ac:dyDescent="0.2">
      <c r="A14" s="217" t="s">
        <v>1104</v>
      </c>
      <c r="B14" s="636">
        <v>75000</v>
      </c>
    </row>
    <row r="15" spans="1:2" x14ac:dyDescent="0.2">
      <c r="A15" s="217" t="s">
        <v>1105</v>
      </c>
      <c r="B15" s="636">
        <v>312500</v>
      </c>
    </row>
    <row r="16" spans="1:2" x14ac:dyDescent="0.2">
      <c r="A16" s="217" t="s">
        <v>62</v>
      </c>
      <c r="B16" s="636">
        <v>230567.56603773584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9B46-3092-4DDA-B055-DE3189BA1C75}">
  <sheetPr filterMode="1">
    <tabColor theme="8" tint="0.79998168889431442"/>
  </sheetPr>
  <dimension ref="A1:AR159"/>
  <sheetViews>
    <sheetView showGridLines="0" tabSelected="1" zoomScale="92" zoomScaleNormal="80" workbookViewId="0">
      <pane ySplit="1" topLeftCell="A11" activePane="bottomLeft" state="frozen"/>
      <selection activeCell="B16" sqref="B16"/>
      <selection pane="bottomLeft" activeCell="I61" sqref="I61"/>
    </sheetView>
  </sheetViews>
  <sheetFormatPr baseColWidth="10" defaultColWidth="11.5" defaultRowHeight="15" x14ac:dyDescent="0.2"/>
  <cols>
    <col min="1" max="1" width="6.1640625" customWidth="1"/>
    <col min="2" max="2" width="7.5" style="268" customWidth="1"/>
    <col min="3" max="3" width="16.83203125" style="268" customWidth="1"/>
    <col min="4" max="4" width="7.33203125" style="268" hidden="1" customWidth="1"/>
    <col min="5" max="5" width="20.6640625" style="268" customWidth="1"/>
    <col min="6" max="6" width="12.6640625" customWidth="1"/>
    <col min="7" max="7" width="19" customWidth="1"/>
    <col min="8" max="8" width="16.6640625" customWidth="1"/>
    <col min="9" max="9" width="115.33203125" bestFit="1" customWidth="1"/>
    <col min="10" max="10" width="11.83203125" style="268" customWidth="1"/>
    <col min="11" max="11" width="12.6640625" customWidth="1"/>
    <col min="12" max="12" width="18.1640625" customWidth="1"/>
    <col min="13" max="13" width="11.33203125" style="269" customWidth="1"/>
    <col min="14" max="14" width="18.6640625" style="243" customWidth="1"/>
    <col min="15" max="15" width="14.33203125" style="268" customWidth="1"/>
    <col min="16" max="16" width="22.6640625" style="268" customWidth="1"/>
    <col min="19" max="19" width="19.5" style="304" customWidth="1"/>
    <col min="20" max="27" width="10.83203125" style="304"/>
  </cols>
  <sheetData>
    <row r="1" spans="1:44" ht="40.25" customHeight="1" x14ac:dyDescent="0.2">
      <c r="A1" s="204" t="s">
        <v>80</v>
      </c>
      <c r="B1" s="204" t="s">
        <v>81</v>
      </c>
      <c r="C1" s="266" t="s">
        <v>82</v>
      </c>
      <c r="D1" s="266" t="s">
        <v>83</v>
      </c>
      <c r="E1" s="275" t="s">
        <v>84</v>
      </c>
      <c r="F1" s="266" t="s">
        <v>74</v>
      </c>
      <c r="G1" s="204" t="s">
        <v>85</v>
      </c>
      <c r="H1" s="204" t="s">
        <v>86</v>
      </c>
      <c r="I1" s="204" t="s">
        <v>87</v>
      </c>
      <c r="J1" s="266" t="s">
        <v>88</v>
      </c>
      <c r="K1" s="275" t="s">
        <v>89</v>
      </c>
      <c r="L1" s="275" t="s">
        <v>90</v>
      </c>
      <c r="M1" s="285" t="s">
        <v>91</v>
      </c>
      <c r="N1" s="278" t="s">
        <v>92</v>
      </c>
      <c r="O1" s="278" t="s">
        <v>93</v>
      </c>
      <c r="P1" s="278" t="s">
        <v>94</v>
      </c>
    </row>
    <row r="2" spans="1:44" s="303" customFormat="1" x14ac:dyDescent="0.2">
      <c r="A2" s="200">
        <v>103</v>
      </c>
      <c r="B2" s="270" t="s">
        <v>95</v>
      </c>
      <c r="C2" s="270" t="s">
        <v>112</v>
      </c>
      <c r="D2" s="270" t="s">
        <v>127</v>
      </c>
      <c r="E2" s="201" t="s">
        <v>20</v>
      </c>
      <c r="F2" s="302" t="s">
        <v>44</v>
      </c>
      <c r="G2" s="270" t="s">
        <v>178</v>
      </c>
      <c r="H2" s="302" t="s">
        <v>179</v>
      </c>
      <c r="I2" s="414" t="s">
        <v>180</v>
      </c>
      <c r="J2" s="284" t="s">
        <v>78</v>
      </c>
      <c r="K2" s="284">
        <v>480000</v>
      </c>
      <c r="L2" s="201" t="s">
        <v>100</v>
      </c>
      <c r="M2" s="271">
        <v>6</v>
      </c>
      <c r="N2" s="407">
        <v>45658</v>
      </c>
      <c r="O2" s="416" t="s">
        <v>101</v>
      </c>
      <c r="P2" s="270"/>
      <c r="Q2" s="607">
        <f>+K2/M2</f>
        <v>80000</v>
      </c>
      <c r="R2"/>
      <c r="S2" s="304"/>
      <c r="T2" s="304"/>
      <c r="U2" s="304"/>
      <c r="V2" s="304"/>
      <c r="W2" s="304"/>
      <c r="X2" s="304"/>
      <c r="Y2" s="304"/>
      <c r="Z2" s="304"/>
      <c r="AA2" s="304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 s="304"/>
      <c r="AR2" s="304"/>
    </row>
    <row r="3" spans="1:44" s="303" customFormat="1" hidden="1" x14ac:dyDescent="0.2">
      <c r="A3" s="200">
        <v>118</v>
      </c>
      <c r="B3" s="270" t="s">
        <v>95</v>
      </c>
      <c r="C3" s="270" t="s">
        <v>112</v>
      </c>
      <c r="D3" s="270"/>
      <c r="E3" s="201" t="s">
        <v>37</v>
      </c>
      <c r="F3" s="302" t="s">
        <v>44</v>
      </c>
      <c r="G3" s="270" t="s">
        <v>123</v>
      </c>
      <c r="H3" s="302" t="s">
        <v>124</v>
      </c>
      <c r="I3" s="414" t="s">
        <v>125</v>
      </c>
      <c r="J3" s="284" t="s">
        <v>78</v>
      </c>
      <c r="K3" s="284">
        <v>1300000</v>
      </c>
      <c r="L3" s="245" t="s">
        <v>111</v>
      </c>
      <c r="M3" s="271">
        <v>12</v>
      </c>
      <c r="N3" s="407">
        <v>45627</v>
      </c>
      <c r="O3" s="416" t="s">
        <v>106</v>
      </c>
      <c r="P3" s="270"/>
      <c r="Q3" s="607">
        <f>+K3/M3</f>
        <v>108333.33333333333</v>
      </c>
      <c r="R3"/>
      <c r="S3" s="304"/>
      <c r="T3" s="304"/>
      <c r="U3" s="304"/>
      <c r="V3" s="304"/>
      <c r="W3" s="304"/>
      <c r="X3" s="304"/>
      <c r="Y3" s="304"/>
      <c r="Z3" s="304"/>
      <c r="AA3" s="304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44" s="303" customFormat="1" hidden="1" x14ac:dyDescent="0.2">
      <c r="A4" s="200">
        <v>113</v>
      </c>
      <c r="B4" s="270" t="s">
        <v>95</v>
      </c>
      <c r="C4" s="270" t="s">
        <v>102</v>
      </c>
      <c r="D4" s="270" t="s">
        <v>142</v>
      </c>
      <c r="E4" s="201" t="s">
        <v>37</v>
      </c>
      <c r="F4" s="302" t="s">
        <v>48</v>
      </c>
      <c r="G4" s="270" t="s">
        <v>171</v>
      </c>
      <c r="H4" s="302" t="s">
        <v>172</v>
      </c>
      <c r="I4" s="414" t="s">
        <v>173</v>
      </c>
      <c r="J4" s="284" t="s">
        <v>76</v>
      </c>
      <c r="K4" s="284">
        <v>500000</v>
      </c>
      <c r="L4" s="201" t="s">
        <v>100</v>
      </c>
      <c r="M4" s="271">
        <v>6</v>
      </c>
      <c r="N4" s="407">
        <v>45627</v>
      </c>
      <c r="O4" s="416" t="s">
        <v>101</v>
      </c>
      <c r="P4" s="270"/>
      <c r="Q4" s="607">
        <f>+K4/M4</f>
        <v>83333.333333333328</v>
      </c>
      <c r="R4"/>
      <c r="S4" s="304"/>
      <c r="T4" s="304"/>
      <c r="U4" s="304"/>
      <c r="V4" s="304"/>
      <c r="W4" s="304"/>
      <c r="X4" s="304"/>
      <c r="Y4" s="304"/>
      <c r="Z4" s="304"/>
      <c r="AA4" s="30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s="304"/>
      <c r="AR4" s="304"/>
    </row>
    <row r="5" spans="1:44" s="303" customFormat="1" x14ac:dyDescent="0.2">
      <c r="A5" s="200">
        <v>115</v>
      </c>
      <c r="B5" s="270" t="s">
        <v>95</v>
      </c>
      <c r="C5" s="270" t="s">
        <v>117</v>
      </c>
      <c r="D5" s="270" t="s">
        <v>142</v>
      </c>
      <c r="E5" s="201" t="s">
        <v>20</v>
      </c>
      <c r="F5" s="302" t="s">
        <v>45</v>
      </c>
      <c r="G5" s="270" t="s">
        <v>195</v>
      </c>
      <c r="H5" s="302" t="s">
        <v>196</v>
      </c>
      <c r="I5" s="414" t="s">
        <v>197</v>
      </c>
      <c r="J5" s="284" t="s">
        <v>78</v>
      </c>
      <c r="K5" s="284">
        <v>355000</v>
      </c>
      <c r="L5" s="245" t="s">
        <v>100</v>
      </c>
      <c r="M5" s="271">
        <v>6</v>
      </c>
      <c r="N5" s="407">
        <v>45627</v>
      </c>
      <c r="O5" s="416" t="s">
        <v>101</v>
      </c>
      <c r="P5" s="270"/>
      <c r="Q5" s="607">
        <f>+K5/M5</f>
        <v>59166.666666666664</v>
      </c>
      <c r="R5"/>
      <c r="S5" s="304"/>
      <c r="T5" s="304"/>
      <c r="U5" s="304"/>
      <c r="V5" s="304"/>
      <c r="W5" s="304"/>
      <c r="X5" s="304"/>
      <c r="Y5" s="304"/>
      <c r="Z5" s="304"/>
      <c r="AA5" s="304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s="304"/>
      <c r="AR5" s="304"/>
    </row>
    <row r="6" spans="1:44" s="303" customFormat="1" ht="13.25" customHeight="1" x14ac:dyDescent="0.2">
      <c r="A6" s="200">
        <v>116</v>
      </c>
      <c r="B6" s="270" t="s">
        <v>95</v>
      </c>
      <c r="C6" s="270" t="s">
        <v>142</v>
      </c>
      <c r="D6" s="270" t="s">
        <v>127</v>
      </c>
      <c r="E6" s="201" t="s">
        <v>20</v>
      </c>
      <c r="F6" s="302" t="s">
        <v>46</v>
      </c>
      <c r="G6" s="421" t="s">
        <v>210</v>
      </c>
      <c r="H6" s="302" t="s">
        <v>211</v>
      </c>
      <c r="I6" s="414" t="s">
        <v>212</v>
      </c>
      <c r="J6" s="284" t="s">
        <v>78</v>
      </c>
      <c r="K6" s="284">
        <v>270000</v>
      </c>
      <c r="L6" s="201" t="s">
        <v>100</v>
      </c>
      <c r="M6" s="271">
        <v>6</v>
      </c>
      <c r="N6" s="407">
        <v>45627</v>
      </c>
      <c r="O6" s="416" t="s">
        <v>101</v>
      </c>
      <c r="P6" s="270"/>
      <c r="Q6" s="607">
        <f>+K6/M6</f>
        <v>45000</v>
      </c>
      <c r="R6"/>
      <c r="S6" s="304"/>
      <c r="T6" s="304"/>
      <c r="U6" s="304"/>
      <c r="V6" s="304"/>
      <c r="W6" s="304"/>
      <c r="X6" s="304"/>
      <c r="Y6" s="304"/>
      <c r="Z6" s="304"/>
      <c r="AA6" s="304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s="304"/>
      <c r="AR6" s="304"/>
    </row>
    <row r="7" spans="1:44" s="303" customFormat="1" ht="14" hidden="1" customHeight="1" x14ac:dyDescent="0.2">
      <c r="A7" s="200">
        <v>112</v>
      </c>
      <c r="B7" s="270" t="s">
        <v>95</v>
      </c>
      <c r="C7" s="270" t="s">
        <v>102</v>
      </c>
      <c r="D7" s="270" t="s">
        <v>142</v>
      </c>
      <c r="E7" s="201" t="s">
        <v>37</v>
      </c>
      <c r="F7" s="302" t="s">
        <v>48</v>
      </c>
      <c r="G7" s="270" t="s">
        <v>171</v>
      </c>
      <c r="H7" s="302" t="s">
        <v>226</v>
      </c>
      <c r="I7" s="414" t="s">
        <v>227</v>
      </c>
      <c r="J7" s="284" t="s">
        <v>76</v>
      </c>
      <c r="K7" s="284">
        <v>240000</v>
      </c>
      <c r="L7" s="201" t="s">
        <v>100</v>
      </c>
      <c r="M7" s="271">
        <v>3</v>
      </c>
      <c r="N7" s="407">
        <v>45627</v>
      </c>
      <c r="O7" s="416" t="s">
        <v>101</v>
      </c>
      <c r="P7" s="270"/>
      <c r="Q7" s="607">
        <f>+K7/M7</f>
        <v>80000</v>
      </c>
      <c r="R7"/>
      <c r="S7" s="304"/>
      <c r="T7" s="304"/>
      <c r="U7" s="304"/>
      <c r="V7" s="304"/>
      <c r="W7" s="304"/>
      <c r="X7" s="304"/>
      <c r="Y7" s="304"/>
      <c r="Z7" s="304"/>
      <c r="AA7" s="304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s="304"/>
      <c r="AR7" s="304"/>
    </row>
    <row r="8" spans="1:44" s="303" customFormat="1" ht="13.25" hidden="1" customHeight="1" x14ac:dyDescent="0.2">
      <c r="A8" s="200">
        <v>117</v>
      </c>
      <c r="B8" s="270" t="s">
        <v>95</v>
      </c>
      <c r="C8" s="270" t="s">
        <v>131</v>
      </c>
      <c r="D8" s="270" t="s">
        <v>117</v>
      </c>
      <c r="E8" s="201" t="s">
        <v>37</v>
      </c>
      <c r="F8" s="302" t="s">
        <v>46</v>
      </c>
      <c r="G8" s="270" t="s">
        <v>268</v>
      </c>
      <c r="H8" s="302" t="s">
        <v>269</v>
      </c>
      <c r="I8" s="414" t="s">
        <v>270</v>
      </c>
      <c r="J8" s="284" t="s">
        <v>76</v>
      </c>
      <c r="K8" s="284">
        <v>190000</v>
      </c>
      <c r="L8" s="245" t="s">
        <v>111</v>
      </c>
      <c r="M8" s="271">
        <v>3</v>
      </c>
      <c r="N8" s="407">
        <v>45627</v>
      </c>
      <c r="O8" s="416" t="s">
        <v>101</v>
      </c>
      <c r="P8" s="270"/>
      <c r="Q8" s="607">
        <f>+K8/M8</f>
        <v>63333.333333333336</v>
      </c>
      <c r="R8"/>
      <c r="S8" s="304"/>
      <c r="T8" s="304"/>
      <c r="U8" s="304"/>
      <c r="V8" s="304"/>
      <c r="W8" s="304"/>
      <c r="X8" s="304"/>
      <c r="Y8" s="304"/>
      <c r="Z8" s="304"/>
      <c r="AA8" s="304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303" customFormat="1" hidden="1" x14ac:dyDescent="0.2">
      <c r="A9" s="200">
        <v>114</v>
      </c>
      <c r="B9" s="270" t="s">
        <v>95</v>
      </c>
      <c r="C9" s="270" t="s">
        <v>117</v>
      </c>
      <c r="D9" s="270" t="s">
        <v>142</v>
      </c>
      <c r="E9" s="201" t="s">
        <v>28</v>
      </c>
      <c r="F9" s="302" t="s">
        <v>45</v>
      </c>
      <c r="G9" s="270" t="s">
        <v>118</v>
      </c>
      <c r="H9" s="302" t="s">
        <v>290</v>
      </c>
      <c r="I9" s="414" t="s">
        <v>291</v>
      </c>
      <c r="J9" s="284" t="s">
        <v>76</v>
      </c>
      <c r="K9" s="284">
        <v>150000</v>
      </c>
      <c r="L9" s="201" t="s">
        <v>100</v>
      </c>
      <c r="M9" s="271">
        <v>3</v>
      </c>
      <c r="N9" s="407">
        <v>45627</v>
      </c>
      <c r="O9" s="416" t="s">
        <v>101</v>
      </c>
      <c r="P9" s="270"/>
      <c r="Q9" s="607">
        <f>+K9/M9</f>
        <v>50000</v>
      </c>
      <c r="R9"/>
      <c r="S9" s="304"/>
      <c r="T9" s="304"/>
      <c r="U9" s="304"/>
      <c r="V9" s="304"/>
      <c r="W9" s="304"/>
      <c r="X9" s="304"/>
      <c r="Y9" s="304"/>
      <c r="Z9" s="304"/>
      <c r="AA9" s="304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304" customFormat="1" ht="13.25" hidden="1" customHeight="1" x14ac:dyDescent="0.2">
      <c r="A10" s="200">
        <v>97</v>
      </c>
      <c r="B10" s="270" t="s">
        <v>95</v>
      </c>
      <c r="C10" s="270" t="s">
        <v>96</v>
      </c>
      <c r="D10" s="270" t="s">
        <v>127</v>
      </c>
      <c r="E10" s="201" t="s">
        <v>37</v>
      </c>
      <c r="F10" s="302" t="s">
        <v>43</v>
      </c>
      <c r="G10" s="270" t="s">
        <v>249</v>
      </c>
      <c r="H10" s="302" t="s">
        <v>333</v>
      </c>
      <c r="I10" s="414" t="s">
        <v>334</v>
      </c>
      <c r="J10" s="526" t="s">
        <v>78</v>
      </c>
      <c r="K10" s="284">
        <v>90000</v>
      </c>
      <c r="L10" s="201" t="s">
        <v>111</v>
      </c>
      <c r="M10" s="271">
        <v>6</v>
      </c>
      <c r="N10" s="407">
        <v>45627</v>
      </c>
      <c r="O10" s="416" t="s">
        <v>101</v>
      </c>
      <c r="P10" s="270"/>
      <c r="Q10" s="607">
        <f>+K10/M10</f>
        <v>15000</v>
      </c>
      <c r="R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304" customFormat="1" ht="13.25" customHeight="1" x14ac:dyDescent="0.2">
      <c r="A11" s="200">
        <v>110</v>
      </c>
      <c r="B11" s="270" t="s">
        <v>95</v>
      </c>
      <c r="C11" s="270" t="s">
        <v>96</v>
      </c>
      <c r="D11" s="270" t="s">
        <v>127</v>
      </c>
      <c r="E11" s="201" t="s">
        <v>20</v>
      </c>
      <c r="F11" s="302" t="s">
        <v>43</v>
      </c>
      <c r="G11" s="421" t="s">
        <v>249</v>
      </c>
      <c r="H11" s="302" t="s">
        <v>250</v>
      </c>
      <c r="I11" s="414" t="s">
        <v>352</v>
      </c>
      <c r="J11" s="284" t="s">
        <v>78</v>
      </c>
      <c r="K11" s="284">
        <v>75000</v>
      </c>
      <c r="L11" s="201" t="s">
        <v>111</v>
      </c>
      <c r="M11" s="271">
        <v>3</v>
      </c>
      <c r="N11" s="407">
        <v>45597</v>
      </c>
      <c r="O11" s="416" t="s">
        <v>101</v>
      </c>
      <c r="P11" s="270"/>
      <c r="Q11" s="607">
        <f>+K11/M11</f>
        <v>25000</v>
      </c>
      <c r="R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303" customFormat="1" ht="14.5" hidden="1" customHeight="1" x14ac:dyDescent="0.2">
      <c r="A12" s="200">
        <v>106</v>
      </c>
      <c r="B12" s="270" t="s">
        <v>95</v>
      </c>
      <c r="C12" s="270" t="s">
        <v>131</v>
      </c>
      <c r="D12" s="270" t="s">
        <v>127</v>
      </c>
      <c r="E12" s="201" t="s">
        <v>28</v>
      </c>
      <c r="F12" s="302" t="s">
        <v>46</v>
      </c>
      <c r="G12" s="270" t="s">
        <v>132</v>
      </c>
      <c r="H12" s="302" t="s">
        <v>133</v>
      </c>
      <c r="I12" s="414" t="s">
        <v>134</v>
      </c>
      <c r="J12" s="284" t="s">
        <v>78</v>
      </c>
      <c r="K12" s="284">
        <v>1100000</v>
      </c>
      <c r="L12" s="201" t="s">
        <v>111</v>
      </c>
      <c r="M12" s="271">
        <v>13</v>
      </c>
      <c r="N12" s="407">
        <v>45566</v>
      </c>
      <c r="O12" s="416" t="s">
        <v>101</v>
      </c>
      <c r="P12" s="270"/>
      <c r="Q12" s="607">
        <f>+K12/M12</f>
        <v>84615.38461538461</v>
      </c>
      <c r="R12"/>
      <c r="S12" s="304"/>
      <c r="T12" s="304"/>
      <c r="U12" s="304"/>
      <c r="V12" s="304"/>
      <c r="W12" s="304"/>
      <c r="X12" s="304"/>
      <c r="Y12" s="304"/>
      <c r="Z12" s="304"/>
      <c r="AA12" s="304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s="304"/>
      <c r="AR12" s="304"/>
    </row>
    <row r="13" spans="1:44" s="303" customFormat="1" ht="13.25" customHeight="1" x14ac:dyDescent="0.2">
      <c r="A13" s="200">
        <v>107</v>
      </c>
      <c r="B13" s="270" t="s">
        <v>95</v>
      </c>
      <c r="C13" s="270" t="s">
        <v>126</v>
      </c>
      <c r="D13" s="270" t="s">
        <v>127</v>
      </c>
      <c r="E13" s="201" t="s">
        <v>20</v>
      </c>
      <c r="F13" s="302" t="s">
        <v>43</v>
      </c>
      <c r="G13" s="270" t="s">
        <v>168</v>
      </c>
      <c r="H13" s="302" t="s">
        <v>169</v>
      </c>
      <c r="I13" s="414" t="s">
        <v>170</v>
      </c>
      <c r="J13" s="284" t="s">
        <v>1095</v>
      </c>
      <c r="K13" s="284">
        <v>500000</v>
      </c>
      <c r="L13" s="201" t="s">
        <v>111</v>
      </c>
      <c r="M13" s="271">
        <v>24</v>
      </c>
      <c r="N13" s="407">
        <v>45566</v>
      </c>
      <c r="O13" s="416" t="s">
        <v>101</v>
      </c>
      <c r="P13" s="270"/>
      <c r="Q13" s="607">
        <f>+K13/M13</f>
        <v>20833.333333333332</v>
      </c>
      <c r="R13"/>
      <c r="S13" s="304"/>
      <c r="T13" s="304"/>
      <c r="U13" s="304"/>
      <c r="V13" s="304"/>
      <c r="W13" s="304"/>
      <c r="X13" s="304"/>
      <c r="Y13" s="304"/>
      <c r="Z13" s="304"/>
      <c r="AA13" s="304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s="304"/>
      <c r="AR13" s="304"/>
    </row>
    <row r="14" spans="1:44" s="303" customFormat="1" x14ac:dyDescent="0.2">
      <c r="A14" s="200">
        <v>108</v>
      </c>
      <c r="B14" s="270" t="s">
        <v>95</v>
      </c>
      <c r="C14" s="270" t="s">
        <v>126</v>
      </c>
      <c r="D14" s="270" t="s">
        <v>127</v>
      </c>
      <c r="E14" s="201" t="s">
        <v>20</v>
      </c>
      <c r="F14" s="302" t="s">
        <v>43</v>
      </c>
      <c r="G14" s="270" t="s">
        <v>140</v>
      </c>
      <c r="H14" s="302">
        <f>AVERAGE(M13:M75)</f>
        <v>4.8730158730158726</v>
      </c>
      <c r="I14" s="414" t="s">
        <v>220</v>
      </c>
      <c r="J14" s="284" t="s">
        <v>76</v>
      </c>
      <c r="K14" s="284">
        <v>250000</v>
      </c>
      <c r="L14" s="201" t="s">
        <v>100</v>
      </c>
      <c r="M14" s="271">
        <v>5</v>
      </c>
      <c r="N14" s="407">
        <v>45566</v>
      </c>
      <c r="O14" s="416" t="s">
        <v>101</v>
      </c>
      <c r="P14" s="270"/>
      <c r="Q14" s="607">
        <f>+K14/M14</f>
        <v>50000</v>
      </c>
      <c r="R14"/>
      <c r="S14" s="304"/>
      <c r="T14" s="304"/>
      <c r="U14" s="304"/>
      <c r="V14" s="304"/>
      <c r="W14" s="304"/>
      <c r="X14" s="304"/>
      <c r="Y14" s="304"/>
      <c r="Z14" s="304"/>
      <c r="AA14" s="30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304"/>
      <c r="AR14" s="304"/>
    </row>
    <row r="15" spans="1:44" s="303" customFormat="1" hidden="1" x14ac:dyDescent="0.2">
      <c r="A15" s="200">
        <v>111</v>
      </c>
      <c r="B15" s="270" t="s">
        <v>95</v>
      </c>
      <c r="C15" s="270" t="s">
        <v>218</v>
      </c>
      <c r="D15" s="270" t="s">
        <v>127</v>
      </c>
      <c r="E15" s="201" t="s">
        <v>37</v>
      </c>
      <c r="F15" s="302" t="s">
        <v>46</v>
      </c>
      <c r="G15" s="270" t="s">
        <v>221</v>
      </c>
      <c r="H15" s="302" t="s">
        <v>222</v>
      </c>
      <c r="I15" s="414" t="s">
        <v>223</v>
      </c>
      <c r="J15" s="284" t="s">
        <v>78</v>
      </c>
      <c r="K15" s="284">
        <v>250000</v>
      </c>
      <c r="L15" s="201" t="s">
        <v>111</v>
      </c>
      <c r="M15" s="271">
        <v>6</v>
      </c>
      <c r="N15" s="407">
        <v>45566</v>
      </c>
      <c r="O15" s="416" t="s">
        <v>106</v>
      </c>
      <c r="P15" s="270"/>
      <c r="Q15" s="607">
        <f>+K15/M15</f>
        <v>41666.666666666664</v>
      </c>
      <c r="R15"/>
      <c r="S15" s="304"/>
      <c r="T15" s="304"/>
      <c r="U15" s="304"/>
      <c r="V15" s="304"/>
      <c r="W15" s="304"/>
      <c r="X15" s="304"/>
      <c r="Y15" s="304"/>
      <c r="Z15" s="304"/>
      <c r="AA15" s="304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304"/>
      <c r="AR15" s="304"/>
    </row>
    <row r="16" spans="1:44" s="303" customFormat="1" hidden="1" x14ac:dyDescent="0.2">
      <c r="A16" s="200">
        <v>101</v>
      </c>
      <c r="B16" s="270" t="s">
        <v>95</v>
      </c>
      <c r="C16" s="270" t="s">
        <v>131</v>
      </c>
      <c r="D16" s="270" t="s">
        <v>127</v>
      </c>
      <c r="E16" s="201" t="s">
        <v>28</v>
      </c>
      <c r="F16" s="302" t="s">
        <v>46</v>
      </c>
      <c r="G16" s="302" t="s">
        <v>271</v>
      </c>
      <c r="H16" s="302" t="s">
        <v>272</v>
      </c>
      <c r="I16" s="414" t="s">
        <v>273</v>
      </c>
      <c r="J16" s="284" t="s">
        <v>78</v>
      </c>
      <c r="K16" s="284">
        <v>180000</v>
      </c>
      <c r="L16" s="201" t="s">
        <v>111</v>
      </c>
      <c r="M16" s="271">
        <v>3</v>
      </c>
      <c r="N16" s="407">
        <v>45566</v>
      </c>
      <c r="O16" s="416" t="s">
        <v>101</v>
      </c>
      <c r="P16" s="270"/>
      <c r="Q16" s="607">
        <f>+K16/M16</f>
        <v>60000</v>
      </c>
      <c r="R16"/>
      <c r="S16" s="304"/>
      <c r="T16" s="304"/>
      <c r="U16" s="304"/>
      <c r="V16" s="304"/>
      <c r="W16" s="304"/>
      <c r="X16" s="304"/>
      <c r="Y16" s="304"/>
      <c r="Z16" s="304"/>
      <c r="AA16" s="304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303" customFormat="1" ht="13.25" hidden="1" customHeight="1" x14ac:dyDescent="0.2">
      <c r="A17" s="200">
        <v>105</v>
      </c>
      <c r="B17" s="270" t="s">
        <v>95</v>
      </c>
      <c r="C17" s="270" t="s">
        <v>102</v>
      </c>
      <c r="D17" s="270" t="s">
        <v>127</v>
      </c>
      <c r="E17" s="201" t="s">
        <v>37</v>
      </c>
      <c r="F17" s="302" t="s">
        <v>48</v>
      </c>
      <c r="G17" s="270" t="s">
        <v>108</v>
      </c>
      <c r="H17" s="302" t="s">
        <v>108</v>
      </c>
      <c r="I17" s="414" t="s">
        <v>289</v>
      </c>
      <c r="J17" s="284" t="s">
        <v>78</v>
      </c>
      <c r="K17" s="284">
        <v>150000</v>
      </c>
      <c r="L17" s="201" t="s">
        <v>100</v>
      </c>
      <c r="M17" s="271">
        <v>3</v>
      </c>
      <c r="N17" s="407">
        <v>45566</v>
      </c>
      <c r="O17" s="416" t="s">
        <v>101</v>
      </c>
      <c r="P17" s="270"/>
      <c r="Q17" s="607">
        <f>+K17/M17</f>
        <v>50000</v>
      </c>
      <c r="R17"/>
      <c r="S17" s="304"/>
      <c r="T17" s="304"/>
      <c r="U17" s="304"/>
      <c r="V17" s="304"/>
      <c r="W17" s="304"/>
      <c r="X17" s="304"/>
      <c r="Y17" s="304"/>
      <c r="Z17" s="304"/>
      <c r="AA17" s="304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s="304" customFormat="1" x14ac:dyDescent="0.2">
      <c r="A18" s="200">
        <v>102</v>
      </c>
      <c r="B18" s="270" t="s">
        <v>95</v>
      </c>
      <c r="C18" s="270" t="s">
        <v>142</v>
      </c>
      <c r="D18" s="270" t="s">
        <v>127</v>
      </c>
      <c r="E18" s="201" t="s">
        <v>20</v>
      </c>
      <c r="F18" s="302" t="s">
        <v>43</v>
      </c>
      <c r="G18" s="270" t="s">
        <v>143</v>
      </c>
      <c r="H18" s="302" t="s">
        <v>318</v>
      </c>
      <c r="I18" s="414" t="s">
        <v>319</v>
      </c>
      <c r="J18" s="284" t="s">
        <v>76</v>
      </c>
      <c r="K18" s="284">
        <v>100000</v>
      </c>
      <c r="L18" s="201" t="s">
        <v>111</v>
      </c>
      <c r="M18" s="271">
        <v>3</v>
      </c>
      <c r="N18" s="407">
        <v>45566</v>
      </c>
      <c r="O18" s="416" t="s">
        <v>101</v>
      </c>
      <c r="P18" s="270"/>
      <c r="Q18" s="607">
        <f>+K18/M18</f>
        <v>33333.333333333336</v>
      </c>
      <c r="R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s="304" customFormat="1" hidden="1" x14ac:dyDescent="0.2">
      <c r="A19" s="200">
        <v>109</v>
      </c>
      <c r="B19" s="270" t="s">
        <v>95</v>
      </c>
      <c r="C19" s="270" t="s">
        <v>127</v>
      </c>
      <c r="D19" s="270" t="s">
        <v>127</v>
      </c>
      <c r="E19" s="201" t="s">
        <v>37</v>
      </c>
      <c r="F19" s="302" t="s">
        <v>43</v>
      </c>
      <c r="G19" s="270" t="s">
        <v>363</v>
      </c>
      <c r="H19" s="302" t="s">
        <v>363</v>
      </c>
      <c r="I19" s="414" t="s">
        <v>364</v>
      </c>
      <c r="J19" s="284" t="s">
        <v>78</v>
      </c>
      <c r="K19" s="284">
        <v>66000</v>
      </c>
      <c r="L19" s="201" t="s">
        <v>100</v>
      </c>
      <c r="M19" s="271">
        <v>4</v>
      </c>
      <c r="N19" s="407">
        <v>45566</v>
      </c>
      <c r="O19" s="416" t="s">
        <v>101</v>
      </c>
      <c r="P19" s="270"/>
      <c r="Q19" s="607">
        <f>+K19/M19</f>
        <v>16500</v>
      </c>
      <c r="R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s="304" customFormat="1" x14ac:dyDescent="0.2">
      <c r="A20" s="200">
        <v>119</v>
      </c>
      <c r="B20" s="270" t="s">
        <v>95</v>
      </c>
      <c r="C20" s="270" t="s">
        <v>142</v>
      </c>
      <c r="D20" s="270"/>
      <c r="E20" s="201" t="s">
        <v>20</v>
      </c>
      <c r="F20" s="302" t="s">
        <v>46</v>
      </c>
      <c r="G20" s="270" t="s">
        <v>345</v>
      </c>
      <c r="H20" s="302" t="s">
        <v>396</v>
      </c>
      <c r="I20" s="414" t="s">
        <v>397</v>
      </c>
      <c r="J20" s="284" t="s">
        <v>76</v>
      </c>
      <c r="K20" s="284">
        <v>20000</v>
      </c>
      <c r="L20" s="245" t="s">
        <v>100</v>
      </c>
      <c r="M20" s="271">
        <v>2</v>
      </c>
      <c r="N20" s="407">
        <v>45566</v>
      </c>
      <c r="O20" s="416" t="s">
        <v>101</v>
      </c>
      <c r="P20" s="270"/>
      <c r="Q20" s="607">
        <f>+K20/M20</f>
        <v>10000</v>
      </c>
      <c r="R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s="304" customFormat="1" ht="13.25" hidden="1" customHeight="1" x14ac:dyDescent="0.2">
      <c r="A21" s="200">
        <v>59</v>
      </c>
      <c r="B21" s="308" t="s">
        <v>95</v>
      </c>
      <c r="C21" s="270" t="s">
        <v>102</v>
      </c>
      <c r="D21" s="270" t="s">
        <v>120</v>
      </c>
      <c r="E21" s="201" t="s">
        <v>37</v>
      </c>
      <c r="F21" s="200" t="s">
        <v>48</v>
      </c>
      <c r="G21" s="200" t="s">
        <v>135</v>
      </c>
      <c r="H21" s="200" t="s">
        <v>77</v>
      </c>
      <c r="I21" s="414" t="s">
        <v>136</v>
      </c>
      <c r="J21" s="284" t="s">
        <v>76</v>
      </c>
      <c r="K21" s="284">
        <v>1000000</v>
      </c>
      <c r="L21" s="201" t="s">
        <v>111</v>
      </c>
      <c r="M21" s="271">
        <v>12</v>
      </c>
      <c r="N21" s="407">
        <v>45536</v>
      </c>
      <c r="O21" s="416" t="s">
        <v>101</v>
      </c>
      <c r="P21" s="590" t="s">
        <v>137</v>
      </c>
      <c r="Q21" s="607">
        <f>+K21/M21</f>
        <v>83333.333333333328</v>
      </c>
      <c r="R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4" s="304" customFormat="1" hidden="1" x14ac:dyDescent="0.2">
      <c r="A22" s="200">
        <v>92</v>
      </c>
      <c r="B22" s="270" t="s">
        <v>95</v>
      </c>
      <c r="C22" s="270" t="s">
        <v>102</v>
      </c>
      <c r="D22" s="270" t="s">
        <v>120</v>
      </c>
      <c r="E22" s="201" t="s">
        <v>37</v>
      </c>
      <c r="F22" s="302" t="s">
        <v>48</v>
      </c>
      <c r="G22" s="302" t="s">
        <v>138</v>
      </c>
      <c r="H22" s="302"/>
      <c r="I22" s="414" t="s">
        <v>139</v>
      </c>
      <c r="J22" s="284" t="s">
        <v>76</v>
      </c>
      <c r="K22" s="284">
        <v>1000000</v>
      </c>
      <c r="L22" s="201" t="s">
        <v>111</v>
      </c>
      <c r="M22" s="271">
        <v>6</v>
      </c>
      <c r="N22" s="407">
        <v>45536</v>
      </c>
      <c r="O22" s="416" t="s">
        <v>101</v>
      </c>
      <c r="P22" s="270"/>
      <c r="Q22" s="607">
        <f>+K22/M22</f>
        <v>166666.66666666666</v>
      </c>
      <c r="R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303"/>
      <c r="AR22" s="303"/>
    </row>
    <row r="23" spans="1:44" s="304" customFormat="1" ht="13.25" hidden="1" customHeight="1" x14ac:dyDescent="0.2">
      <c r="A23" s="200">
        <v>93</v>
      </c>
      <c r="B23" s="270" t="s">
        <v>116</v>
      </c>
      <c r="C23" s="270" t="s">
        <v>102</v>
      </c>
      <c r="D23" s="270" t="s">
        <v>120</v>
      </c>
      <c r="E23" s="201" t="s">
        <v>37</v>
      </c>
      <c r="F23" s="302" t="s">
        <v>48</v>
      </c>
      <c r="G23" s="302" t="s">
        <v>151</v>
      </c>
      <c r="H23" s="302" t="s">
        <v>152</v>
      </c>
      <c r="I23" s="414" t="s">
        <v>153</v>
      </c>
      <c r="J23" s="284" t="s">
        <v>76</v>
      </c>
      <c r="K23" s="284">
        <v>720000</v>
      </c>
      <c r="L23" s="201" t="s">
        <v>111</v>
      </c>
      <c r="M23" s="271">
        <v>12</v>
      </c>
      <c r="N23" s="407">
        <v>45536</v>
      </c>
      <c r="O23" s="416" t="s">
        <v>101</v>
      </c>
      <c r="P23" s="270"/>
      <c r="Q23" s="607">
        <f>+K23/M23</f>
        <v>60000</v>
      </c>
      <c r="R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303"/>
      <c r="AR23" s="303"/>
    </row>
    <row r="24" spans="1:44" s="304" customFormat="1" ht="13.25" hidden="1" customHeight="1" x14ac:dyDescent="0.2">
      <c r="A24" s="200">
        <v>38</v>
      </c>
      <c r="B24" s="305" t="s">
        <v>95</v>
      </c>
      <c r="C24" s="305" t="s">
        <v>131</v>
      </c>
      <c r="D24" s="305"/>
      <c r="E24" s="563" t="s">
        <v>37</v>
      </c>
      <c r="F24" s="306" t="s">
        <v>46</v>
      </c>
      <c r="G24" s="306" t="s">
        <v>246</v>
      </c>
      <c r="H24" s="306" t="s">
        <v>247</v>
      </c>
      <c r="I24" s="564" t="s">
        <v>248</v>
      </c>
      <c r="J24" s="565" t="s">
        <v>76</v>
      </c>
      <c r="K24" s="284">
        <v>200000</v>
      </c>
      <c r="L24" s="563" t="s">
        <v>111</v>
      </c>
      <c r="M24" s="307">
        <v>4</v>
      </c>
      <c r="N24" s="566">
        <v>45536</v>
      </c>
      <c r="O24" s="416" t="s">
        <v>101</v>
      </c>
      <c r="P24" s="591" t="s">
        <v>137</v>
      </c>
      <c r="Q24" s="607">
        <f>+K24/M24</f>
        <v>50000</v>
      </c>
      <c r="R24" s="562"/>
      <c r="AB24" s="562"/>
      <c r="AC24" s="562"/>
      <c r="AD24" s="562"/>
      <c r="AE24" s="562"/>
      <c r="AF24" s="562"/>
      <c r="AG24" s="562"/>
      <c r="AH24" s="562"/>
      <c r="AI24" s="562"/>
      <c r="AJ24" s="562"/>
      <c r="AK24" s="562"/>
      <c r="AL24" s="562"/>
      <c r="AM24" s="562"/>
      <c r="AN24" s="562"/>
      <c r="AO24" s="562"/>
      <c r="AP24" s="562"/>
      <c r="AQ24"/>
      <c r="AR24"/>
    </row>
    <row r="25" spans="1:44" s="304" customFormat="1" ht="13.25" customHeight="1" x14ac:dyDescent="0.2">
      <c r="A25" s="200">
        <v>99</v>
      </c>
      <c r="B25" s="270" t="s">
        <v>95</v>
      </c>
      <c r="C25" s="270" t="s">
        <v>142</v>
      </c>
      <c r="D25" s="270" t="s">
        <v>127</v>
      </c>
      <c r="E25" s="201" t="s">
        <v>20</v>
      </c>
      <c r="F25" s="302" t="s">
        <v>43</v>
      </c>
      <c r="G25" s="302" t="s">
        <v>97</v>
      </c>
      <c r="H25" s="302" t="s">
        <v>98</v>
      </c>
      <c r="I25" s="414" t="s">
        <v>362</v>
      </c>
      <c r="J25" s="284" t="s">
        <v>78</v>
      </c>
      <c r="K25" s="284">
        <v>66000</v>
      </c>
      <c r="L25" s="201" t="s">
        <v>100</v>
      </c>
      <c r="M25" s="271">
        <v>2</v>
      </c>
      <c r="N25" s="407">
        <v>45536</v>
      </c>
      <c r="O25" s="416" t="s">
        <v>101</v>
      </c>
      <c r="P25" s="270"/>
      <c r="Q25" s="607">
        <f>+K25/M25</f>
        <v>33000</v>
      </c>
      <c r="R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s="304" customFormat="1" ht="14.5" customHeight="1" x14ac:dyDescent="0.2">
      <c r="A26" s="200">
        <v>83</v>
      </c>
      <c r="B26" s="270" t="s">
        <v>95</v>
      </c>
      <c r="C26" s="270" t="s">
        <v>117</v>
      </c>
      <c r="D26" s="270" t="s">
        <v>127</v>
      </c>
      <c r="E26" s="302" t="s">
        <v>20</v>
      </c>
      <c r="F26" s="302" t="s">
        <v>45</v>
      </c>
      <c r="G26" s="302" t="s">
        <v>195</v>
      </c>
      <c r="H26" s="302" t="s">
        <v>330</v>
      </c>
      <c r="I26" s="414" t="s">
        <v>367</v>
      </c>
      <c r="J26" s="284" t="s">
        <v>78</v>
      </c>
      <c r="K26" s="284">
        <v>60000</v>
      </c>
      <c r="L26" s="201" t="s">
        <v>100</v>
      </c>
      <c r="M26" s="271">
        <v>2</v>
      </c>
      <c r="N26" s="407">
        <v>45536</v>
      </c>
      <c r="O26" s="416" t="s">
        <v>101</v>
      </c>
      <c r="P26" s="270"/>
      <c r="Q26" s="607">
        <f>+K26/M26</f>
        <v>30000</v>
      </c>
      <c r="R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s="304" customFormat="1" ht="13.25" hidden="1" customHeight="1" x14ac:dyDescent="0.15">
      <c r="A27" s="200">
        <v>11</v>
      </c>
      <c r="B27" s="302" t="s">
        <v>95</v>
      </c>
      <c r="C27" s="302" t="s">
        <v>96</v>
      </c>
      <c r="D27" s="302"/>
      <c r="E27" s="201" t="s">
        <v>37</v>
      </c>
      <c r="F27" s="200" t="s">
        <v>43</v>
      </c>
      <c r="G27" s="200" t="s">
        <v>97</v>
      </c>
      <c r="H27" s="200" t="s">
        <v>98</v>
      </c>
      <c r="I27" s="414" t="s">
        <v>99</v>
      </c>
      <c r="J27" s="284" t="s">
        <v>78</v>
      </c>
      <c r="K27" s="284" t="s">
        <v>77</v>
      </c>
      <c r="L27" s="201" t="s">
        <v>100</v>
      </c>
      <c r="M27" s="309">
        <v>3</v>
      </c>
      <c r="N27" s="407">
        <v>45505</v>
      </c>
      <c r="O27" s="416" t="s">
        <v>101</v>
      </c>
      <c r="P27" s="590"/>
      <c r="Q27" s="607"/>
      <c r="R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</row>
    <row r="28" spans="1:44" s="304" customFormat="1" ht="13.25" hidden="1" customHeight="1" x14ac:dyDescent="0.2">
      <c r="A28" s="200">
        <v>79</v>
      </c>
      <c r="B28" s="271" t="s">
        <v>95</v>
      </c>
      <c r="C28" s="270" t="s">
        <v>102</v>
      </c>
      <c r="D28" s="270" t="s">
        <v>120</v>
      </c>
      <c r="E28" s="201" t="s">
        <v>37</v>
      </c>
      <c r="F28" s="200" t="s">
        <v>48</v>
      </c>
      <c r="G28" s="200" t="s">
        <v>121</v>
      </c>
      <c r="H28" s="200"/>
      <c r="I28" s="414" t="s">
        <v>122</v>
      </c>
      <c r="J28" s="284" t="s">
        <v>78</v>
      </c>
      <c r="K28" s="284">
        <v>1500000</v>
      </c>
      <c r="L28" s="201" t="s">
        <v>111</v>
      </c>
      <c r="M28" s="271">
        <v>14</v>
      </c>
      <c r="N28" s="407">
        <v>45505</v>
      </c>
      <c r="O28" s="416" t="s">
        <v>106</v>
      </c>
      <c r="P28" s="270"/>
      <c r="Q28" s="607">
        <f>+K28/M28</f>
        <v>107142.85714285714</v>
      </c>
      <c r="R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s="303"/>
      <c r="AR28" s="303"/>
    </row>
    <row r="29" spans="1:44" s="304" customFormat="1" ht="13.25" hidden="1" customHeight="1" x14ac:dyDescent="0.2">
      <c r="A29" s="200">
        <v>98</v>
      </c>
      <c r="B29" s="270" t="s">
        <v>95</v>
      </c>
      <c r="C29" s="270" t="s">
        <v>112</v>
      </c>
      <c r="D29" s="270"/>
      <c r="E29" s="201" t="s">
        <v>37</v>
      </c>
      <c r="F29" s="302" t="s">
        <v>44</v>
      </c>
      <c r="G29" s="302" t="s">
        <v>166</v>
      </c>
      <c r="H29" s="302"/>
      <c r="I29" s="414" t="s">
        <v>167</v>
      </c>
      <c r="J29" s="284" t="s">
        <v>76</v>
      </c>
      <c r="K29" s="284">
        <v>500000</v>
      </c>
      <c r="L29" s="201" t="s">
        <v>100</v>
      </c>
      <c r="M29" s="271">
        <v>6</v>
      </c>
      <c r="N29" s="407">
        <v>45505</v>
      </c>
      <c r="O29" s="416" t="s">
        <v>106</v>
      </c>
      <c r="P29" s="270"/>
      <c r="Q29" s="607">
        <f>+K29/M29</f>
        <v>83333.333333333328</v>
      </c>
      <c r="R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</row>
    <row r="30" spans="1:44" s="304" customFormat="1" ht="13.25" customHeight="1" x14ac:dyDescent="0.2">
      <c r="A30" s="200">
        <v>85</v>
      </c>
      <c r="B30" s="270" t="s">
        <v>95</v>
      </c>
      <c r="C30" s="270"/>
      <c r="D30" s="270" t="s">
        <v>127</v>
      </c>
      <c r="E30" s="302" t="s">
        <v>20</v>
      </c>
      <c r="F30" s="302" t="s">
        <v>43</v>
      </c>
      <c r="G30" s="302" t="s">
        <v>181</v>
      </c>
      <c r="H30" s="302" t="s">
        <v>266</v>
      </c>
      <c r="I30" s="414" t="s">
        <v>267</v>
      </c>
      <c r="J30" s="284" t="s">
        <v>78</v>
      </c>
      <c r="K30" s="284">
        <v>190000</v>
      </c>
      <c r="L30" s="201" t="s">
        <v>100</v>
      </c>
      <c r="M30" s="271">
        <v>2</v>
      </c>
      <c r="N30" s="407">
        <v>45505</v>
      </c>
      <c r="O30" s="416" t="s">
        <v>106</v>
      </c>
      <c r="P30" s="270"/>
      <c r="Q30" s="607">
        <f>+K30/M30</f>
        <v>95000</v>
      </c>
      <c r="R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s="304" customFormat="1" hidden="1" x14ac:dyDescent="0.2">
      <c r="A31" s="200">
        <v>31</v>
      </c>
      <c r="B31" s="302" t="s">
        <v>95</v>
      </c>
      <c r="C31" s="302" t="s">
        <v>112</v>
      </c>
      <c r="D31" s="302"/>
      <c r="E31" s="201" t="s">
        <v>37</v>
      </c>
      <c r="F31" s="200" t="s">
        <v>44</v>
      </c>
      <c r="G31" s="200" t="s">
        <v>276</v>
      </c>
      <c r="H31" s="200" t="s">
        <v>77</v>
      </c>
      <c r="I31" s="414" t="s">
        <v>277</v>
      </c>
      <c r="J31" s="284" t="s">
        <v>78</v>
      </c>
      <c r="K31" s="284">
        <v>173900</v>
      </c>
      <c r="L31" s="201" t="s">
        <v>100</v>
      </c>
      <c r="M31" s="286">
        <v>3</v>
      </c>
      <c r="N31" s="242">
        <v>45505</v>
      </c>
      <c r="O31" s="416" t="s">
        <v>101</v>
      </c>
      <c r="P31" s="308"/>
      <c r="Q31" s="607">
        <f>+K31/M31</f>
        <v>57966.666666666664</v>
      </c>
      <c r="AQ31"/>
      <c r="AR31"/>
    </row>
    <row r="32" spans="1:44" s="304" customFormat="1" x14ac:dyDescent="0.2">
      <c r="A32" s="200">
        <v>89</v>
      </c>
      <c r="B32" s="270" t="s">
        <v>95</v>
      </c>
      <c r="C32" s="270" t="s">
        <v>131</v>
      </c>
      <c r="D32" s="270" t="s">
        <v>127</v>
      </c>
      <c r="E32" s="302" t="s">
        <v>20</v>
      </c>
      <c r="F32" s="302" t="s">
        <v>46</v>
      </c>
      <c r="G32" s="302" t="s">
        <v>175</v>
      </c>
      <c r="H32" s="302" t="s">
        <v>299</v>
      </c>
      <c r="I32" s="414" t="s">
        <v>300</v>
      </c>
      <c r="J32" s="284" t="s">
        <v>76</v>
      </c>
      <c r="K32" s="284">
        <v>133000</v>
      </c>
      <c r="L32" s="201" t="s">
        <v>111</v>
      </c>
      <c r="M32" s="271">
        <v>2</v>
      </c>
      <c r="N32" s="407">
        <v>45505</v>
      </c>
      <c r="O32" s="416" t="s">
        <v>101</v>
      </c>
      <c r="P32" s="270"/>
      <c r="Q32" s="607">
        <f>+K32/M32</f>
        <v>66500</v>
      </c>
      <c r="R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s="304" customFormat="1" ht="13.25" hidden="1" customHeight="1" x14ac:dyDescent="0.2">
      <c r="A33" s="200">
        <v>87</v>
      </c>
      <c r="B33" s="270" t="s">
        <v>95</v>
      </c>
      <c r="C33" s="270" t="s">
        <v>96</v>
      </c>
      <c r="D33" s="270" t="s">
        <v>127</v>
      </c>
      <c r="E33" s="302" t="s">
        <v>37</v>
      </c>
      <c r="F33" s="302" t="s">
        <v>46</v>
      </c>
      <c r="G33" s="302" t="s">
        <v>175</v>
      </c>
      <c r="H33" s="302" t="s">
        <v>77</v>
      </c>
      <c r="I33" s="414" t="s">
        <v>304</v>
      </c>
      <c r="J33" s="284" t="s">
        <v>78</v>
      </c>
      <c r="K33" s="284">
        <v>125000</v>
      </c>
      <c r="L33" s="201" t="s">
        <v>100</v>
      </c>
      <c r="M33" s="271">
        <v>4</v>
      </c>
      <c r="N33" s="407">
        <v>45505</v>
      </c>
      <c r="O33" s="416" t="s">
        <v>101</v>
      </c>
      <c r="P33" s="270"/>
      <c r="Q33" s="607">
        <f>+K33/M33</f>
        <v>31250</v>
      </c>
      <c r="R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s="304" customFormat="1" ht="13.25" customHeight="1" x14ac:dyDescent="0.2">
      <c r="A34" s="200">
        <v>100</v>
      </c>
      <c r="B34" s="270" t="s">
        <v>95</v>
      </c>
      <c r="C34" s="270" t="s">
        <v>142</v>
      </c>
      <c r="D34" s="270" t="s">
        <v>127</v>
      </c>
      <c r="E34" s="201" t="s">
        <v>20</v>
      </c>
      <c r="F34" s="302" t="s">
        <v>43</v>
      </c>
      <c r="G34" s="302" t="s">
        <v>97</v>
      </c>
      <c r="H34" s="302" t="s">
        <v>305</v>
      </c>
      <c r="I34" s="414" t="s">
        <v>306</v>
      </c>
      <c r="J34" s="284" t="s">
        <v>78</v>
      </c>
      <c r="K34" s="284">
        <v>120000</v>
      </c>
      <c r="L34" s="201" t="s">
        <v>100</v>
      </c>
      <c r="M34" s="271">
        <v>3</v>
      </c>
      <c r="N34" s="407">
        <v>45505</v>
      </c>
      <c r="O34" s="416" t="s">
        <v>101</v>
      </c>
      <c r="P34" s="270"/>
      <c r="Q34" s="607">
        <f>+K34/M34</f>
        <v>40000</v>
      </c>
      <c r="R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s="304" customFormat="1" ht="13.25" hidden="1" customHeight="1" x14ac:dyDescent="0.2">
      <c r="A35" s="200">
        <v>86</v>
      </c>
      <c r="B35" s="270" t="s">
        <v>95</v>
      </c>
      <c r="C35" s="270" t="s">
        <v>96</v>
      </c>
      <c r="D35" s="270" t="s">
        <v>112</v>
      </c>
      <c r="E35" s="302" t="s">
        <v>37</v>
      </c>
      <c r="F35" s="302" t="s">
        <v>43</v>
      </c>
      <c r="G35" s="270" t="s">
        <v>249</v>
      </c>
      <c r="H35" s="302" t="s">
        <v>315</v>
      </c>
      <c r="I35" s="414" t="s">
        <v>316</v>
      </c>
      <c r="J35" s="284" t="s">
        <v>76</v>
      </c>
      <c r="K35" s="284">
        <v>100000</v>
      </c>
      <c r="L35" s="201" t="s">
        <v>100</v>
      </c>
      <c r="M35" s="271">
        <v>2</v>
      </c>
      <c r="N35" s="407">
        <v>45505</v>
      </c>
      <c r="O35" s="416" t="s">
        <v>101</v>
      </c>
      <c r="P35" s="270"/>
      <c r="Q35" s="607">
        <f>+K35/M35</f>
        <v>50000</v>
      </c>
      <c r="R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s="304" customFormat="1" ht="13.25" customHeight="1" x14ac:dyDescent="0.2">
      <c r="A36" s="200">
        <v>96</v>
      </c>
      <c r="B36" s="270" t="s">
        <v>95</v>
      </c>
      <c r="C36" s="270" t="s">
        <v>142</v>
      </c>
      <c r="D36" s="270" t="s">
        <v>218</v>
      </c>
      <c r="E36" s="201" t="s">
        <v>20</v>
      </c>
      <c r="F36" s="302" t="s">
        <v>43</v>
      </c>
      <c r="G36" s="302" t="s">
        <v>143</v>
      </c>
      <c r="H36" s="302" t="s">
        <v>278</v>
      </c>
      <c r="I36" s="414" t="s">
        <v>317</v>
      </c>
      <c r="J36" s="284" t="s">
        <v>76</v>
      </c>
      <c r="K36" s="284">
        <v>100000</v>
      </c>
      <c r="L36" s="201" t="s">
        <v>100</v>
      </c>
      <c r="M36" s="271">
        <v>10</v>
      </c>
      <c r="N36" s="407">
        <v>45505</v>
      </c>
      <c r="O36" s="416" t="s">
        <v>101</v>
      </c>
      <c r="P36" s="270"/>
      <c r="Q36" s="607">
        <f>+K36/M36</f>
        <v>10000</v>
      </c>
      <c r="R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s="304" customFormat="1" x14ac:dyDescent="0.2">
      <c r="A37" s="200">
        <v>91</v>
      </c>
      <c r="B37" s="270" t="s">
        <v>95</v>
      </c>
      <c r="C37" s="270" t="s">
        <v>96</v>
      </c>
      <c r="D37" s="270" t="s">
        <v>127</v>
      </c>
      <c r="E37" s="201" t="s">
        <v>20</v>
      </c>
      <c r="F37" s="302" t="s">
        <v>43</v>
      </c>
      <c r="G37" s="270" t="s">
        <v>249</v>
      </c>
      <c r="H37" s="302" t="s">
        <v>250</v>
      </c>
      <c r="I37" s="414" t="s">
        <v>341</v>
      </c>
      <c r="J37" s="284" t="s">
        <v>76</v>
      </c>
      <c r="K37" s="284">
        <v>85000</v>
      </c>
      <c r="L37" s="201" t="s">
        <v>111</v>
      </c>
      <c r="M37" s="271">
        <v>3</v>
      </c>
      <c r="N37" s="407">
        <v>45505</v>
      </c>
      <c r="O37" s="416" t="s">
        <v>101</v>
      </c>
      <c r="P37" s="270"/>
      <c r="Q37" s="607">
        <f>+K37/M37</f>
        <v>28333.333333333332</v>
      </c>
      <c r="R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s="304" customFormat="1" hidden="1" x14ac:dyDescent="0.2">
      <c r="A38" s="200">
        <v>88</v>
      </c>
      <c r="B38" s="270" t="s">
        <v>95</v>
      </c>
      <c r="C38" s="270" t="s">
        <v>131</v>
      </c>
      <c r="D38" s="270" t="s">
        <v>127</v>
      </c>
      <c r="E38" s="302" t="s">
        <v>37</v>
      </c>
      <c r="F38" s="302" t="s">
        <v>46</v>
      </c>
      <c r="G38" s="302" t="s">
        <v>345</v>
      </c>
      <c r="H38" s="302" t="s">
        <v>346</v>
      </c>
      <c r="I38" s="414" t="s">
        <v>347</v>
      </c>
      <c r="J38" s="284" t="s">
        <v>76</v>
      </c>
      <c r="K38" s="284">
        <v>80000</v>
      </c>
      <c r="L38" s="201" t="s">
        <v>111</v>
      </c>
      <c r="M38" s="271">
        <v>3</v>
      </c>
      <c r="N38" s="407">
        <v>45505</v>
      </c>
      <c r="O38" s="416" t="s">
        <v>101</v>
      </c>
      <c r="P38" s="270" t="s">
        <v>155</v>
      </c>
      <c r="Q38" s="607">
        <f>+K38/M38</f>
        <v>26666.666666666668</v>
      </c>
      <c r="R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s="562" customFormat="1" x14ac:dyDescent="0.2">
      <c r="A39" s="200">
        <v>81</v>
      </c>
      <c r="B39" s="270" t="s">
        <v>95</v>
      </c>
      <c r="C39" s="270" t="s">
        <v>174</v>
      </c>
      <c r="D39" s="270" t="s">
        <v>127</v>
      </c>
      <c r="E39" s="302" t="s">
        <v>20</v>
      </c>
      <c r="F39" s="302" t="s">
        <v>46</v>
      </c>
      <c r="G39" s="302" t="s">
        <v>175</v>
      </c>
      <c r="H39" s="302" t="s">
        <v>176</v>
      </c>
      <c r="I39" s="414" t="s">
        <v>356</v>
      </c>
      <c r="J39" s="284" t="s">
        <v>78</v>
      </c>
      <c r="K39" s="284">
        <v>70000</v>
      </c>
      <c r="L39" s="201" t="s">
        <v>100</v>
      </c>
      <c r="M39" s="271">
        <v>2</v>
      </c>
      <c r="N39" s="407">
        <v>45505</v>
      </c>
      <c r="O39" s="416" t="s">
        <v>101</v>
      </c>
      <c r="P39" s="270"/>
      <c r="Q39" s="607">
        <f>+K39/M39</f>
        <v>35000</v>
      </c>
      <c r="R39"/>
      <c r="S39" s="304"/>
      <c r="T39" s="304"/>
      <c r="U39" s="304"/>
      <c r="V39" s="304"/>
      <c r="W39" s="304"/>
      <c r="X39" s="304"/>
      <c r="Y39" s="304"/>
      <c r="Z39" s="304"/>
      <c r="AA39" s="304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s="304" customFormat="1" x14ac:dyDescent="0.2">
      <c r="A40" s="200">
        <v>95</v>
      </c>
      <c r="B40" s="270" t="s">
        <v>95</v>
      </c>
      <c r="C40" s="270" t="s">
        <v>142</v>
      </c>
      <c r="D40" s="270" t="s">
        <v>127</v>
      </c>
      <c r="E40" s="201" t="s">
        <v>20</v>
      </c>
      <c r="F40" s="302" t="s">
        <v>43</v>
      </c>
      <c r="G40" s="302" t="s">
        <v>181</v>
      </c>
      <c r="H40" s="302" t="s">
        <v>358</v>
      </c>
      <c r="I40" s="414" t="s">
        <v>359</v>
      </c>
      <c r="J40" s="284" t="s">
        <v>76</v>
      </c>
      <c r="K40" s="284">
        <v>70000</v>
      </c>
      <c r="L40" s="201" t="s">
        <v>100</v>
      </c>
      <c r="M40" s="271">
        <v>2</v>
      </c>
      <c r="N40" s="407">
        <v>45505</v>
      </c>
      <c r="O40" s="416" t="s">
        <v>101</v>
      </c>
      <c r="P40" s="270"/>
      <c r="Q40" s="607">
        <f>+K40/M40</f>
        <v>35000</v>
      </c>
      <c r="R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s="304" customFormat="1" ht="14.5" hidden="1" customHeight="1" x14ac:dyDescent="0.2">
      <c r="A41" s="200">
        <v>90</v>
      </c>
      <c r="B41" s="270" t="s">
        <v>95</v>
      </c>
      <c r="C41" s="270" t="s">
        <v>142</v>
      </c>
      <c r="D41" s="270" t="s">
        <v>127</v>
      </c>
      <c r="E41" s="201" t="s">
        <v>37</v>
      </c>
      <c r="F41" s="302" t="s">
        <v>43</v>
      </c>
      <c r="G41" s="270" t="s">
        <v>249</v>
      </c>
      <c r="H41" s="302" t="s">
        <v>315</v>
      </c>
      <c r="I41" s="414" t="s">
        <v>376</v>
      </c>
      <c r="J41" s="284" t="s">
        <v>76</v>
      </c>
      <c r="K41" s="284">
        <v>45000</v>
      </c>
      <c r="L41" s="201" t="s">
        <v>111</v>
      </c>
      <c r="M41" s="271">
        <v>2</v>
      </c>
      <c r="N41" s="407">
        <v>45505</v>
      </c>
      <c r="O41" s="416" t="s">
        <v>106</v>
      </c>
      <c r="P41" s="270" t="s">
        <v>137</v>
      </c>
      <c r="Q41" s="607">
        <f>+K41/M41</f>
        <v>22500</v>
      </c>
      <c r="R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s="304" customFormat="1" ht="13.25" customHeight="1" x14ac:dyDescent="0.2">
      <c r="A42" s="200">
        <v>94</v>
      </c>
      <c r="B42" s="270" t="s">
        <v>95</v>
      </c>
      <c r="C42" s="270" t="s">
        <v>142</v>
      </c>
      <c r="D42" s="270"/>
      <c r="E42" s="201" t="s">
        <v>20</v>
      </c>
      <c r="F42" s="302" t="s">
        <v>43</v>
      </c>
      <c r="G42" s="302" t="s">
        <v>143</v>
      </c>
      <c r="H42" s="302" t="s">
        <v>318</v>
      </c>
      <c r="I42" s="414" t="s">
        <v>377</v>
      </c>
      <c r="J42" s="284" t="s">
        <v>76</v>
      </c>
      <c r="K42" s="284">
        <v>45000</v>
      </c>
      <c r="L42" s="201" t="s">
        <v>100</v>
      </c>
      <c r="M42" s="271">
        <v>3</v>
      </c>
      <c r="N42" s="407">
        <v>45505</v>
      </c>
      <c r="O42" s="416" t="s">
        <v>101</v>
      </c>
      <c r="P42" s="270"/>
      <c r="Q42" s="607">
        <f>+K42/M42</f>
        <v>15000</v>
      </c>
      <c r="R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s="304" customFormat="1" x14ac:dyDescent="0.2">
      <c r="A43" s="200">
        <v>104</v>
      </c>
      <c r="B43" s="270" t="s">
        <v>95</v>
      </c>
      <c r="C43" s="270" t="s">
        <v>117</v>
      </c>
      <c r="D43" s="270" t="s">
        <v>127</v>
      </c>
      <c r="E43" s="201" t="s">
        <v>20</v>
      </c>
      <c r="F43" s="302" t="s">
        <v>45</v>
      </c>
      <c r="G43" s="270" t="s">
        <v>386</v>
      </c>
      <c r="H43" s="302" t="s">
        <v>387</v>
      </c>
      <c r="I43" s="414" t="s">
        <v>388</v>
      </c>
      <c r="J43" s="284" t="s">
        <v>78</v>
      </c>
      <c r="K43" s="284">
        <v>40000</v>
      </c>
      <c r="L43" s="201" t="s">
        <v>100</v>
      </c>
      <c r="M43" s="514">
        <v>2</v>
      </c>
      <c r="N43" s="635">
        <v>45505</v>
      </c>
      <c r="O43" s="416" t="s">
        <v>101</v>
      </c>
      <c r="P43" s="270"/>
      <c r="Q43" s="607">
        <f>+K43/M43</f>
        <v>20000</v>
      </c>
      <c r="R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s="304" customFormat="1" ht="13.25" hidden="1" customHeight="1" x14ac:dyDescent="0.2">
      <c r="A44" s="200">
        <v>73</v>
      </c>
      <c r="B44" s="302" t="s">
        <v>95</v>
      </c>
      <c r="C44" s="270" t="s">
        <v>131</v>
      </c>
      <c r="D44" s="270" t="s">
        <v>127</v>
      </c>
      <c r="E44" s="201" t="s">
        <v>37</v>
      </c>
      <c r="F44" s="200" t="s">
        <v>46</v>
      </c>
      <c r="G44" s="200" t="s">
        <v>268</v>
      </c>
      <c r="H44" s="200" t="s">
        <v>269</v>
      </c>
      <c r="I44" s="414" t="s">
        <v>389</v>
      </c>
      <c r="J44" s="284" t="s">
        <v>76</v>
      </c>
      <c r="K44" s="284">
        <v>38000</v>
      </c>
      <c r="L44" s="201" t="s">
        <v>100</v>
      </c>
      <c r="M44" s="271">
        <v>2</v>
      </c>
      <c r="N44" s="407">
        <v>45505</v>
      </c>
      <c r="O44" s="416" t="s">
        <v>101</v>
      </c>
      <c r="P44" s="270"/>
      <c r="Q44" s="607">
        <f>+K44/M44</f>
        <v>19000</v>
      </c>
      <c r="R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s="304" customFormat="1" ht="13" x14ac:dyDescent="0.15">
      <c r="A45" s="200">
        <v>10</v>
      </c>
      <c r="B45" s="302" t="s">
        <v>95</v>
      </c>
      <c r="C45" s="302" t="s">
        <v>142</v>
      </c>
      <c r="D45" s="302"/>
      <c r="E45" s="201" t="s">
        <v>20</v>
      </c>
      <c r="F45" s="200" t="s">
        <v>43</v>
      </c>
      <c r="G45" s="200" t="s">
        <v>143</v>
      </c>
      <c r="H45" s="200" t="s">
        <v>144</v>
      </c>
      <c r="I45" s="414" t="s">
        <v>145</v>
      </c>
      <c r="J45" s="284" t="s">
        <v>76</v>
      </c>
      <c r="K45" s="284">
        <v>840000</v>
      </c>
      <c r="L45" s="201" t="s">
        <v>100</v>
      </c>
      <c r="M45" s="286">
        <v>12</v>
      </c>
      <c r="N45" s="242">
        <v>45474</v>
      </c>
      <c r="O45" s="416" t="s">
        <v>101</v>
      </c>
      <c r="P45" s="590"/>
      <c r="Q45" s="607">
        <f>+K45/M45</f>
        <v>70000</v>
      </c>
      <c r="AQ45" s="303"/>
      <c r="AR45" s="303"/>
    </row>
    <row r="46" spans="1:44" s="304" customFormat="1" ht="13.25" customHeight="1" x14ac:dyDescent="0.15">
      <c r="A46" s="200">
        <v>9</v>
      </c>
      <c r="B46" s="302" t="s">
        <v>95</v>
      </c>
      <c r="C46" s="308" t="s">
        <v>142</v>
      </c>
      <c r="D46" s="308"/>
      <c r="E46" s="201" t="s">
        <v>20</v>
      </c>
      <c r="F46" s="200" t="s">
        <v>43</v>
      </c>
      <c r="G46" s="200" t="s">
        <v>229</v>
      </c>
      <c r="H46" s="200" t="s">
        <v>230</v>
      </c>
      <c r="I46" s="199" t="s">
        <v>231</v>
      </c>
      <c r="J46" s="284" t="s">
        <v>76</v>
      </c>
      <c r="K46" s="284">
        <v>239000</v>
      </c>
      <c r="L46" s="201" t="s">
        <v>100</v>
      </c>
      <c r="M46" s="309">
        <v>4</v>
      </c>
      <c r="N46" s="242">
        <v>45474</v>
      </c>
      <c r="O46" s="416" t="s">
        <v>101</v>
      </c>
      <c r="P46" s="590"/>
      <c r="Q46" s="607">
        <f>+K46/M46</f>
        <v>59750</v>
      </c>
    </row>
    <row r="47" spans="1:44" s="304" customFormat="1" ht="13.25" customHeight="1" x14ac:dyDescent="0.2">
      <c r="A47" s="200">
        <v>8</v>
      </c>
      <c r="B47" s="302" t="s">
        <v>116</v>
      </c>
      <c r="C47" s="302" t="s">
        <v>218</v>
      </c>
      <c r="D47" s="302"/>
      <c r="E47" s="201" t="s">
        <v>20</v>
      </c>
      <c r="F47" s="200" t="s">
        <v>45</v>
      </c>
      <c r="G47" s="200" t="s">
        <v>195</v>
      </c>
      <c r="H47" s="200" t="s">
        <v>330</v>
      </c>
      <c r="I47" s="369" t="s">
        <v>331</v>
      </c>
      <c r="J47" s="284" t="s">
        <v>76</v>
      </c>
      <c r="K47" s="284">
        <v>90000</v>
      </c>
      <c r="L47" s="201" t="s">
        <v>252</v>
      </c>
      <c r="M47" s="286">
        <v>3</v>
      </c>
      <c r="N47" s="242">
        <v>45474</v>
      </c>
      <c r="O47" s="416" t="s">
        <v>101</v>
      </c>
      <c r="P47" s="302"/>
      <c r="Q47" s="607">
        <f>+K47/M47</f>
        <v>30000</v>
      </c>
      <c r="R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/>
      <c r="AR47"/>
    </row>
    <row r="48" spans="1:44" s="304" customFormat="1" ht="13.25" hidden="1" customHeight="1" x14ac:dyDescent="0.2">
      <c r="A48" s="200">
        <v>82</v>
      </c>
      <c r="B48" s="270" t="s">
        <v>95</v>
      </c>
      <c r="C48" s="270"/>
      <c r="D48" s="270" t="s">
        <v>127</v>
      </c>
      <c r="E48" s="302" t="s">
        <v>37</v>
      </c>
      <c r="F48" s="302" t="s">
        <v>43</v>
      </c>
      <c r="G48" s="302" t="s">
        <v>343</v>
      </c>
      <c r="H48" s="302"/>
      <c r="I48" s="414" t="s">
        <v>344</v>
      </c>
      <c r="J48" s="284" t="s">
        <v>78</v>
      </c>
      <c r="K48" s="284">
        <v>81000</v>
      </c>
      <c r="L48" s="201" t="s">
        <v>100</v>
      </c>
      <c r="M48" s="271">
        <v>2</v>
      </c>
      <c r="N48" s="407">
        <v>45474</v>
      </c>
      <c r="O48" s="416" t="s">
        <v>101</v>
      </c>
      <c r="P48" s="270"/>
      <c r="Q48" s="607">
        <f>+K48/M48</f>
        <v>40500</v>
      </c>
      <c r="R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s="304" customFormat="1" ht="13.25" hidden="1" customHeight="1" x14ac:dyDescent="0.15">
      <c r="A49" s="200">
        <v>13</v>
      </c>
      <c r="B49" s="302" t="s">
        <v>95</v>
      </c>
      <c r="C49" s="302" t="s">
        <v>102</v>
      </c>
      <c r="D49" s="302"/>
      <c r="E49" s="201" t="s">
        <v>37</v>
      </c>
      <c r="F49" s="200" t="s">
        <v>48</v>
      </c>
      <c r="G49" s="200" t="s">
        <v>103</v>
      </c>
      <c r="H49" s="200" t="s">
        <v>104</v>
      </c>
      <c r="I49" s="414" t="s">
        <v>105</v>
      </c>
      <c r="J49" s="301" t="s">
        <v>76</v>
      </c>
      <c r="K49" s="284" t="s">
        <v>77</v>
      </c>
      <c r="L49" s="201" t="s">
        <v>100</v>
      </c>
      <c r="M49" s="309">
        <v>12</v>
      </c>
      <c r="N49" s="242">
        <v>45444</v>
      </c>
      <c r="O49" s="416" t="s">
        <v>106</v>
      </c>
      <c r="P49" s="302" t="s">
        <v>107</v>
      </c>
      <c r="Q49" s="607"/>
      <c r="R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</row>
    <row r="50" spans="1:44" s="304" customFormat="1" ht="13.25" hidden="1" customHeight="1" x14ac:dyDescent="0.15">
      <c r="A50" s="200">
        <v>16</v>
      </c>
      <c r="B50" s="302" t="s">
        <v>95</v>
      </c>
      <c r="C50" s="302" t="s">
        <v>112</v>
      </c>
      <c r="D50" s="302"/>
      <c r="E50" s="201" t="s">
        <v>37</v>
      </c>
      <c r="F50" s="200" t="s">
        <v>44</v>
      </c>
      <c r="G50" s="200" t="s">
        <v>113</v>
      </c>
      <c r="H50" s="200" t="s">
        <v>146</v>
      </c>
      <c r="I50" s="414" t="s">
        <v>147</v>
      </c>
      <c r="J50" s="284" t="s">
        <v>78</v>
      </c>
      <c r="K50" s="284">
        <v>800000</v>
      </c>
      <c r="L50" s="201" t="s">
        <v>100</v>
      </c>
      <c r="M50" s="286">
        <v>12</v>
      </c>
      <c r="N50" s="242">
        <v>45444</v>
      </c>
      <c r="O50" s="416" t="s">
        <v>101</v>
      </c>
      <c r="P50" s="302" t="s">
        <v>148</v>
      </c>
      <c r="Q50" s="607">
        <f>+K50/M50</f>
        <v>66666.666666666672</v>
      </c>
      <c r="R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</row>
    <row r="51" spans="1:44" s="304" customFormat="1" ht="13.25" hidden="1" customHeight="1" x14ac:dyDescent="0.15">
      <c r="A51" s="200">
        <v>18</v>
      </c>
      <c r="B51" s="302" t="s">
        <v>95</v>
      </c>
      <c r="C51" s="302" t="s">
        <v>102</v>
      </c>
      <c r="D51" s="302"/>
      <c r="E51" s="201" t="s">
        <v>37</v>
      </c>
      <c r="F51" s="200" t="s">
        <v>48</v>
      </c>
      <c r="G51" s="200" t="s">
        <v>149</v>
      </c>
      <c r="H51" s="200" t="s">
        <v>77</v>
      </c>
      <c r="I51" s="414" t="s">
        <v>150</v>
      </c>
      <c r="J51" s="284" t="s">
        <v>78</v>
      </c>
      <c r="K51" s="284">
        <v>725000</v>
      </c>
      <c r="L51" s="201" t="s">
        <v>100</v>
      </c>
      <c r="M51" s="309">
        <v>3</v>
      </c>
      <c r="N51" s="242">
        <v>45444</v>
      </c>
      <c r="O51" s="416" t="s">
        <v>101</v>
      </c>
      <c r="P51" s="308" t="s">
        <v>107</v>
      </c>
      <c r="Q51" s="607">
        <f>+K51/M51</f>
        <v>241666.66666666666</v>
      </c>
      <c r="AQ51" s="303"/>
      <c r="AR51" s="303"/>
    </row>
    <row r="52" spans="1:44" s="304" customFormat="1" ht="13" hidden="1" x14ac:dyDescent="0.15">
      <c r="A52" s="200">
        <v>29</v>
      </c>
      <c r="B52" s="302" t="s">
        <v>95</v>
      </c>
      <c r="C52" s="302" t="s">
        <v>102</v>
      </c>
      <c r="D52" s="302"/>
      <c r="E52" s="201" t="s">
        <v>37</v>
      </c>
      <c r="F52" s="200" t="s">
        <v>48</v>
      </c>
      <c r="G52" s="200" t="s">
        <v>158</v>
      </c>
      <c r="H52" s="200" t="s">
        <v>159</v>
      </c>
      <c r="I52" s="414" t="s">
        <v>160</v>
      </c>
      <c r="J52" s="284" t="s">
        <v>78</v>
      </c>
      <c r="K52" s="284">
        <v>600000</v>
      </c>
      <c r="L52" s="201" t="s">
        <v>111</v>
      </c>
      <c r="M52" s="286">
        <v>10</v>
      </c>
      <c r="N52" s="242">
        <v>45444</v>
      </c>
      <c r="O52" s="416" t="s">
        <v>101</v>
      </c>
      <c r="P52" s="308" t="s">
        <v>107</v>
      </c>
      <c r="Q52" s="607">
        <f>+K52/M52</f>
        <v>60000</v>
      </c>
    </row>
    <row r="53" spans="1:44" s="304" customFormat="1" ht="13.25" hidden="1" customHeight="1" x14ac:dyDescent="0.15">
      <c r="A53" s="200">
        <v>35</v>
      </c>
      <c r="B53" s="302" t="s">
        <v>116</v>
      </c>
      <c r="C53" s="302" t="s">
        <v>102</v>
      </c>
      <c r="D53" s="302"/>
      <c r="E53" s="201" t="s">
        <v>37</v>
      </c>
      <c r="F53" s="200" t="s">
        <v>48</v>
      </c>
      <c r="G53" s="200" t="s">
        <v>186</v>
      </c>
      <c r="H53" s="200" t="s">
        <v>187</v>
      </c>
      <c r="I53" s="414" t="s">
        <v>188</v>
      </c>
      <c r="J53" s="284" t="s">
        <v>78</v>
      </c>
      <c r="K53" s="284">
        <v>395205</v>
      </c>
      <c r="L53" s="201" t="s">
        <v>100</v>
      </c>
      <c r="M53" s="286">
        <v>7</v>
      </c>
      <c r="N53" s="242">
        <v>45444</v>
      </c>
      <c r="O53" s="416" t="s">
        <v>101</v>
      </c>
      <c r="P53" s="308" t="s">
        <v>155</v>
      </c>
      <c r="Q53" s="607">
        <f>+K53/M53</f>
        <v>56457.857142857145</v>
      </c>
    </row>
    <row r="54" spans="1:44" s="310" customFormat="1" ht="14.5" hidden="1" customHeight="1" x14ac:dyDescent="0.15">
      <c r="A54" s="200">
        <v>36</v>
      </c>
      <c r="B54" s="302" t="s">
        <v>116</v>
      </c>
      <c r="C54" s="302" t="s">
        <v>102</v>
      </c>
      <c r="D54" s="302"/>
      <c r="E54" s="201" t="s">
        <v>37</v>
      </c>
      <c r="F54" s="200" t="s">
        <v>48</v>
      </c>
      <c r="G54" s="200" t="s">
        <v>189</v>
      </c>
      <c r="H54" s="200" t="s">
        <v>190</v>
      </c>
      <c r="I54" s="414" t="s">
        <v>191</v>
      </c>
      <c r="J54" s="284" t="s">
        <v>76</v>
      </c>
      <c r="K54" s="284">
        <v>375000</v>
      </c>
      <c r="L54" s="201" t="s">
        <v>100</v>
      </c>
      <c r="M54" s="286">
        <v>7</v>
      </c>
      <c r="N54" s="242">
        <v>45444</v>
      </c>
      <c r="O54" s="416" t="s">
        <v>101</v>
      </c>
      <c r="P54" s="308" t="s">
        <v>155</v>
      </c>
      <c r="Q54" s="607">
        <f>+K54/M54</f>
        <v>53571.428571428572</v>
      </c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304"/>
      <c r="AH54" s="304"/>
      <c r="AI54" s="304"/>
      <c r="AJ54" s="304"/>
      <c r="AK54" s="304"/>
      <c r="AL54" s="304"/>
      <c r="AM54" s="304"/>
      <c r="AN54" s="304"/>
      <c r="AO54" s="304"/>
      <c r="AP54" s="304"/>
      <c r="AQ54" s="304"/>
      <c r="AR54" s="304"/>
    </row>
    <row r="55" spans="1:44" s="304" customFormat="1" ht="13.25" hidden="1" customHeight="1" x14ac:dyDescent="0.15">
      <c r="A55" s="200">
        <v>30</v>
      </c>
      <c r="B55" s="302" t="s">
        <v>95</v>
      </c>
      <c r="C55" s="302" t="s">
        <v>102</v>
      </c>
      <c r="D55" s="302"/>
      <c r="E55" s="201" t="s">
        <v>37</v>
      </c>
      <c r="F55" s="200" t="s">
        <v>48</v>
      </c>
      <c r="G55" s="200" t="s">
        <v>186</v>
      </c>
      <c r="H55" s="200" t="s">
        <v>77</v>
      </c>
      <c r="I55" s="414" t="s">
        <v>201</v>
      </c>
      <c r="J55" s="284" t="s">
        <v>78</v>
      </c>
      <c r="K55" s="284">
        <v>324700</v>
      </c>
      <c r="L55" s="201" t="s">
        <v>100</v>
      </c>
      <c r="M55" s="286">
        <v>6</v>
      </c>
      <c r="N55" s="242">
        <v>45444</v>
      </c>
      <c r="O55" s="416" t="s">
        <v>106</v>
      </c>
      <c r="P55" s="308" t="s">
        <v>107</v>
      </c>
      <c r="Q55" s="607">
        <f>+K55/M55</f>
        <v>54116.666666666664</v>
      </c>
    </row>
    <row r="56" spans="1:44" s="304" customFormat="1" ht="13.25" hidden="1" customHeight="1" x14ac:dyDescent="0.15">
      <c r="A56" s="200">
        <v>17</v>
      </c>
      <c r="B56" s="302" t="s">
        <v>116</v>
      </c>
      <c r="C56" s="302" t="s">
        <v>218</v>
      </c>
      <c r="D56" s="302"/>
      <c r="E56" s="201" t="s">
        <v>37</v>
      </c>
      <c r="F56" s="200" t="s">
        <v>43</v>
      </c>
      <c r="G56" s="200" t="s">
        <v>97</v>
      </c>
      <c r="H56" s="200" t="s">
        <v>98</v>
      </c>
      <c r="I56" s="414" t="s">
        <v>219</v>
      </c>
      <c r="J56" s="284" t="s">
        <v>78</v>
      </c>
      <c r="K56" s="284">
        <v>250000</v>
      </c>
      <c r="L56" s="201" t="s">
        <v>100</v>
      </c>
      <c r="M56" s="286">
        <v>6</v>
      </c>
      <c r="N56" s="242">
        <v>45444</v>
      </c>
      <c r="O56" s="416" t="s">
        <v>101</v>
      </c>
      <c r="P56" s="308" t="s">
        <v>107</v>
      </c>
      <c r="Q56" s="607">
        <f>+K56/M56</f>
        <v>41666.666666666664</v>
      </c>
    </row>
    <row r="57" spans="1:44" hidden="1" x14ac:dyDescent="0.2">
      <c r="A57" s="200">
        <v>28</v>
      </c>
      <c r="B57" s="302" t="s">
        <v>95</v>
      </c>
      <c r="C57" s="302" t="s">
        <v>102</v>
      </c>
      <c r="D57" s="302"/>
      <c r="E57" s="201" t="s">
        <v>37</v>
      </c>
      <c r="F57" s="200" t="s">
        <v>48</v>
      </c>
      <c r="G57" s="200" t="s">
        <v>241</v>
      </c>
      <c r="H57" s="200" t="s">
        <v>77</v>
      </c>
      <c r="I57" s="414" t="s">
        <v>242</v>
      </c>
      <c r="J57" s="284" t="s">
        <v>78</v>
      </c>
      <c r="K57" s="284">
        <v>202300</v>
      </c>
      <c r="L57" s="201" t="s">
        <v>100</v>
      </c>
      <c r="M57" s="286">
        <v>6</v>
      </c>
      <c r="N57" s="242">
        <v>45444</v>
      </c>
      <c r="O57" s="416" t="s">
        <v>106</v>
      </c>
      <c r="P57" s="308" t="s">
        <v>107</v>
      </c>
      <c r="Q57" s="607">
        <f>+K57/M57</f>
        <v>33716.666666666664</v>
      </c>
      <c r="R57" s="304"/>
      <c r="AB57" s="304"/>
      <c r="AC57" s="304"/>
      <c r="AD57" s="304"/>
      <c r="AE57" s="304"/>
      <c r="AF57" s="304"/>
      <c r="AG57" s="304"/>
      <c r="AH57" s="304"/>
      <c r="AI57" s="304"/>
      <c r="AJ57" s="304"/>
      <c r="AK57" s="304"/>
      <c r="AL57" s="304"/>
      <c r="AM57" s="304"/>
      <c r="AN57" s="304"/>
      <c r="AO57" s="304"/>
      <c r="AP57" s="304"/>
    </row>
    <row r="58" spans="1:44" hidden="1" x14ac:dyDescent="0.2">
      <c r="A58" s="200">
        <v>57</v>
      </c>
      <c r="B58" s="308" t="s">
        <v>95</v>
      </c>
      <c r="C58" s="270" t="s">
        <v>218</v>
      </c>
      <c r="D58" s="270" t="s">
        <v>127</v>
      </c>
      <c r="E58" s="201" t="s">
        <v>37</v>
      </c>
      <c r="F58" s="200" t="s">
        <v>46</v>
      </c>
      <c r="G58" s="200" t="s">
        <v>238</v>
      </c>
      <c r="H58" s="200" t="s">
        <v>254</v>
      </c>
      <c r="I58" s="414" t="s">
        <v>255</v>
      </c>
      <c r="J58" s="284" t="s">
        <v>78</v>
      </c>
      <c r="K58" s="284">
        <v>200000</v>
      </c>
      <c r="L58" s="201" t="s">
        <v>111</v>
      </c>
      <c r="M58" s="271">
        <v>2</v>
      </c>
      <c r="N58" s="242">
        <v>45444</v>
      </c>
      <c r="O58" s="416" t="s">
        <v>106</v>
      </c>
      <c r="P58" s="270" t="s">
        <v>165</v>
      </c>
      <c r="Q58" s="607">
        <f>+K58/M58</f>
        <v>100000</v>
      </c>
    </row>
    <row r="59" spans="1:44" hidden="1" x14ac:dyDescent="0.2">
      <c r="A59" s="200">
        <v>50</v>
      </c>
      <c r="B59" s="302" t="s">
        <v>116</v>
      </c>
      <c r="C59" s="308" t="s">
        <v>102</v>
      </c>
      <c r="D59" s="308"/>
      <c r="E59" s="201" t="s">
        <v>37</v>
      </c>
      <c r="F59" s="200" t="s">
        <v>48</v>
      </c>
      <c r="G59" s="200" t="s">
        <v>241</v>
      </c>
      <c r="H59" s="200" t="s">
        <v>259</v>
      </c>
      <c r="I59" s="414" t="s">
        <v>260</v>
      </c>
      <c r="J59" s="284" t="s">
        <v>76</v>
      </c>
      <c r="K59" s="284">
        <v>198000</v>
      </c>
      <c r="L59" s="201" t="s">
        <v>100</v>
      </c>
      <c r="M59" s="309">
        <v>3</v>
      </c>
      <c r="N59" s="311">
        <v>45444</v>
      </c>
      <c r="O59" s="416" t="s">
        <v>101</v>
      </c>
      <c r="P59" s="308" t="s">
        <v>155</v>
      </c>
      <c r="Q59" s="607">
        <f>+K59/M59</f>
        <v>66000</v>
      </c>
      <c r="R59" s="304"/>
      <c r="AB59" s="304"/>
      <c r="AC59" s="304"/>
      <c r="AD59" s="304"/>
      <c r="AE59" s="304"/>
      <c r="AF59" s="304"/>
      <c r="AG59" s="304"/>
      <c r="AH59" s="304"/>
      <c r="AI59" s="304"/>
      <c r="AJ59" s="304"/>
      <c r="AK59" s="304"/>
      <c r="AL59" s="304"/>
      <c r="AM59" s="304"/>
      <c r="AN59" s="304"/>
      <c r="AO59" s="304"/>
      <c r="AP59" s="304"/>
    </row>
    <row r="60" spans="1:44" hidden="1" x14ac:dyDescent="0.2">
      <c r="A60" s="200">
        <v>68</v>
      </c>
      <c r="B60" s="302" t="s">
        <v>95</v>
      </c>
      <c r="C60" s="270" t="s">
        <v>126</v>
      </c>
      <c r="D60" s="270" t="s">
        <v>174</v>
      </c>
      <c r="E60" s="201" t="s">
        <v>37</v>
      </c>
      <c r="F60" s="200" t="s">
        <v>46</v>
      </c>
      <c r="G60" s="200" t="s">
        <v>175</v>
      </c>
      <c r="H60" s="200" t="s">
        <v>261</v>
      </c>
      <c r="I60" s="414" t="s">
        <v>262</v>
      </c>
      <c r="J60" s="284" t="s">
        <v>78</v>
      </c>
      <c r="K60" s="284">
        <v>197000</v>
      </c>
      <c r="L60" s="201" t="s">
        <v>100</v>
      </c>
      <c r="M60" s="271">
        <v>4</v>
      </c>
      <c r="N60" s="407">
        <v>45444</v>
      </c>
      <c r="O60" s="416" t="s">
        <v>101</v>
      </c>
      <c r="P60" s="270"/>
      <c r="Q60" s="607">
        <f>+K60/M60</f>
        <v>49250</v>
      </c>
    </row>
    <row r="61" spans="1:44" x14ac:dyDescent="0.2">
      <c r="A61" s="200">
        <v>74</v>
      </c>
      <c r="B61" s="270" t="s">
        <v>95</v>
      </c>
      <c r="C61" s="270" t="s">
        <v>112</v>
      </c>
      <c r="D61" s="270"/>
      <c r="E61" s="201" t="s">
        <v>20</v>
      </c>
      <c r="F61" s="200" t="s">
        <v>44</v>
      </c>
      <c r="G61" s="200" t="s">
        <v>113</v>
      </c>
      <c r="H61" s="200" t="s">
        <v>146</v>
      </c>
      <c r="I61" s="414" t="s">
        <v>265</v>
      </c>
      <c r="J61" s="284" t="s">
        <v>78</v>
      </c>
      <c r="K61" s="284">
        <v>196000</v>
      </c>
      <c r="L61" s="201" t="s">
        <v>100</v>
      </c>
      <c r="M61" s="271">
        <v>3</v>
      </c>
      <c r="N61" s="407">
        <v>45444</v>
      </c>
      <c r="O61" s="416" t="s">
        <v>101</v>
      </c>
      <c r="P61" s="270"/>
      <c r="Q61" s="607">
        <f>+K61/M61</f>
        <v>65333.333333333336</v>
      </c>
    </row>
    <row r="62" spans="1:44" hidden="1" x14ac:dyDescent="0.2">
      <c r="A62" s="200">
        <v>12</v>
      </c>
      <c r="B62" s="302" t="s">
        <v>95</v>
      </c>
      <c r="C62" s="302" t="s">
        <v>120</v>
      </c>
      <c r="D62" s="302" t="s">
        <v>127</v>
      </c>
      <c r="E62" s="201" t="s">
        <v>37</v>
      </c>
      <c r="F62" s="200" t="s">
        <v>43</v>
      </c>
      <c r="G62" s="200" t="s">
        <v>301</v>
      </c>
      <c r="H62" s="200" t="s">
        <v>302</v>
      </c>
      <c r="I62" s="414" t="s">
        <v>303</v>
      </c>
      <c r="J62" s="284" t="s">
        <v>78</v>
      </c>
      <c r="K62" s="284">
        <v>130000</v>
      </c>
      <c r="L62" s="201" t="s">
        <v>100</v>
      </c>
      <c r="M62" s="286">
        <v>4</v>
      </c>
      <c r="N62" s="242">
        <v>45444</v>
      </c>
      <c r="O62" s="416" t="s">
        <v>101</v>
      </c>
      <c r="P62" s="590"/>
      <c r="Q62" s="607">
        <f>+K62/M62</f>
        <v>32500</v>
      </c>
      <c r="R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</row>
    <row r="63" spans="1:44" x14ac:dyDescent="0.2">
      <c r="A63" s="200">
        <v>77</v>
      </c>
      <c r="B63" s="271" t="s">
        <v>95</v>
      </c>
      <c r="C63" s="270" t="s">
        <v>112</v>
      </c>
      <c r="D63" s="270"/>
      <c r="E63" s="201" t="s">
        <v>20</v>
      </c>
      <c r="F63" s="200" t="s">
        <v>44</v>
      </c>
      <c r="G63" s="200" t="s">
        <v>321</v>
      </c>
      <c r="H63" s="200" t="s">
        <v>322</v>
      </c>
      <c r="I63" s="414" t="s">
        <v>323</v>
      </c>
      <c r="J63" s="284" t="s">
        <v>76</v>
      </c>
      <c r="K63" s="284">
        <v>98000</v>
      </c>
      <c r="L63" s="201" t="s">
        <v>100</v>
      </c>
      <c r="M63" s="271">
        <v>2</v>
      </c>
      <c r="N63" s="407">
        <v>45444</v>
      </c>
      <c r="O63" s="416" t="s">
        <v>101</v>
      </c>
      <c r="P63" s="270"/>
      <c r="Q63" s="607">
        <f>+K63/M63</f>
        <v>49000</v>
      </c>
    </row>
    <row r="64" spans="1:44" hidden="1" x14ac:dyDescent="0.2">
      <c r="A64" s="200">
        <v>65</v>
      </c>
      <c r="B64" s="270" t="s">
        <v>95</v>
      </c>
      <c r="C64" s="270" t="s">
        <v>112</v>
      </c>
      <c r="D64" s="270" t="s">
        <v>127</v>
      </c>
      <c r="E64" s="201" t="s">
        <v>37</v>
      </c>
      <c r="F64" s="200" t="s">
        <v>44</v>
      </c>
      <c r="G64" s="200" t="s">
        <v>321</v>
      </c>
      <c r="H64" s="200" t="s">
        <v>324</v>
      </c>
      <c r="I64" s="414" t="s">
        <v>325</v>
      </c>
      <c r="J64" s="284" t="s">
        <v>78</v>
      </c>
      <c r="K64" s="284">
        <v>97000</v>
      </c>
      <c r="L64" s="201" t="s">
        <v>100</v>
      </c>
      <c r="M64" s="271">
        <v>2</v>
      </c>
      <c r="N64" s="407">
        <v>45444</v>
      </c>
      <c r="O64" s="416" t="s">
        <v>101</v>
      </c>
      <c r="P64" s="270" t="s">
        <v>137</v>
      </c>
      <c r="Q64" s="607">
        <f>+K64/M64</f>
        <v>48500</v>
      </c>
    </row>
    <row r="65" spans="1:44" x14ac:dyDescent="0.2">
      <c r="A65" s="200">
        <v>80</v>
      </c>
      <c r="B65" s="270" t="s">
        <v>95</v>
      </c>
      <c r="C65" s="270" t="s">
        <v>174</v>
      </c>
      <c r="D65" s="270" t="s">
        <v>127</v>
      </c>
      <c r="E65" s="302" t="s">
        <v>20</v>
      </c>
      <c r="F65" s="302" t="s">
        <v>46</v>
      </c>
      <c r="G65" s="302" t="s">
        <v>175</v>
      </c>
      <c r="H65" s="302" t="s">
        <v>176</v>
      </c>
      <c r="I65" s="414" t="s">
        <v>332</v>
      </c>
      <c r="J65" s="284" t="s">
        <v>78</v>
      </c>
      <c r="K65" s="284">
        <v>90000</v>
      </c>
      <c r="L65" s="201" t="s">
        <v>100</v>
      </c>
      <c r="M65" s="271">
        <v>2</v>
      </c>
      <c r="N65" s="407">
        <v>45444</v>
      </c>
      <c r="O65" s="416" t="s">
        <v>101</v>
      </c>
      <c r="P65" s="270"/>
      <c r="Q65" s="607">
        <f>+K65/M65</f>
        <v>45000</v>
      </c>
    </row>
    <row r="66" spans="1:44" x14ac:dyDescent="0.2">
      <c r="A66" s="200">
        <v>75</v>
      </c>
      <c r="B66" s="271" t="s">
        <v>95</v>
      </c>
      <c r="C66" s="271" t="s">
        <v>131</v>
      </c>
      <c r="D66" s="271" t="s">
        <v>127</v>
      </c>
      <c r="E66" s="201" t="s">
        <v>20</v>
      </c>
      <c r="F66" s="200" t="s">
        <v>46</v>
      </c>
      <c r="G66" s="200" t="s">
        <v>221</v>
      </c>
      <c r="H66" s="200" t="s">
        <v>222</v>
      </c>
      <c r="I66" s="414" t="s">
        <v>342</v>
      </c>
      <c r="J66" s="284" t="s">
        <v>78</v>
      </c>
      <c r="K66" s="284">
        <v>83000</v>
      </c>
      <c r="L66" s="201" t="s">
        <v>100</v>
      </c>
      <c r="M66" s="271">
        <v>2</v>
      </c>
      <c r="N66" s="407">
        <v>45444</v>
      </c>
      <c r="O66" s="416" t="s">
        <v>101</v>
      </c>
      <c r="P66" s="270"/>
      <c r="Q66" s="607">
        <f>+K66/M66</f>
        <v>41500</v>
      </c>
    </row>
    <row r="67" spans="1:44" hidden="1" x14ac:dyDescent="0.2">
      <c r="A67" s="200">
        <v>25</v>
      </c>
      <c r="B67" s="302" t="s">
        <v>95</v>
      </c>
      <c r="C67" s="302" t="s">
        <v>96</v>
      </c>
      <c r="D67" s="302"/>
      <c r="E67" s="201" t="s">
        <v>37</v>
      </c>
      <c r="F67" s="200" t="s">
        <v>43</v>
      </c>
      <c r="G67" s="270" t="s">
        <v>249</v>
      </c>
      <c r="H67" s="200" t="s">
        <v>350</v>
      </c>
      <c r="I67" s="414" t="s">
        <v>351</v>
      </c>
      <c r="J67" s="284" t="s">
        <v>78</v>
      </c>
      <c r="K67" s="284">
        <v>78000</v>
      </c>
      <c r="L67" s="201" t="s">
        <v>111</v>
      </c>
      <c r="M67" s="286">
        <v>3</v>
      </c>
      <c r="N67" s="242">
        <v>45444</v>
      </c>
      <c r="O67" s="416" t="s">
        <v>101</v>
      </c>
      <c r="P67" s="590"/>
      <c r="Q67" s="607">
        <f>+K67/M67</f>
        <v>26000</v>
      </c>
      <c r="R67" s="304"/>
      <c r="AB67" s="304"/>
      <c r="AC67" s="304"/>
      <c r="AD67" s="304"/>
      <c r="AE67" s="304"/>
      <c r="AF67" s="304"/>
      <c r="AG67" s="304"/>
      <c r="AH67" s="304"/>
      <c r="AI67" s="304"/>
      <c r="AJ67" s="304"/>
      <c r="AK67" s="304"/>
      <c r="AL67" s="304"/>
      <c r="AM67" s="304"/>
      <c r="AN67" s="304"/>
      <c r="AO67" s="304"/>
      <c r="AP67" s="304"/>
    </row>
    <row r="68" spans="1:44" hidden="1" x14ac:dyDescent="0.2">
      <c r="A68" s="200">
        <v>78</v>
      </c>
      <c r="B68" s="271" t="s">
        <v>95</v>
      </c>
      <c r="C68" s="270" t="s">
        <v>112</v>
      </c>
      <c r="D68" s="270"/>
      <c r="E68" s="201" t="s">
        <v>37</v>
      </c>
      <c r="F68" s="200" t="s">
        <v>44</v>
      </c>
      <c r="G68" s="200" t="s">
        <v>321</v>
      </c>
      <c r="H68" s="200" t="s">
        <v>354</v>
      </c>
      <c r="I68" s="414" t="s">
        <v>355</v>
      </c>
      <c r="J68" s="284" t="s">
        <v>78</v>
      </c>
      <c r="K68" s="284">
        <v>70000</v>
      </c>
      <c r="L68" s="201" t="s">
        <v>100</v>
      </c>
      <c r="M68" s="271">
        <v>2</v>
      </c>
      <c r="N68" s="407">
        <v>45444</v>
      </c>
      <c r="O68" s="416" t="s">
        <v>101</v>
      </c>
      <c r="P68" s="270" t="s">
        <v>137</v>
      </c>
      <c r="Q68" s="607">
        <f>+K68/M68</f>
        <v>35000</v>
      </c>
    </row>
    <row r="69" spans="1:44" x14ac:dyDescent="0.2">
      <c r="A69" s="200">
        <v>84</v>
      </c>
      <c r="B69" s="270" t="s">
        <v>95</v>
      </c>
      <c r="C69" s="270" t="s">
        <v>117</v>
      </c>
      <c r="D69" s="270" t="s">
        <v>127</v>
      </c>
      <c r="E69" s="302" t="s">
        <v>20</v>
      </c>
      <c r="F69" s="302" t="s">
        <v>45</v>
      </c>
      <c r="G69" s="302" t="s">
        <v>213</v>
      </c>
      <c r="H69" s="302"/>
      <c r="I69" s="414" t="s">
        <v>357</v>
      </c>
      <c r="J69" s="284" t="s">
        <v>78</v>
      </c>
      <c r="K69" s="284">
        <v>70000</v>
      </c>
      <c r="L69" s="201" t="s">
        <v>100</v>
      </c>
      <c r="M69" s="271">
        <v>2</v>
      </c>
      <c r="N69" s="407">
        <v>45444</v>
      </c>
      <c r="O69" s="416" t="s">
        <v>101</v>
      </c>
      <c r="P69" s="270"/>
      <c r="Q69" s="607">
        <f>+K69/M69</f>
        <v>35000</v>
      </c>
    </row>
    <row r="70" spans="1:44" x14ac:dyDescent="0.2">
      <c r="A70" s="200">
        <v>69</v>
      </c>
      <c r="B70" s="302" t="s">
        <v>95</v>
      </c>
      <c r="C70" s="270" t="s">
        <v>142</v>
      </c>
      <c r="D70" s="270" t="s">
        <v>127</v>
      </c>
      <c r="E70" s="201" t="s">
        <v>20</v>
      </c>
      <c r="F70" s="200" t="s">
        <v>43</v>
      </c>
      <c r="G70" s="200" t="s">
        <v>143</v>
      </c>
      <c r="H70" s="200" t="s">
        <v>373</v>
      </c>
      <c r="I70" s="414" t="s">
        <v>374</v>
      </c>
      <c r="J70" s="284" t="s">
        <v>78</v>
      </c>
      <c r="K70" s="284">
        <v>50000</v>
      </c>
      <c r="L70" s="201" t="s">
        <v>100</v>
      </c>
      <c r="M70" s="271">
        <v>2</v>
      </c>
      <c r="N70" s="407">
        <v>45444</v>
      </c>
      <c r="O70" s="416" t="s">
        <v>101</v>
      </c>
      <c r="P70" s="270"/>
      <c r="Q70" s="607">
        <f>+K70/M70</f>
        <v>25000</v>
      </c>
    </row>
    <row r="71" spans="1:44" hidden="1" x14ac:dyDescent="0.2">
      <c r="A71" s="200">
        <v>54</v>
      </c>
      <c r="B71" s="308" t="s">
        <v>95</v>
      </c>
      <c r="C71" s="308" t="s">
        <v>120</v>
      </c>
      <c r="D71" s="308"/>
      <c r="E71" s="201" t="s">
        <v>37</v>
      </c>
      <c r="F71" s="200" t="s">
        <v>43</v>
      </c>
      <c r="G71" s="200" t="s">
        <v>383</v>
      </c>
      <c r="H71" s="200" t="s">
        <v>384</v>
      </c>
      <c r="I71" s="414" t="s">
        <v>385</v>
      </c>
      <c r="J71" s="284" t="s">
        <v>78</v>
      </c>
      <c r="K71" s="284">
        <v>40000</v>
      </c>
      <c r="L71" s="201" t="s">
        <v>100</v>
      </c>
      <c r="M71" s="309">
        <v>3</v>
      </c>
      <c r="N71" s="242">
        <v>45444</v>
      </c>
      <c r="O71" s="416" t="s">
        <v>101</v>
      </c>
      <c r="P71" s="308" t="s">
        <v>155</v>
      </c>
      <c r="Q71" s="607">
        <f>+K71/M71</f>
        <v>13333.333333333334</v>
      </c>
      <c r="R71" s="304"/>
      <c r="AB71" s="304"/>
      <c r="AC71" s="304"/>
      <c r="AD71" s="304"/>
      <c r="AE71" s="304"/>
      <c r="AF71" s="304"/>
      <c r="AG71" s="304"/>
      <c r="AH71" s="304"/>
      <c r="AI71" s="304"/>
      <c r="AJ71" s="304"/>
      <c r="AK71" s="304"/>
      <c r="AL71" s="304"/>
      <c r="AM71" s="304"/>
      <c r="AN71" s="304"/>
      <c r="AO71" s="304"/>
      <c r="AP71" s="304"/>
    </row>
    <row r="72" spans="1:44" x14ac:dyDescent="0.2">
      <c r="A72" s="200">
        <v>56</v>
      </c>
      <c r="B72" s="308" t="s">
        <v>95</v>
      </c>
      <c r="C72" s="305" t="s">
        <v>218</v>
      </c>
      <c r="D72" s="305" t="s">
        <v>218</v>
      </c>
      <c r="E72" s="201" t="s">
        <v>20</v>
      </c>
      <c r="F72" s="200" t="s">
        <v>43</v>
      </c>
      <c r="G72" s="200" t="s">
        <v>371</v>
      </c>
      <c r="H72" s="200" t="s">
        <v>339</v>
      </c>
      <c r="I72" s="414" t="s">
        <v>392</v>
      </c>
      <c r="J72" s="284" t="s">
        <v>78</v>
      </c>
      <c r="K72" s="284">
        <v>30000</v>
      </c>
      <c r="L72" s="201" t="s">
        <v>100</v>
      </c>
      <c r="M72" s="271">
        <v>3</v>
      </c>
      <c r="N72" s="242">
        <v>45444</v>
      </c>
      <c r="O72" s="416" t="s">
        <v>101</v>
      </c>
      <c r="P72" s="270"/>
      <c r="Q72" s="607">
        <f>+K72/M72</f>
        <v>10000</v>
      </c>
    </row>
    <row r="73" spans="1:44" x14ac:dyDescent="0.2">
      <c r="A73" s="200">
        <v>7</v>
      </c>
      <c r="B73" s="417" t="s">
        <v>95</v>
      </c>
      <c r="C73" s="417" t="s">
        <v>102</v>
      </c>
      <c r="D73" s="417"/>
      <c r="E73" s="411" t="s">
        <v>20</v>
      </c>
      <c r="F73" s="412" t="s">
        <v>48</v>
      </c>
      <c r="G73" s="412" t="s">
        <v>108</v>
      </c>
      <c r="H73" s="412" t="s">
        <v>109</v>
      </c>
      <c r="I73" s="413" t="s">
        <v>110</v>
      </c>
      <c r="J73" s="301" t="s">
        <v>78</v>
      </c>
      <c r="K73" s="284">
        <v>4339980</v>
      </c>
      <c r="L73" s="411" t="s">
        <v>111</v>
      </c>
      <c r="M73" s="465">
        <v>14</v>
      </c>
      <c r="N73" s="418">
        <v>45413</v>
      </c>
      <c r="O73" s="416" t="s">
        <v>106</v>
      </c>
      <c r="P73" s="417"/>
      <c r="Q73" s="607">
        <f>+K73/M73</f>
        <v>309998.57142857142</v>
      </c>
      <c r="R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</row>
    <row r="74" spans="1:44" hidden="1" x14ac:dyDescent="0.2">
      <c r="A74" s="200">
        <v>67</v>
      </c>
      <c r="B74" s="302" t="s">
        <v>95</v>
      </c>
      <c r="C74" s="270" t="s">
        <v>126</v>
      </c>
      <c r="D74" s="270" t="s">
        <v>127</v>
      </c>
      <c r="E74" s="201" t="s">
        <v>37</v>
      </c>
      <c r="F74" s="200" t="s">
        <v>44</v>
      </c>
      <c r="G74" s="200" t="s">
        <v>192</v>
      </c>
      <c r="H74" s="200" t="s">
        <v>193</v>
      </c>
      <c r="I74" s="414" t="s">
        <v>194</v>
      </c>
      <c r="J74" s="284" t="s">
        <v>78</v>
      </c>
      <c r="K74" s="284">
        <v>370000</v>
      </c>
      <c r="L74" s="201" t="s">
        <v>100</v>
      </c>
      <c r="M74" s="271">
        <v>4</v>
      </c>
      <c r="N74" s="311">
        <v>45413</v>
      </c>
      <c r="O74" s="416" t="s">
        <v>101</v>
      </c>
      <c r="P74" s="270" t="s">
        <v>165</v>
      </c>
      <c r="Q74" s="607">
        <f>+K74/M74</f>
        <v>92500</v>
      </c>
      <c r="AQ74" s="304"/>
      <c r="AR74" s="304"/>
    </row>
    <row r="75" spans="1:44" x14ac:dyDescent="0.2">
      <c r="A75" s="200">
        <v>22</v>
      </c>
      <c r="B75" s="302" t="s">
        <v>95</v>
      </c>
      <c r="C75" s="302" t="s">
        <v>126</v>
      </c>
      <c r="D75" s="309" t="s">
        <v>127</v>
      </c>
      <c r="E75" s="201" t="s">
        <v>20</v>
      </c>
      <c r="F75" s="200" t="s">
        <v>43</v>
      </c>
      <c r="G75" s="302" t="s">
        <v>140</v>
      </c>
      <c r="H75" s="200" t="s">
        <v>205</v>
      </c>
      <c r="I75" s="414" t="s">
        <v>206</v>
      </c>
      <c r="J75" s="284" t="s">
        <v>76</v>
      </c>
      <c r="K75" s="284">
        <v>300000</v>
      </c>
      <c r="L75" s="201" t="s">
        <v>100</v>
      </c>
      <c r="M75" s="286">
        <v>4</v>
      </c>
      <c r="N75" s="242">
        <v>45413</v>
      </c>
      <c r="O75" s="416" t="s">
        <v>101</v>
      </c>
      <c r="P75" s="308"/>
      <c r="Q75" s="607">
        <f>+K75/M75</f>
        <v>75000</v>
      </c>
      <c r="R75" s="304"/>
      <c r="AB75" s="304"/>
      <c r="AC75" s="304"/>
      <c r="AD75" s="304"/>
      <c r="AE75" s="304"/>
      <c r="AF75" s="304"/>
      <c r="AG75" s="304"/>
      <c r="AH75" s="304"/>
      <c r="AI75" s="304"/>
      <c r="AJ75" s="304"/>
      <c r="AK75" s="304"/>
      <c r="AL75" s="304"/>
      <c r="AM75" s="304"/>
      <c r="AN75" s="304"/>
      <c r="AO75" s="304"/>
      <c r="AP75" s="304"/>
      <c r="AQ75" s="562"/>
      <c r="AR75" s="562"/>
    </row>
    <row r="76" spans="1:44" x14ac:dyDescent="0.2">
      <c r="A76" s="200">
        <v>2</v>
      </c>
      <c r="B76" s="302" t="s">
        <v>95</v>
      </c>
      <c r="C76" s="302" t="s">
        <v>117</v>
      </c>
      <c r="D76" s="302"/>
      <c r="E76" s="201" t="s">
        <v>20</v>
      </c>
      <c r="F76" s="200" t="s">
        <v>45</v>
      </c>
      <c r="G76" s="200" t="s">
        <v>213</v>
      </c>
      <c r="H76" s="200" t="s">
        <v>214</v>
      </c>
      <c r="I76" s="199" t="s">
        <v>215</v>
      </c>
      <c r="J76" s="284" t="s">
        <v>78</v>
      </c>
      <c r="K76" s="284">
        <v>263238.40000000002</v>
      </c>
      <c r="L76" s="201" t="s">
        <v>100</v>
      </c>
      <c r="M76" s="286">
        <v>8</v>
      </c>
      <c r="N76" s="242">
        <v>45413</v>
      </c>
      <c r="O76" s="416" t="s">
        <v>101</v>
      </c>
      <c r="P76" s="302"/>
      <c r="Q76" s="607">
        <f>+K76/M76</f>
        <v>32904.800000000003</v>
      </c>
      <c r="R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4"/>
      <c r="AR76" s="304"/>
    </row>
    <row r="77" spans="1:44" hidden="1" x14ac:dyDescent="0.2">
      <c r="A77" s="200">
        <v>23</v>
      </c>
      <c r="B77" s="302" t="s">
        <v>95</v>
      </c>
      <c r="C77" s="302" t="s">
        <v>120</v>
      </c>
      <c r="D77" s="302"/>
      <c r="E77" s="201" t="s">
        <v>37</v>
      </c>
      <c r="F77" s="200" t="s">
        <v>43</v>
      </c>
      <c r="G77" s="200" t="s">
        <v>274</v>
      </c>
      <c r="H77" s="200" t="s">
        <v>297</v>
      </c>
      <c r="I77" s="414" t="s">
        <v>298</v>
      </c>
      <c r="J77" s="284" t="s">
        <v>77</v>
      </c>
      <c r="K77" s="284">
        <v>145000</v>
      </c>
      <c r="L77" s="201" t="s">
        <v>100</v>
      </c>
      <c r="M77" s="286">
        <v>10</v>
      </c>
      <c r="N77" s="242">
        <v>45413</v>
      </c>
      <c r="O77" s="416" t="s">
        <v>106</v>
      </c>
      <c r="P77" s="590" t="s">
        <v>107</v>
      </c>
      <c r="Q77" s="607">
        <f>+K77/M77</f>
        <v>14500</v>
      </c>
      <c r="R77" s="304"/>
      <c r="AB77" s="304"/>
      <c r="AC77" s="304"/>
      <c r="AD77" s="304"/>
      <c r="AE77" s="304"/>
      <c r="AF77" s="304"/>
      <c r="AG77" s="304"/>
      <c r="AH77" s="304"/>
      <c r="AI77" s="304"/>
      <c r="AJ77" s="304"/>
      <c r="AK77" s="304"/>
      <c r="AL77" s="304"/>
      <c r="AM77" s="304"/>
      <c r="AN77" s="304"/>
      <c r="AO77" s="304"/>
      <c r="AP77" s="304"/>
    </row>
    <row r="78" spans="1:44" x14ac:dyDescent="0.2">
      <c r="A78" s="200">
        <v>37</v>
      </c>
      <c r="B78" s="305" t="s">
        <v>95</v>
      </c>
      <c r="C78" s="302" t="s">
        <v>131</v>
      </c>
      <c r="D78" s="302"/>
      <c r="E78" s="201" t="s">
        <v>20</v>
      </c>
      <c r="F78" s="200" t="s">
        <v>46</v>
      </c>
      <c r="G78" s="200" t="s">
        <v>308</v>
      </c>
      <c r="H78" s="200" t="s">
        <v>309</v>
      </c>
      <c r="I78" s="414" t="s">
        <v>310</v>
      </c>
      <c r="J78" s="284" t="s">
        <v>78</v>
      </c>
      <c r="K78" s="284">
        <v>105000</v>
      </c>
      <c r="L78" s="201" t="s">
        <v>111</v>
      </c>
      <c r="M78" s="307">
        <v>3</v>
      </c>
      <c r="N78" s="407">
        <v>45413</v>
      </c>
      <c r="O78" s="416" t="s">
        <v>101</v>
      </c>
      <c r="P78" s="308"/>
      <c r="Q78" s="607">
        <f>+K78/M78</f>
        <v>35000</v>
      </c>
      <c r="R78" s="304"/>
      <c r="AB78" s="304"/>
      <c r="AC78" s="304"/>
      <c r="AD78" s="304"/>
      <c r="AE78" s="304"/>
      <c r="AF78" s="304"/>
      <c r="AG78" s="304"/>
      <c r="AH78" s="304"/>
      <c r="AI78" s="304"/>
      <c r="AJ78" s="304"/>
      <c r="AK78" s="304"/>
      <c r="AL78" s="304"/>
      <c r="AM78" s="304"/>
      <c r="AN78" s="304"/>
      <c r="AO78" s="304"/>
      <c r="AP78" s="304"/>
    </row>
    <row r="79" spans="1:44" x14ac:dyDescent="0.2">
      <c r="A79" s="200">
        <v>76</v>
      </c>
      <c r="B79" s="271" t="s">
        <v>95</v>
      </c>
      <c r="C79" s="270" t="s">
        <v>142</v>
      </c>
      <c r="D79" s="271" t="s">
        <v>127</v>
      </c>
      <c r="E79" s="201" t="s">
        <v>20</v>
      </c>
      <c r="F79" s="200" t="s">
        <v>43</v>
      </c>
      <c r="G79" s="200" t="s">
        <v>143</v>
      </c>
      <c r="H79" s="200" t="s">
        <v>326</v>
      </c>
      <c r="I79" s="414" t="s">
        <v>327</v>
      </c>
      <c r="J79" s="284" t="s">
        <v>76</v>
      </c>
      <c r="K79" s="284">
        <v>95000</v>
      </c>
      <c r="L79" s="201" t="s">
        <v>100</v>
      </c>
      <c r="M79" s="271">
        <v>2</v>
      </c>
      <c r="N79" s="311">
        <v>45413</v>
      </c>
      <c r="O79" s="416" t="s">
        <v>101</v>
      </c>
      <c r="P79" s="270"/>
      <c r="Q79" s="607">
        <f>+K79/M79</f>
        <v>47500</v>
      </c>
    </row>
    <row r="80" spans="1:44" x14ac:dyDescent="0.2">
      <c r="A80" s="200">
        <v>27</v>
      </c>
      <c r="B80" s="200" t="s">
        <v>95</v>
      </c>
      <c r="C80" s="309" t="s">
        <v>126</v>
      </c>
      <c r="D80" s="309" t="s">
        <v>127</v>
      </c>
      <c r="E80" s="201" t="s">
        <v>20</v>
      </c>
      <c r="F80" s="200" t="s">
        <v>43</v>
      </c>
      <c r="G80" s="200" t="s">
        <v>335</v>
      </c>
      <c r="H80" s="200" t="s">
        <v>336</v>
      </c>
      <c r="I80" s="414" t="s">
        <v>337</v>
      </c>
      <c r="J80" s="284" t="s">
        <v>78</v>
      </c>
      <c r="K80" s="284">
        <v>88166</v>
      </c>
      <c r="L80" s="201" t="s">
        <v>100</v>
      </c>
      <c r="M80" s="308">
        <v>1</v>
      </c>
      <c r="N80" s="242">
        <v>45413</v>
      </c>
      <c r="O80" s="416" t="s">
        <v>101</v>
      </c>
      <c r="P80" s="308"/>
      <c r="Q80" s="607">
        <f>+K80/M80</f>
        <v>88166</v>
      </c>
      <c r="R80" s="304"/>
      <c r="AB80" s="304"/>
      <c r="AC80" s="304"/>
      <c r="AD80" s="304"/>
      <c r="AE80" s="304"/>
      <c r="AF80" s="304"/>
      <c r="AG80" s="304"/>
      <c r="AH80" s="304"/>
      <c r="AI80" s="304"/>
      <c r="AJ80" s="304"/>
      <c r="AK80" s="304"/>
      <c r="AL80" s="304"/>
      <c r="AM80" s="304"/>
      <c r="AN80" s="304"/>
      <c r="AO80" s="304"/>
      <c r="AP80" s="304"/>
    </row>
    <row r="81" spans="1:44" hidden="1" x14ac:dyDescent="0.2">
      <c r="A81" s="200">
        <v>62</v>
      </c>
      <c r="B81" s="270" t="s">
        <v>116</v>
      </c>
      <c r="C81" s="270" t="s">
        <v>218</v>
      </c>
      <c r="D81" s="270" t="s">
        <v>218</v>
      </c>
      <c r="E81" s="201" t="s">
        <v>37</v>
      </c>
      <c r="F81" s="200" t="s">
        <v>46</v>
      </c>
      <c r="G81" s="200" t="s">
        <v>338</v>
      </c>
      <c r="H81" s="200" t="s">
        <v>339</v>
      </c>
      <c r="I81" s="414" t="s">
        <v>340</v>
      </c>
      <c r="J81" s="284" t="s">
        <v>78</v>
      </c>
      <c r="K81" s="284">
        <v>85000</v>
      </c>
      <c r="L81" s="201" t="s">
        <v>100</v>
      </c>
      <c r="M81" s="271">
        <v>6</v>
      </c>
      <c r="N81" s="311">
        <v>45413</v>
      </c>
      <c r="O81" s="416" t="s">
        <v>106</v>
      </c>
      <c r="P81" s="270" t="s">
        <v>165</v>
      </c>
      <c r="Q81" s="607">
        <f>+K81/M81</f>
        <v>14166.666666666666</v>
      </c>
    </row>
    <row r="82" spans="1:44" x14ac:dyDescent="0.2">
      <c r="A82" s="200">
        <v>71</v>
      </c>
      <c r="B82" s="302" t="s">
        <v>95</v>
      </c>
      <c r="C82" s="270" t="s">
        <v>142</v>
      </c>
      <c r="D82" s="270" t="s">
        <v>127</v>
      </c>
      <c r="E82" s="201" t="s">
        <v>20</v>
      </c>
      <c r="F82" s="200" t="s">
        <v>43</v>
      </c>
      <c r="G82" s="200" t="s">
        <v>143</v>
      </c>
      <c r="H82" s="200" t="s">
        <v>380</v>
      </c>
      <c r="I82" s="414" t="s">
        <v>381</v>
      </c>
      <c r="J82" s="284" t="s">
        <v>76</v>
      </c>
      <c r="K82" s="284">
        <v>43000</v>
      </c>
      <c r="L82" s="201" t="s">
        <v>100</v>
      </c>
      <c r="M82" s="271">
        <v>2</v>
      </c>
      <c r="N82" s="311">
        <v>45413</v>
      </c>
      <c r="O82" s="416" t="s">
        <v>101</v>
      </c>
      <c r="P82" s="270"/>
      <c r="Q82" s="607">
        <f>+K82/M82</f>
        <v>21500</v>
      </c>
    </row>
    <row r="83" spans="1:44" hidden="1" x14ac:dyDescent="0.2">
      <c r="A83" s="200">
        <v>61</v>
      </c>
      <c r="B83" s="270" t="s">
        <v>116</v>
      </c>
      <c r="C83" s="270" t="s">
        <v>218</v>
      </c>
      <c r="D83" s="270" t="s">
        <v>127</v>
      </c>
      <c r="E83" s="201" t="s">
        <v>37</v>
      </c>
      <c r="F83" s="200" t="s">
        <v>46</v>
      </c>
      <c r="G83" s="200" t="s">
        <v>338</v>
      </c>
      <c r="H83" s="200" t="s">
        <v>339</v>
      </c>
      <c r="I83" s="414" t="s">
        <v>382</v>
      </c>
      <c r="J83" s="284" t="s">
        <v>78</v>
      </c>
      <c r="K83" s="284">
        <v>40053</v>
      </c>
      <c r="L83" s="201" t="s">
        <v>100</v>
      </c>
      <c r="M83" s="271">
        <v>2</v>
      </c>
      <c r="N83" s="311">
        <v>45413</v>
      </c>
      <c r="O83" s="416" t="s">
        <v>106</v>
      </c>
      <c r="P83" s="270" t="s">
        <v>165</v>
      </c>
      <c r="Q83" s="607">
        <f>+K83/M83</f>
        <v>20026.5</v>
      </c>
    </row>
    <row r="84" spans="1:44" x14ac:dyDescent="0.2">
      <c r="A84" s="200">
        <v>72</v>
      </c>
      <c r="B84" s="270" t="s">
        <v>116</v>
      </c>
      <c r="C84" s="270" t="s">
        <v>218</v>
      </c>
      <c r="D84" s="270"/>
      <c r="E84" s="201" t="s">
        <v>20</v>
      </c>
      <c r="F84" s="200" t="s">
        <v>46</v>
      </c>
      <c r="G84" s="200" t="s">
        <v>175</v>
      </c>
      <c r="H84" s="200" t="s">
        <v>176</v>
      </c>
      <c r="I84" s="414" t="s">
        <v>395</v>
      </c>
      <c r="J84" s="284" t="s">
        <v>78</v>
      </c>
      <c r="K84" s="284">
        <v>27000</v>
      </c>
      <c r="L84" s="201" t="s">
        <v>100</v>
      </c>
      <c r="M84" s="271">
        <v>2</v>
      </c>
      <c r="N84" s="311">
        <v>45413</v>
      </c>
      <c r="O84" s="416" t="s">
        <v>101</v>
      </c>
      <c r="P84" s="270"/>
      <c r="Q84" s="607">
        <f>+K84/M84</f>
        <v>13500</v>
      </c>
    </row>
    <row r="85" spans="1:44" hidden="1" x14ac:dyDescent="0.2">
      <c r="A85" s="200">
        <v>60</v>
      </c>
      <c r="B85" s="270" t="s">
        <v>95</v>
      </c>
      <c r="C85" s="270" t="s">
        <v>142</v>
      </c>
      <c r="D85" s="270" t="s">
        <v>142</v>
      </c>
      <c r="E85" s="201" t="s">
        <v>37</v>
      </c>
      <c r="F85" s="200" t="s">
        <v>43</v>
      </c>
      <c r="G85" s="200" t="s">
        <v>393</v>
      </c>
      <c r="H85" s="200" t="s">
        <v>77</v>
      </c>
      <c r="I85" s="414" t="s">
        <v>401</v>
      </c>
      <c r="J85" s="284" t="s">
        <v>76</v>
      </c>
      <c r="K85" s="284">
        <v>12500</v>
      </c>
      <c r="L85" s="201" t="s">
        <v>100</v>
      </c>
      <c r="M85" s="271">
        <v>2</v>
      </c>
      <c r="N85" s="311">
        <v>45413</v>
      </c>
      <c r="O85" s="416" t="s">
        <v>101</v>
      </c>
      <c r="P85" s="270" t="s">
        <v>107</v>
      </c>
      <c r="Q85" s="607">
        <f>+K85/M85</f>
        <v>6250</v>
      </c>
    </row>
    <row r="86" spans="1:44" x14ac:dyDescent="0.2">
      <c r="A86" s="200">
        <v>64</v>
      </c>
      <c r="B86" s="270" t="s">
        <v>95</v>
      </c>
      <c r="C86" s="309" t="s">
        <v>126</v>
      </c>
      <c r="D86" s="309" t="s">
        <v>127</v>
      </c>
      <c r="E86" s="201" t="s">
        <v>20</v>
      </c>
      <c r="F86" s="200" t="s">
        <v>43</v>
      </c>
      <c r="G86" s="200" t="s">
        <v>232</v>
      </c>
      <c r="H86" s="200" t="s">
        <v>402</v>
      </c>
      <c r="I86" s="414" t="s">
        <v>403</v>
      </c>
      <c r="J86" s="284" t="s">
        <v>76</v>
      </c>
      <c r="K86" s="284">
        <v>12000</v>
      </c>
      <c r="L86" s="201" t="s">
        <v>100</v>
      </c>
      <c r="M86" s="271">
        <v>2</v>
      </c>
      <c r="N86" s="311">
        <v>45413</v>
      </c>
      <c r="O86" s="416" t="s">
        <v>101</v>
      </c>
      <c r="P86" s="270"/>
      <c r="Q86" s="607">
        <f>+K86/M86</f>
        <v>6000</v>
      </c>
    </row>
    <row r="87" spans="1:44" hidden="1" x14ac:dyDescent="0.2">
      <c r="A87" s="200">
        <v>19</v>
      </c>
      <c r="B87" s="200" t="s">
        <v>95</v>
      </c>
      <c r="C87" s="309" t="s">
        <v>112</v>
      </c>
      <c r="D87" s="309"/>
      <c r="E87" s="201" t="s">
        <v>37</v>
      </c>
      <c r="F87" s="200" t="s">
        <v>44</v>
      </c>
      <c r="G87" s="200" t="s">
        <v>113</v>
      </c>
      <c r="H87" s="200" t="s">
        <v>114</v>
      </c>
      <c r="I87" s="414" t="s">
        <v>115</v>
      </c>
      <c r="J87" s="284" t="s">
        <v>78</v>
      </c>
      <c r="K87" s="284">
        <v>1650000</v>
      </c>
      <c r="L87" s="201" t="s">
        <v>100</v>
      </c>
      <c r="M87" s="286">
        <v>12</v>
      </c>
      <c r="N87" s="311">
        <v>45383</v>
      </c>
      <c r="O87" s="416" t="s">
        <v>101</v>
      </c>
      <c r="P87" s="590" t="s">
        <v>107</v>
      </c>
      <c r="Q87" s="607">
        <f>+K87/M87</f>
        <v>137500</v>
      </c>
      <c r="R87" s="304"/>
      <c r="AB87" s="304"/>
      <c r="AC87" s="304"/>
      <c r="AD87" s="304"/>
      <c r="AE87" s="304"/>
      <c r="AF87" s="304"/>
      <c r="AG87" s="304"/>
      <c r="AH87" s="304"/>
      <c r="AI87" s="304"/>
      <c r="AJ87" s="304"/>
      <c r="AK87" s="304"/>
      <c r="AL87" s="304"/>
      <c r="AM87" s="304"/>
      <c r="AN87" s="304"/>
      <c r="AO87" s="304"/>
      <c r="AP87" s="304"/>
      <c r="AQ87" s="303"/>
      <c r="AR87" s="303"/>
    </row>
    <row r="88" spans="1:44" x14ac:dyDescent="0.2">
      <c r="A88" s="200">
        <v>15</v>
      </c>
      <c r="B88" s="302" t="s">
        <v>95</v>
      </c>
      <c r="C88" s="302" t="s">
        <v>112</v>
      </c>
      <c r="D88" s="302"/>
      <c r="E88" s="201" t="s">
        <v>20</v>
      </c>
      <c r="F88" s="200" t="s">
        <v>44</v>
      </c>
      <c r="G88" s="200" t="s">
        <v>156</v>
      </c>
      <c r="H88" s="200" t="s">
        <v>77</v>
      </c>
      <c r="I88" s="414" t="s">
        <v>157</v>
      </c>
      <c r="J88" s="284" t="s">
        <v>78</v>
      </c>
      <c r="K88" s="284">
        <v>612000</v>
      </c>
      <c r="L88" s="201" t="s">
        <v>100</v>
      </c>
      <c r="M88" s="309">
        <v>5</v>
      </c>
      <c r="N88" s="311">
        <v>45383</v>
      </c>
      <c r="O88" s="416" t="s">
        <v>101</v>
      </c>
      <c r="P88" s="302"/>
      <c r="Q88" s="607">
        <f>+K88/M88</f>
        <v>122400</v>
      </c>
      <c r="R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4"/>
      <c r="AR88" s="304"/>
    </row>
    <row r="89" spans="1:44" hidden="1" x14ac:dyDescent="0.2">
      <c r="A89" s="200">
        <v>34</v>
      </c>
      <c r="B89" s="302" t="s">
        <v>95</v>
      </c>
      <c r="C89" s="302" t="s">
        <v>131</v>
      </c>
      <c r="D89" s="302"/>
      <c r="E89" s="201" t="s">
        <v>37</v>
      </c>
      <c r="F89" s="200" t="s">
        <v>46</v>
      </c>
      <c r="G89" s="200" t="s">
        <v>232</v>
      </c>
      <c r="H89" s="200" t="s">
        <v>233</v>
      </c>
      <c r="I89" s="414" t="s">
        <v>234</v>
      </c>
      <c r="J89" s="284" t="s">
        <v>76</v>
      </c>
      <c r="K89" s="284">
        <v>236000</v>
      </c>
      <c r="L89" s="201" t="s">
        <v>111</v>
      </c>
      <c r="M89" s="309">
        <v>4</v>
      </c>
      <c r="N89" s="242">
        <v>45383</v>
      </c>
      <c r="O89" s="416" t="s">
        <v>101</v>
      </c>
      <c r="P89" s="590" t="s">
        <v>148</v>
      </c>
      <c r="Q89" s="607">
        <f>+K89/M89</f>
        <v>59000</v>
      </c>
      <c r="R89" s="304"/>
      <c r="AB89" s="304"/>
      <c r="AC89" s="304"/>
      <c r="AD89" s="304"/>
      <c r="AE89" s="304"/>
      <c r="AF89" s="304"/>
      <c r="AG89" s="304"/>
      <c r="AH89" s="304"/>
      <c r="AI89" s="304"/>
      <c r="AJ89" s="304"/>
      <c r="AK89" s="304"/>
      <c r="AL89" s="304"/>
      <c r="AM89" s="304"/>
      <c r="AN89" s="304"/>
      <c r="AO89" s="304"/>
      <c r="AP89" s="304"/>
      <c r="AQ89" s="304"/>
      <c r="AR89" s="304"/>
    </row>
    <row r="90" spans="1:44" x14ac:dyDescent="0.2">
      <c r="A90" s="200">
        <v>5</v>
      </c>
      <c r="B90" s="302" t="s">
        <v>95</v>
      </c>
      <c r="C90" s="302" t="s">
        <v>112</v>
      </c>
      <c r="D90" s="302"/>
      <c r="E90" s="201" t="s">
        <v>20</v>
      </c>
      <c r="F90" s="200" t="s">
        <v>43</v>
      </c>
      <c r="G90" s="200" t="s">
        <v>181</v>
      </c>
      <c r="H90" s="200" t="s">
        <v>244</v>
      </c>
      <c r="I90" s="199" t="s">
        <v>245</v>
      </c>
      <c r="J90" s="284" t="s">
        <v>76</v>
      </c>
      <c r="K90" s="284">
        <v>200000</v>
      </c>
      <c r="L90" s="201" t="s">
        <v>100</v>
      </c>
      <c r="M90" s="286">
        <v>4</v>
      </c>
      <c r="N90" s="242">
        <v>45383</v>
      </c>
      <c r="O90" s="416" t="s">
        <v>101</v>
      </c>
      <c r="P90" s="302"/>
      <c r="Q90" s="607">
        <f>+K90/M90</f>
        <v>50000</v>
      </c>
      <c r="R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</row>
    <row r="91" spans="1:44" x14ac:dyDescent="0.2">
      <c r="A91" s="200">
        <v>53</v>
      </c>
      <c r="B91" s="302" t="s">
        <v>95</v>
      </c>
      <c r="C91" s="308" t="s">
        <v>102</v>
      </c>
      <c r="D91" s="308"/>
      <c r="E91" s="201" t="s">
        <v>20</v>
      </c>
      <c r="F91" s="200" t="s">
        <v>48</v>
      </c>
      <c r="G91" s="200" t="s">
        <v>285</v>
      </c>
      <c r="H91" s="200" t="s">
        <v>286</v>
      </c>
      <c r="I91" s="414" t="s">
        <v>287</v>
      </c>
      <c r="J91" s="284" t="s">
        <v>78</v>
      </c>
      <c r="K91" s="284">
        <v>155000</v>
      </c>
      <c r="L91" s="201" t="s">
        <v>100</v>
      </c>
      <c r="M91" s="309">
        <v>2</v>
      </c>
      <c r="N91" s="242">
        <v>45383</v>
      </c>
      <c r="O91" s="416" t="s">
        <v>101</v>
      </c>
      <c r="P91" s="308"/>
      <c r="Q91" s="607">
        <f>+K91/M91</f>
        <v>77500</v>
      </c>
      <c r="R91" s="304"/>
      <c r="AB91" s="304"/>
      <c r="AC91" s="304"/>
      <c r="AD91" s="304"/>
      <c r="AE91" s="304"/>
      <c r="AF91" s="304"/>
      <c r="AG91" s="304"/>
      <c r="AH91" s="304"/>
      <c r="AI91" s="304"/>
      <c r="AJ91" s="304"/>
      <c r="AK91" s="304"/>
      <c r="AL91" s="304"/>
      <c r="AM91" s="304"/>
      <c r="AN91" s="304"/>
      <c r="AO91" s="304"/>
      <c r="AP91" s="304"/>
    </row>
    <row r="92" spans="1:44" hidden="1" x14ac:dyDescent="0.2">
      <c r="A92" s="200">
        <v>58</v>
      </c>
      <c r="B92" s="308" t="s">
        <v>95</v>
      </c>
      <c r="C92" s="270" t="s">
        <v>218</v>
      </c>
      <c r="D92" s="270" t="s">
        <v>127</v>
      </c>
      <c r="E92" s="201" t="s">
        <v>37</v>
      </c>
      <c r="F92" s="200" t="s">
        <v>46</v>
      </c>
      <c r="G92" s="200" t="s">
        <v>238</v>
      </c>
      <c r="H92" s="200" t="s">
        <v>254</v>
      </c>
      <c r="I92" s="414" t="s">
        <v>314</v>
      </c>
      <c r="J92" s="284" t="s">
        <v>78</v>
      </c>
      <c r="K92" s="284">
        <v>100000</v>
      </c>
      <c r="L92" s="201" t="s">
        <v>111</v>
      </c>
      <c r="M92" s="271">
        <v>3</v>
      </c>
      <c r="N92" s="371">
        <v>45383</v>
      </c>
      <c r="O92" s="416" t="s">
        <v>106</v>
      </c>
      <c r="P92" s="270" t="s">
        <v>165</v>
      </c>
      <c r="Q92" s="607">
        <f>+K92/M92</f>
        <v>33333.333333333336</v>
      </c>
    </row>
    <row r="93" spans="1:44" x14ac:dyDescent="0.2">
      <c r="A93" s="200">
        <v>52</v>
      </c>
      <c r="B93" s="302" t="s">
        <v>95</v>
      </c>
      <c r="C93" s="308" t="s">
        <v>174</v>
      </c>
      <c r="D93" s="308" t="s">
        <v>127</v>
      </c>
      <c r="E93" s="201" t="s">
        <v>20</v>
      </c>
      <c r="F93" s="200" t="s">
        <v>46</v>
      </c>
      <c r="G93" s="200" t="s">
        <v>175</v>
      </c>
      <c r="H93" s="200" t="s">
        <v>176</v>
      </c>
      <c r="I93" s="414" t="s">
        <v>353</v>
      </c>
      <c r="J93" s="370" t="s">
        <v>78</v>
      </c>
      <c r="K93" s="284">
        <v>74000</v>
      </c>
      <c r="L93" s="201" t="s">
        <v>100</v>
      </c>
      <c r="M93" s="309">
        <v>3</v>
      </c>
      <c r="N93" s="371">
        <v>45383</v>
      </c>
      <c r="O93" s="416" t="s">
        <v>101</v>
      </c>
      <c r="P93" s="308"/>
      <c r="Q93" s="607">
        <f>+K93/M93</f>
        <v>24666.666666666668</v>
      </c>
      <c r="R93" s="304"/>
      <c r="AB93" s="304"/>
      <c r="AC93" s="304"/>
      <c r="AD93" s="304"/>
      <c r="AE93" s="304"/>
      <c r="AF93" s="304"/>
      <c r="AG93" s="304"/>
      <c r="AH93" s="304"/>
      <c r="AI93" s="304"/>
      <c r="AJ93" s="304"/>
      <c r="AK93" s="304"/>
      <c r="AL93" s="304"/>
      <c r="AM93" s="304"/>
      <c r="AN93" s="304"/>
      <c r="AO93" s="304"/>
      <c r="AP93" s="304"/>
    </row>
    <row r="94" spans="1:44" hidden="1" x14ac:dyDescent="0.2">
      <c r="A94" s="200">
        <v>21</v>
      </c>
      <c r="B94" s="302" t="s">
        <v>95</v>
      </c>
      <c r="C94" s="302" t="s">
        <v>120</v>
      </c>
      <c r="D94" s="302"/>
      <c r="E94" s="201" t="s">
        <v>37</v>
      </c>
      <c r="F94" s="200" t="s">
        <v>43</v>
      </c>
      <c r="G94" s="200" t="s">
        <v>280</v>
      </c>
      <c r="H94" s="200" t="s">
        <v>365</v>
      </c>
      <c r="I94" s="414" t="s">
        <v>366</v>
      </c>
      <c r="J94" s="284" t="s">
        <v>78</v>
      </c>
      <c r="K94" s="284">
        <v>60000</v>
      </c>
      <c r="L94" s="201" t="s">
        <v>100</v>
      </c>
      <c r="M94" s="286">
        <v>3</v>
      </c>
      <c r="N94" s="242">
        <v>45383</v>
      </c>
      <c r="O94" s="416" t="s">
        <v>101</v>
      </c>
      <c r="P94" s="590" t="s">
        <v>155</v>
      </c>
      <c r="Q94" s="607">
        <f>+K94/M94</f>
        <v>20000</v>
      </c>
      <c r="R94" s="304"/>
      <c r="AB94" s="304"/>
      <c r="AC94" s="304"/>
      <c r="AD94" s="304"/>
      <c r="AE94" s="304"/>
      <c r="AF94" s="304"/>
      <c r="AG94" s="304"/>
      <c r="AH94" s="304"/>
      <c r="AI94" s="304"/>
      <c r="AJ94" s="304"/>
      <c r="AK94" s="304"/>
      <c r="AL94" s="304"/>
      <c r="AM94" s="304"/>
      <c r="AN94" s="304"/>
      <c r="AO94" s="304"/>
      <c r="AP94" s="304"/>
    </row>
    <row r="95" spans="1:44" x14ac:dyDescent="0.2">
      <c r="A95" s="200">
        <v>70</v>
      </c>
      <c r="B95" s="270" t="s">
        <v>95</v>
      </c>
      <c r="C95" s="270" t="s">
        <v>112</v>
      </c>
      <c r="D95" s="270"/>
      <c r="E95" s="201" t="s">
        <v>20</v>
      </c>
      <c r="F95" s="200" t="s">
        <v>44</v>
      </c>
      <c r="G95" s="200" t="s">
        <v>321</v>
      </c>
      <c r="H95" s="200" t="s">
        <v>398</v>
      </c>
      <c r="I95" s="414" t="s">
        <v>399</v>
      </c>
      <c r="J95" s="284" t="s">
        <v>78</v>
      </c>
      <c r="K95" s="284">
        <v>15000</v>
      </c>
      <c r="L95" s="201" t="s">
        <v>100</v>
      </c>
      <c r="M95" s="271">
        <v>2</v>
      </c>
      <c r="N95" s="311">
        <v>45383</v>
      </c>
      <c r="O95" s="416" t="s">
        <v>101</v>
      </c>
      <c r="P95" s="270"/>
      <c r="Q95" s="607">
        <f>+K95/M95</f>
        <v>7500</v>
      </c>
    </row>
    <row r="96" spans="1:44" x14ac:dyDescent="0.2">
      <c r="A96" s="200">
        <v>63</v>
      </c>
      <c r="B96" s="270" t="s">
        <v>95</v>
      </c>
      <c r="C96" s="270" t="s">
        <v>174</v>
      </c>
      <c r="D96" s="270" t="s">
        <v>127</v>
      </c>
      <c r="E96" s="201" t="s">
        <v>20</v>
      </c>
      <c r="F96" s="200" t="s">
        <v>46</v>
      </c>
      <c r="G96" s="200" t="s">
        <v>175</v>
      </c>
      <c r="H96" s="200" t="s">
        <v>261</v>
      </c>
      <c r="I96" s="414" t="s">
        <v>404</v>
      </c>
      <c r="J96" s="284" t="s">
        <v>78</v>
      </c>
      <c r="K96" s="284">
        <v>8000</v>
      </c>
      <c r="L96" s="201" t="s">
        <v>100</v>
      </c>
      <c r="M96" s="271">
        <v>1</v>
      </c>
      <c r="N96" s="407">
        <v>45383</v>
      </c>
      <c r="O96" s="416" t="s">
        <v>101</v>
      </c>
      <c r="P96" s="270"/>
      <c r="Q96" s="607">
        <f>+K96/M96</f>
        <v>8000</v>
      </c>
    </row>
    <row r="97" spans="1:44" hidden="1" x14ac:dyDescent="0.2">
      <c r="A97" s="200">
        <v>26</v>
      </c>
      <c r="B97" s="200" t="s">
        <v>95</v>
      </c>
      <c r="C97" s="309" t="s">
        <v>126</v>
      </c>
      <c r="D97" s="309" t="s">
        <v>127</v>
      </c>
      <c r="E97" s="201" t="s">
        <v>37</v>
      </c>
      <c r="F97" s="200" t="s">
        <v>43</v>
      </c>
      <c r="G97" s="200" t="s">
        <v>128</v>
      </c>
      <c r="H97" s="200" t="s">
        <v>77</v>
      </c>
      <c r="I97" s="414" t="s">
        <v>129</v>
      </c>
      <c r="J97" s="284" t="s">
        <v>76</v>
      </c>
      <c r="K97" s="284">
        <v>1100000</v>
      </c>
      <c r="L97" s="201" t="s">
        <v>100</v>
      </c>
      <c r="M97" s="308">
        <v>4</v>
      </c>
      <c r="N97" s="311">
        <v>45352</v>
      </c>
      <c r="O97" s="416" t="s">
        <v>101</v>
      </c>
      <c r="P97" s="308" t="s">
        <v>130</v>
      </c>
      <c r="Q97" s="607">
        <f>+K97/M97</f>
        <v>275000</v>
      </c>
      <c r="R97" s="304"/>
      <c r="AB97" s="304"/>
      <c r="AC97" s="304"/>
      <c r="AD97" s="304"/>
      <c r="AE97" s="304"/>
      <c r="AF97" s="304"/>
      <c r="AG97" s="304"/>
      <c r="AH97" s="304"/>
      <c r="AI97" s="304"/>
      <c r="AJ97" s="304"/>
      <c r="AK97" s="304"/>
      <c r="AL97" s="304"/>
      <c r="AM97" s="304"/>
      <c r="AN97" s="304"/>
      <c r="AO97" s="304"/>
      <c r="AP97" s="304"/>
      <c r="AQ97" s="303"/>
      <c r="AR97" s="303"/>
    </row>
    <row r="98" spans="1:44" hidden="1" x14ac:dyDescent="0.2">
      <c r="A98" s="200">
        <v>32</v>
      </c>
      <c r="B98" s="302" t="s">
        <v>95</v>
      </c>
      <c r="C98" s="308" t="s">
        <v>174</v>
      </c>
      <c r="D98" s="308"/>
      <c r="E98" s="201" t="s">
        <v>37</v>
      </c>
      <c r="F98" s="200" t="s">
        <v>46</v>
      </c>
      <c r="G98" s="200" t="s">
        <v>175</v>
      </c>
      <c r="H98" s="200" t="s">
        <v>176</v>
      </c>
      <c r="I98" s="414" t="s">
        <v>177</v>
      </c>
      <c r="J98" s="284" t="s">
        <v>78</v>
      </c>
      <c r="K98" s="284">
        <v>492580</v>
      </c>
      <c r="L98" s="201" t="s">
        <v>100</v>
      </c>
      <c r="M98" s="309">
        <v>11</v>
      </c>
      <c r="N98" s="242">
        <v>45352</v>
      </c>
      <c r="O98" s="416" t="s">
        <v>101</v>
      </c>
      <c r="P98" s="308" t="s">
        <v>155</v>
      </c>
      <c r="Q98" s="607">
        <f>+K98/M98</f>
        <v>44780</v>
      </c>
      <c r="R98" s="304"/>
      <c r="AB98" s="304"/>
      <c r="AC98" s="304"/>
      <c r="AD98" s="304"/>
      <c r="AE98" s="304"/>
      <c r="AF98" s="304"/>
      <c r="AG98" s="304"/>
      <c r="AH98" s="304"/>
      <c r="AI98" s="304"/>
      <c r="AJ98" s="304"/>
      <c r="AK98" s="304"/>
      <c r="AL98" s="304"/>
      <c r="AM98" s="304"/>
      <c r="AN98" s="304"/>
      <c r="AO98" s="304"/>
      <c r="AP98" s="304"/>
      <c r="AQ98" s="304"/>
      <c r="AR98" s="304"/>
    </row>
    <row r="99" spans="1:44" hidden="1" x14ac:dyDescent="0.2">
      <c r="A99" s="200">
        <v>20</v>
      </c>
      <c r="B99" s="302" t="s">
        <v>95</v>
      </c>
      <c r="C99" s="308" t="s">
        <v>142</v>
      </c>
      <c r="D99" s="308" t="s">
        <v>142</v>
      </c>
      <c r="E99" s="201" t="s">
        <v>37</v>
      </c>
      <c r="F99" s="200" t="s">
        <v>43</v>
      </c>
      <c r="G99" s="200" t="s">
        <v>202</v>
      </c>
      <c r="H99" s="200" t="s">
        <v>203</v>
      </c>
      <c r="I99" s="414" t="s">
        <v>204</v>
      </c>
      <c r="J99" s="284" t="s">
        <v>76</v>
      </c>
      <c r="K99" s="284">
        <v>317000</v>
      </c>
      <c r="L99" s="201" t="s">
        <v>111</v>
      </c>
      <c r="M99" s="309">
        <v>4</v>
      </c>
      <c r="N99" s="242">
        <v>45352</v>
      </c>
      <c r="O99" s="416" t="s">
        <v>101</v>
      </c>
      <c r="P99" s="590" t="s">
        <v>155</v>
      </c>
      <c r="Q99" s="607">
        <f>+K99/M99</f>
        <v>79250</v>
      </c>
      <c r="R99" s="304"/>
      <c r="AB99" s="304"/>
      <c r="AC99" s="304"/>
      <c r="AD99" s="304"/>
      <c r="AE99" s="304"/>
      <c r="AF99" s="304"/>
      <c r="AG99" s="304"/>
      <c r="AH99" s="304"/>
      <c r="AI99" s="304"/>
      <c r="AJ99" s="304"/>
      <c r="AK99" s="304"/>
      <c r="AL99" s="304"/>
      <c r="AM99" s="304"/>
      <c r="AN99" s="304"/>
      <c r="AO99" s="304"/>
      <c r="AP99" s="304"/>
      <c r="AQ99" s="304"/>
      <c r="AR99" s="304"/>
    </row>
    <row r="100" spans="1:44" x14ac:dyDescent="0.2">
      <c r="A100" s="200">
        <v>3</v>
      </c>
      <c r="B100" s="302" t="s">
        <v>95</v>
      </c>
      <c r="C100" s="302" t="s">
        <v>120</v>
      </c>
      <c r="D100" s="302"/>
      <c r="E100" s="201" t="s">
        <v>20</v>
      </c>
      <c r="F100" s="200" t="s">
        <v>43</v>
      </c>
      <c r="G100" s="200" t="s">
        <v>97</v>
      </c>
      <c r="H100" s="200" t="s">
        <v>98</v>
      </c>
      <c r="I100" s="199" t="s">
        <v>243</v>
      </c>
      <c r="J100" s="284" t="s">
        <v>78</v>
      </c>
      <c r="K100" s="284">
        <v>200000</v>
      </c>
      <c r="L100" s="201" t="s">
        <v>100</v>
      </c>
      <c r="M100" s="286">
        <v>3</v>
      </c>
      <c r="N100" s="242">
        <v>45352</v>
      </c>
      <c r="O100" s="416" t="s">
        <v>101</v>
      </c>
      <c r="P100" s="302"/>
      <c r="Q100" s="607">
        <f>+K100/M100</f>
        <v>66666.666666666672</v>
      </c>
      <c r="R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</row>
    <row r="101" spans="1:44" x14ac:dyDescent="0.2">
      <c r="A101" s="200">
        <v>14</v>
      </c>
      <c r="B101" s="302" t="s">
        <v>95</v>
      </c>
      <c r="C101" s="302" t="s">
        <v>131</v>
      </c>
      <c r="D101" s="302"/>
      <c r="E101" s="201" t="s">
        <v>20</v>
      </c>
      <c r="F101" s="200" t="s">
        <v>46</v>
      </c>
      <c r="G101" s="200" t="s">
        <v>232</v>
      </c>
      <c r="H101" s="200" t="s">
        <v>263</v>
      </c>
      <c r="I101" s="414" t="s">
        <v>264</v>
      </c>
      <c r="J101" s="284" t="s">
        <v>76</v>
      </c>
      <c r="K101" s="284">
        <v>196600</v>
      </c>
      <c r="L101" s="201" t="s">
        <v>111</v>
      </c>
      <c r="M101" s="286">
        <v>3</v>
      </c>
      <c r="N101" s="242">
        <v>45352</v>
      </c>
      <c r="O101" s="416" t="s">
        <v>101</v>
      </c>
      <c r="P101" s="302"/>
      <c r="Q101" s="607">
        <f>+K101/M101</f>
        <v>65533.333333333336</v>
      </c>
      <c r="R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</row>
    <row r="102" spans="1:44" hidden="1" x14ac:dyDescent="0.2">
      <c r="A102" s="200">
        <v>33</v>
      </c>
      <c r="B102" s="302" t="s">
        <v>95</v>
      </c>
      <c r="C102" s="308" t="s">
        <v>174</v>
      </c>
      <c r="D102" s="308"/>
      <c r="E102" s="201" t="s">
        <v>37</v>
      </c>
      <c r="F102" s="200" t="s">
        <v>43</v>
      </c>
      <c r="G102" s="200" t="s">
        <v>280</v>
      </c>
      <c r="H102" s="200" t="s">
        <v>281</v>
      </c>
      <c r="I102" s="414" t="s">
        <v>282</v>
      </c>
      <c r="J102" s="284" t="s">
        <v>78</v>
      </c>
      <c r="K102" s="284">
        <v>162000</v>
      </c>
      <c r="L102" s="201" t="s">
        <v>100</v>
      </c>
      <c r="M102" s="309">
        <v>4</v>
      </c>
      <c r="N102" s="242">
        <v>45352</v>
      </c>
      <c r="O102" s="416" t="s">
        <v>101</v>
      </c>
      <c r="P102" s="308" t="s">
        <v>155</v>
      </c>
      <c r="Q102" s="607">
        <f>+K102/M102</f>
        <v>40500</v>
      </c>
      <c r="R102" s="304"/>
      <c r="AB102" s="304"/>
      <c r="AC102" s="304"/>
      <c r="AD102" s="304"/>
      <c r="AE102" s="304"/>
      <c r="AF102" s="304"/>
      <c r="AG102" s="304"/>
      <c r="AH102" s="304"/>
      <c r="AI102" s="304"/>
      <c r="AJ102" s="304"/>
      <c r="AK102" s="304"/>
      <c r="AL102" s="304"/>
      <c r="AM102" s="304"/>
      <c r="AN102" s="304"/>
      <c r="AO102" s="304"/>
      <c r="AP102" s="304"/>
    </row>
    <row r="103" spans="1:44" ht="16.25" hidden="1" customHeight="1" x14ac:dyDescent="0.2">
      <c r="A103" s="200">
        <v>46</v>
      </c>
      <c r="B103" s="302" t="s">
        <v>116</v>
      </c>
      <c r="C103" s="302" t="s">
        <v>102</v>
      </c>
      <c r="D103" s="302"/>
      <c r="E103" s="201" t="s">
        <v>37</v>
      </c>
      <c r="F103" s="200" t="s">
        <v>48</v>
      </c>
      <c r="G103" s="200" t="s">
        <v>135</v>
      </c>
      <c r="H103" s="200" t="s">
        <v>77</v>
      </c>
      <c r="I103" s="414" t="s">
        <v>288</v>
      </c>
      <c r="J103" s="284" t="s">
        <v>78</v>
      </c>
      <c r="K103" s="284">
        <v>150000</v>
      </c>
      <c r="L103" s="201" t="s">
        <v>111</v>
      </c>
      <c r="M103" s="286">
        <v>3</v>
      </c>
      <c r="N103" s="242">
        <v>45352</v>
      </c>
      <c r="O103" s="416" t="s">
        <v>101</v>
      </c>
      <c r="P103" s="308" t="s">
        <v>155</v>
      </c>
      <c r="Q103" s="607">
        <f>+K103/M103</f>
        <v>50000</v>
      </c>
      <c r="R103" s="304"/>
      <c r="AB103" s="304"/>
      <c r="AC103" s="304"/>
      <c r="AD103" s="304"/>
      <c r="AE103" s="304"/>
      <c r="AF103" s="304"/>
      <c r="AG103" s="304"/>
      <c r="AH103" s="304"/>
      <c r="AI103" s="304"/>
      <c r="AJ103" s="304"/>
      <c r="AK103" s="304"/>
      <c r="AL103" s="304"/>
      <c r="AM103" s="304"/>
      <c r="AN103" s="304"/>
      <c r="AO103" s="304"/>
      <c r="AP103" s="304"/>
    </row>
    <row r="104" spans="1:44" x14ac:dyDescent="0.2">
      <c r="A104" s="200">
        <v>51</v>
      </c>
      <c r="B104" s="302" t="s">
        <v>95</v>
      </c>
      <c r="C104" s="308" t="s">
        <v>174</v>
      </c>
      <c r="D104" s="308" t="s">
        <v>127</v>
      </c>
      <c r="E104" s="201" t="s">
        <v>20</v>
      </c>
      <c r="F104" s="200" t="s">
        <v>46</v>
      </c>
      <c r="G104" s="200" t="s">
        <v>175</v>
      </c>
      <c r="H104" s="200" t="s">
        <v>176</v>
      </c>
      <c r="I104" s="414" t="s">
        <v>307</v>
      </c>
      <c r="J104" s="370" t="s">
        <v>78</v>
      </c>
      <c r="K104" s="284">
        <v>119000</v>
      </c>
      <c r="L104" s="201" t="s">
        <v>100</v>
      </c>
      <c r="M104" s="309">
        <v>3</v>
      </c>
      <c r="N104" s="371">
        <v>45352</v>
      </c>
      <c r="O104" s="416" t="s">
        <v>101</v>
      </c>
      <c r="P104" s="308"/>
      <c r="Q104" s="607">
        <f>+K104/M104</f>
        <v>39666.666666666664</v>
      </c>
      <c r="R104" s="304"/>
      <c r="AB104" s="304"/>
      <c r="AC104" s="304"/>
      <c r="AD104" s="304"/>
      <c r="AE104" s="304"/>
      <c r="AF104" s="304"/>
      <c r="AG104" s="304"/>
      <c r="AH104" s="304"/>
      <c r="AI104" s="304"/>
      <c r="AJ104" s="304"/>
      <c r="AK104" s="304"/>
      <c r="AL104" s="304"/>
      <c r="AM104" s="304"/>
      <c r="AN104" s="304"/>
      <c r="AO104" s="304"/>
      <c r="AP104" s="304"/>
    </row>
    <row r="105" spans="1:44" hidden="1" x14ac:dyDescent="0.2">
      <c r="A105" s="200">
        <v>39</v>
      </c>
      <c r="B105" s="302" t="s">
        <v>95</v>
      </c>
      <c r="C105" s="302" t="s">
        <v>117</v>
      </c>
      <c r="D105" s="302"/>
      <c r="E105" s="201" t="s">
        <v>37</v>
      </c>
      <c r="F105" s="200" t="s">
        <v>45</v>
      </c>
      <c r="G105" s="200" t="s">
        <v>312</v>
      </c>
      <c r="H105" s="200" t="s">
        <v>146</v>
      </c>
      <c r="I105" s="414" t="s">
        <v>313</v>
      </c>
      <c r="J105" s="284" t="s">
        <v>78</v>
      </c>
      <c r="K105" s="284">
        <v>101000</v>
      </c>
      <c r="L105" s="201" t="s">
        <v>100</v>
      </c>
      <c r="M105" s="286">
        <v>2</v>
      </c>
      <c r="N105" s="242">
        <v>45352</v>
      </c>
      <c r="O105" s="416" t="s">
        <v>101</v>
      </c>
      <c r="P105" s="308" t="s">
        <v>155</v>
      </c>
      <c r="Q105" s="607">
        <f>+K105/M105</f>
        <v>50500</v>
      </c>
      <c r="R105" s="304"/>
      <c r="AB105" s="304"/>
      <c r="AC105" s="304"/>
      <c r="AD105" s="304"/>
      <c r="AE105" s="304"/>
      <c r="AF105" s="304"/>
      <c r="AG105" s="304"/>
      <c r="AH105" s="304"/>
      <c r="AI105" s="304"/>
      <c r="AJ105" s="304"/>
      <c r="AK105" s="304"/>
      <c r="AL105" s="304"/>
      <c r="AM105" s="304"/>
      <c r="AN105" s="304"/>
      <c r="AO105" s="304"/>
      <c r="AP105" s="304"/>
    </row>
    <row r="106" spans="1:44" x14ac:dyDescent="0.2">
      <c r="A106" s="200">
        <v>24</v>
      </c>
      <c r="B106" s="302" t="s">
        <v>95</v>
      </c>
      <c r="C106" s="302" t="s">
        <v>142</v>
      </c>
      <c r="D106" s="302"/>
      <c r="E106" s="201" t="s">
        <v>20</v>
      </c>
      <c r="F106" s="200" t="s">
        <v>43</v>
      </c>
      <c r="G106" s="200" t="s">
        <v>168</v>
      </c>
      <c r="H106" s="200" t="s">
        <v>77</v>
      </c>
      <c r="I106" s="414" t="s">
        <v>328</v>
      </c>
      <c r="J106" s="284" t="s">
        <v>76</v>
      </c>
      <c r="K106" s="284">
        <v>91650</v>
      </c>
      <c r="L106" s="201" t="s">
        <v>100</v>
      </c>
      <c r="M106" s="286">
        <v>4</v>
      </c>
      <c r="N106" s="242">
        <v>45352</v>
      </c>
      <c r="O106" s="416" t="s">
        <v>101</v>
      </c>
      <c r="P106" s="308"/>
      <c r="Q106" s="607">
        <f>+K106/M106</f>
        <v>22912.5</v>
      </c>
      <c r="R106" s="304"/>
      <c r="AB106" s="304"/>
      <c r="AC106" s="304"/>
      <c r="AD106" s="304"/>
      <c r="AE106" s="304"/>
      <c r="AF106" s="304"/>
      <c r="AG106" s="304"/>
      <c r="AH106" s="304"/>
      <c r="AI106" s="304"/>
      <c r="AJ106" s="304"/>
      <c r="AK106" s="304"/>
      <c r="AL106" s="304"/>
      <c r="AM106" s="304"/>
      <c r="AN106" s="304"/>
      <c r="AO106" s="304"/>
      <c r="AP106" s="304"/>
    </row>
    <row r="107" spans="1:44" hidden="1" x14ac:dyDescent="0.2">
      <c r="A107" s="200">
        <v>45</v>
      </c>
      <c r="B107" s="302" t="s">
        <v>116</v>
      </c>
      <c r="C107" s="302" t="s">
        <v>218</v>
      </c>
      <c r="D107" s="302"/>
      <c r="E107" s="201" t="s">
        <v>37</v>
      </c>
      <c r="F107" s="200" t="s">
        <v>46</v>
      </c>
      <c r="G107" s="200" t="s">
        <v>294</v>
      </c>
      <c r="H107" s="200" t="s">
        <v>295</v>
      </c>
      <c r="I107" s="414" t="s">
        <v>329</v>
      </c>
      <c r="J107" s="284" t="s">
        <v>76</v>
      </c>
      <c r="K107" s="284">
        <v>90120</v>
      </c>
      <c r="L107" s="201" t="s">
        <v>111</v>
      </c>
      <c r="M107" s="286">
        <v>5</v>
      </c>
      <c r="N107" s="242">
        <v>45352</v>
      </c>
      <c r="O107" s="416" t="s">
        <v>101</v>
      </c>
      <c r="P107" s="308" t="s">
        <v>155</v>
      </c>
      <c r="Q107" s="607">
        <f>+K107/M107</f>
        <v>18024</v>
      </c>
      <c r="R107" s="304"/>
      <c r="AB107" s="304"/>
      <c r="AC107" s="304"/>
      <c r="AD107" s="304"/>
      <c r="AE107" s="304"/>
      <c r="AF107" s="304"/>
      <c r="AG107" s="304"/>
      <c r="AH107" s="304"/>
      <c r="AI107" s="304"/>
      <c r="AJ107" s="304"/>
      <c r="AK107" s="304"/>
      <c r="AL107" s="304"/>
      <c r="AM107" s="304"/>
      <c r="AN107" s="304"/>
      <c r="AO107" s="304"/>
      <c r="AP107" s="304"/>
    </row>
    <row r="108" spans="1:44" x14ac:dyDescent="0.2">
      <c r="A108" s="200">
        <v>66</v>
      </c>
      <c r="B108" s="302" t="s">
        <v>95</v>
      </c>
      <c r="C108" s="302" t="s">
        <v>117</v>
      </c>
      <c r="D108" s="302" t="s">
        <v>127</v>
      </c>
      <c r="E108" s="201" t="s">
        <v>20</v>
      </c>
      <c r="F108" s="200" t="s">
        <v>45</v>
      </c>
      <c r="G108" s="200" t="s">
        <v>195</v>
      </c>
      <c r="H108" s="200" t="s">
        <v>360</v>
      </c>
      <c r="I108" s="414" t="s">
        <v>361</v>
      </c>
      <c r="J108" s="284" t="s">
        <v>78</v>
      </c>
      <c r="K108" s="284">
        <v>67000</v>
      </c>
      <c r="L108" s="201" t="s">
        <v>252</v>
      </c>
      <c r="M108" s="271">
        <v>2</v>
      </c>
      <c r="N108" s="409">
        <v>45352</v>
      </c>
      <c r="O108" s="416" t="s">
        <v>101</v>
      </c>
      <c r="P108" s="270"/>
      <c r="Q108" s="607">
        <f>+K108/M108</f>
        <v>33500</v>
      </c>
    </row>
    <row r="109" spans="1:44" x14ac:dyDescent="0.2">
      <c r="A109" s="200">
        <v>55</v>
      </c>
      <c r="B109" s="302" t="s">
        <v>95</v>
      </c>
      <c r="C109" s="308" t="s">
        <v>142</v>
      </c>
      <c r="D109" s="308" t="s">
        <v>142</v>
      </c>
      <c r="E109" s="201" t="s">
        <v>20</v>
      </c>
      <c r="F109" s="200" t="s">
        <v>43</v>
      </c>
      <c r="G109" s="200" t="s">
        <v>181</v>
      </c>
      <c r="H109" s="200" t="s">
        <v>358</v>
      </c>
      <c r="I109" s="414" t="s">
        <v>391</v>
      </c>
      <c r="J109" s="284" t="s">
        <v>76</v>
      </c>
      <c r="K109" s="284">
        <v>35600</v>
      </c>
      <c r="L109" s="201" t="s">
        <v>100</v>
      </c>
      <c r="M109" s="309">
        <v>2</v>
      </c>
      <c r="N109" s="371">
        <v>45352</v>
      </c>
      <c r="O109" s="416" t="s">
        <v>101</v>
      </c>
      <c r="P109" s="308"/>
      <c r="Q109" s="607">
        <f>+K109/M109</f>
        <v>17800</v>
      </c>
      <c r="R109" s="304"/>
      <c r="AB109" s="304"/>
      <c r="AC109" s="304"/>
      <c r="AD109" s="304"/>
      <c r="AE109" s="304"/>
      <c r="AF109" s="304"/>
      <c r="AG109" s="304"/>
      <c r="AH109" s="304"/>
      <c r="AI109" s="304"/>
      <c r="AJ109" s="304"/>
      <c r="AK109" s="304"/>
      <c r="AL109" s="304"/>
      <c r="AM109" s="304"/>
      <c r="AN109" s="304"/>
      <c r="AO109" s="304"/>
      <c r="AP109" s="304"/>
    </row>
    <row r="110" spans="1:44" hidden="1" x14ac:dyDescent="0.2">
      <c r="A110" s="200">
        <v>41</v>
      </c>
      <c r="B110" s="302" t="s">
        <v>95</v>
      </c>
      <c r="C110" s="302" t="s">
        <v>120</v>
      </c>
      <c r="D110" s="302"/>
      <c r="E110" s="201" t="s">
        <v>37</v>
      </c>
      <c r="F110" s="200" t="s">
        <v>43</v>
      </c>
      <c r="G110" s="200" t="s">
        <v>97</v>
      </c>
      <c r="H110" s="200" t="s">
        <v>98</v>
      </c>
      <c r="I110" s="414" t="s">
        <v>164</v>
      </c>
      <c r="J110" s="284" t="s">
        <v>78</v>
      </c>
      <c r="K110" s="284">
        <v>520000</v>
      </c>
      <c r="L110" s="201" t="s">
        <v>100</v>
      </c>
      <c r="M110" s="286">
        <v>6</v>
      </c>
      <c r="N110" s="242">
        <v>45323</v>
      </c>
      <c r="O110" s="416" t="s">
        <v>101</v>
      </c>
      <c r="P110" s="308" t="s">
        <v>165</v>
      </c>
      <c r="Q110" s="607">
        <f>+K110/M110</f>
        <v>86666.666666666672</v>
      </c>
      <c r="R110" s="304"/>
      <c r="AB110" s="304"/>
      <c r="AC110" s="304"/>
      <c r="AD110" s="304"/>
      <c r="AE110" s="304"/>
      <c r="AF110" s="304"/>
      <c r="AG110" s="304"/>
      <c r="AH110" s="304"/>
      <c r="AI110" s="304"/>
      <c r="AJ110" s="304"/>
      <c r="AK110" s="304"/>
      <c r="AL110" s="304"/>
      <c r="AM110" s="304"/>
      <c r="AN110" s="304"/>
      <c r="AO110" s="304"/>
      <c r="AP110" s="304"/>
      <c r="AQ110" s="304"/>
      <c r="AR110" s="304"/>
    </row>
    <row r="111" spans="1:44" hidden="1" x14ac:dyDescent="0.2">
      <c r="A111" s="200">
        <v>49</v>
      </c>
      <c r="B111" s="302" t="s">
        <v>95</v>
      </c>
      <c r="C111" s="302" t="s">
        <v>112</v>
      </c>
      <c r="D111" s="302"/>
      <c r="E111" s="201" t="s">
        <v>37</v>
      </c>
      <c r="F111" s="200" t="s">
        <v>44</v>
      </c>
      <c r="G111" s="200" t="s">
        <v>113</v>
      </c>
      <c r="H111" s="200" t="s">
        <v>146</v>
      </c>
      <c r="I111" s="414" t="s">
        <v>207</v>
      </c>
      <c r="J111" s="284" t="s">
        <v>78</v>
      </c>
      <c r="K111" s="284">
        <v>300000</v>
      </c>
      <c r="L111" s="201" t="s">
        <v>111</v>
      </c>
      <c r="M111" s="286">
        <v>12</v>
      </c>
      <c r="N111" s="242">
        <v>45323</v>
      </c>
      <c r="O111" s="416" t="s">
        <v>101</v>
      </c>
      <c r="P111" s="308" t="s">
        <v>155</v>
      </c>
      <c r="Q111" s="607">
        <f>+K111/M111</f>
        <v>25000</v>
      </c>
      <c r="R111" s="304"/>
      <c r="AB111" s="304"/>
      <c r="AC111" s="304"/>
      <c r="AD111" s="304"/>
      <c r="AE111" s="304"/>
      <c r="AF111" s="304"/>
      <c r="AG111" s="304"/>
      <c r="AH111" s="304"/>
      <c r="AI111" s="304"/>
      <c r="AJ111" s="304"/>
      <c r="AK111" s="304"/>
      <c r="AL111" s="304"/>
      <c r="AM111" s="304"/>
      <c r="AN111" s="304"/>
      <c r="AO111" s="304"/>
      <c r="AP111" s="304"/>
      <c r="AQ111" s="304"/>
      <c r="AR111" s="304"/>
    </row>
    <row r="112" spans="1:44" hidden="1" x14ac:dyDescent="0.2">
      <c r="A112" s="200">
        <v>42</v>
      </c>
      <c r="B112" s="302" t="s">
        <v>95</v>
      </c>
      <c r="C112" s="302" t="s">
        <v>131</v>
      </c>
      <c r="D112" s="302"/>
      <c r="E112" s="201" t="s">
        <v>37</v>
      </c>
      <c r="F112" s="200" t="s">
        <v>46</v>
      </c>
      <c r="G112" s="200" t="s">
        <v>208</v>
      </c>
      <c r="H112" s="200" t="s">
        <v>208</v>
      </c>
      <c r="I112" s="414" t="s">
        <v>209</v>
      </c>
      <c r="J112" s="284" t="s">
        <v>76</v>
      </c>
      <c r="K112" s="284">
        <v>285000</v>
      </c>
      <c r="L112" s="201" t="s">
        <v>111</v>
      </c>
      <c r="M112" s="286">
        <v>12</v>
      </c>
      <c r="N112" s="242">
        <v>45323</v>
      </c>
      <c r="O112" s="416" t="s">
        <v>101</v>
      </c>
      <c r="P112" s="308" t="s">
        <v>155</v>
      </c>
      <c r="Q112" s="607">
        <f>+K112/M112</f>
        <v>23750</v>
      </c>
      <c r="R112" s="304"/>
      <c r="AB112" s="304"/>
      <c r="AC112" s="304"/>
      <c r="AD112" s="304"/>
      <c r="AE112" s="304"/>
      <c r="AF112" s="304"/>
      <c r="AG112" s="304"/>
      <c r="AH112" s="304"/>
      <c r="AI112" s="304"/>
      <c r="AJ112" s="304"/>
      <c r="AK112" s="304"/>
      <c r="AL112" s="304"/>
      <c r="AM112" s="304"/>
      <c r="AN112" s="304"/>
      <c r="AO112" s="304"/>
      <c r="AP112" s="304"/>
      <c r="AQ112" s="304"/>
      <c r="AR112" s="304"/>
    </row>
    <row r="113" spans="1:44" x14ac:dyDescent="0.2">
      <c r="A113" s="200">
        <v>4</v>
      </c>
      <c r="B113" s="302" t="s">
        <v>95</v>
      </c>
      <c r="C113" s="302" t="s">
        <v>142</v>
      </c>
      <c r="D113" s="302"/>
      <c r="E113" s="201" t="s">
        <v>20</v>
      </c>
      <c r="F113" s="200" t="s">
        <v>43</v>
      </c>
      <c r="G113" s="200" t="s">
        <v>168</v>
      </c>
      <c r="H113" s="200" t="s">
        <v>169</v>
      </c>
      <c r="I113" s="199" t="s">
        <v>235</v>
      </c>
      <c r="J113" s="284"/>
      <c r="K113" s="284">
        <v>225000</v>
      </c>
      <c r="L113" s="201" t="s">
        <v>100</v>
      </c>
      <c r="M113" s="286">
        <v>4</v>
      </c>
      <c r="N113" s="242">
        <v>45323</v>
      </c>
      <c r="O113" s="416" t="s">
        <v>101</v>
      </c>
      <c r="P113" s="590"/>
      <c r="Q113" s="607">
        <f>+K113/M113</f>
        <v>56250</v>
      </c>
      <c r="R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4"/>
      <c r="AR113" s="304"/>
    </row>
    <row r="114" spans="1:44" hidden="1" x14ac:dyDescent="0.2">
      <c r="A114" s="200">
        <v>40</v>
      </c>
      <c r="B114" s="302" t="s">
        <v>95</v>
      </c>
      <c r="C114" s="302" t="s">
        <v>96</v>
      </c>
      <c r="D114" s="302"/>
      <c r="E114" s="201" t="s">
        <v>37</v>
      </c>
      <c r="F114" s="200" t="s">
        <v>43</v>
      </c>
      <c r="G114" s="270" t="s">
        <v>249</v>
      </c>
      <c r="H114" s="200" t="s">
        <v>250</v>
      </c>
      <c r="I114" s="414" t="s">
        <v>251</v>
      </c>
      <c r="J114" s="284" t="s">
        <v>78</v>
      </c>
      <c r="K114" s="284">
        <v>200000</v>
      </c>
      <c r="L114" s="201" t="s">
        <v>252</v>
      </c>
      <c r="M114" s="286">
        <v>3</v>
      </c>
      <c r="N114" s="242">
        <v>45323</v>
      </c>
      <c r="O114" s="416" t="s">
        <v>101</v>
      </c>
      <c r="P114" s="308" t="s">
        <v>155</v>
      </c>
      <c r="Q114" s="607">
        <f>+K114/M114</f>
        <v>66666.666666666672</v>
      </c>
      <c r="R114" s="304"/>
      <c r="AB114" s="304"/>
      <c r="AC114" s="304"/>
      <c r="AD114" s="304"/>
      <c r="AE114" s="304"/>
      <c r="AF114" s="304"/>
      <c r="AG114" s="304"/>
      <c r="AH114" s="304"/>
      <c r="AI114" s="304"/>
      <c r="AJ114" s="304"/>
      <c r="AK114" s="304"/>
      <c r="AL114" s="304"/>
      <c r="AM114" s="304"/>
      <c r="AN114" s="304"/>
      <c r="AO114" s="304"/>
      <c r="AP114" s="304"/>
    </row>
    <row r="115" spans="1:44" hidden="1" x14ac:dyDescent="0.2">
      <c r="A115" s="200">
        <v>48</v>
      </c>
      <c r="B115" s="302" t="s">
        <v>116</v>
      </c>
      <c r="C115" s="302" t="s">
        <v>112</v>
      </c>
      <c r="D115" s="302"/>
      <c r="E115" s="201" t="s">
        <v>37</v>
      </c>
      <c r="F115" s="200" t="s">
        <v>44</v>
      </c>
      <c r="G115" s="200" t="s">
        <v>113</v>
      </c>
      <c r="H115" s="200" t="s">
        <v>146</v>
      </c>
      <c r="I115" s="414" t="s">
        <v>253</v>
      </c>
      <c r="J115" s="284" t="s">
        <v>78</v>
      </c>
      <c r="K115" s="284">
        <v>200000</v>
      </c>
      <c r="L115" s="201" t="s">
        <v>111</v>
      </c>
      <c r="M115" s="286">
        <v>12</v>
      </c>
      <c r="N115" s="242">
        <v>45323</v>
      </c>
      <c r="O115" s="416" t="s">
        <v>101</v>
      </c>
      <c r="P115" s="308" t="s">
        <v>155</v>
      </c>
      <c r="Q115" s="607">
        <f>+K115/M115</f>
        <v>16666.666666666668</v>
      </c>
      <c r="R115" s="304"/>
      <c r="AB115" s="304"/>
      <c r="AC115" s="304"/>
      <c r="AD115" s="304"/>
      <c r="AE115" s="304"/>
      <c r="AF115" s="304"/>
      <c r="AG115" s="304"/>
      <c r="AH115" s="304"/>
      <c r="AI115" s="304"/>
      <c r="AJ115" s="304"/>
      <c r="AK115" s="304"/>
      <c r="AL115" s="304"/>
      <c r="AM115" s="304"/>
      <c r="AN115" s="304"/>
      <c r="AO115" s="304"/>
      <c r="AP115" s="304"/>
    </row>
    <row r="116" spans="1:44" hidden="1" x14ac:dyDescent="0.2">
      <c r="A116" s="200">
        <v>44</v>
      </c>
      <c r="B116" s="302" t="s">
        <v>116</v>
      </c>
      <c r="C116" s="302" t="s">
        <v>218</v>
      </c>
      <c r="D116" s="302"/>
      <c r="E116" s="201" t="s">
        <v>37</v>
      </c>
      <c r="F116" s="200" t="s">
        <v>46</v>
      </c>
      <c r="G116" s="200" t="s">
        <v>294</v>
      </c>
      <c r="H116" s="200" t="s">
        <v>295</v>
      </c>
      <c r="I116" s="414" t="s">
        <v>296</v>
      </c>
      <c r="J116" s="284" t="s">
        <v>76</v>
      </c>
      <c r="K116" s="284">
        <v>149657</v>
      </c>
      <c r="L116" s="201" t="s">
        <v>111</v>
      </c>
      <c r="M116" s="286">
        <v>4</v>
      </c>
      <c r="N116" s="242">
        <v>45323</v>
      </c>
      <c r="O116" s="416" t="s">
        <v>101</v>
      </c>
      <c r="P116" s="308" t="s">
        <v>155</v>
      </c>
      <c r="Q116" s="607">
        <f>+K116/M116</f>
        <v>37414.25</v>
      </c>
      <c r="R116" s="304"/>
      <c r="AB116" s="304"/>
      <c r="AC116" s="304"/>
      <c r="AD116" s="304"/>
      <c r="AE116" s="304"/>
      <c r="AF116" s="304"/>
      <c r="AG116" s="304"/>
      <c r="AH116" s="304"/>
      <c r="AI116" s="304"/>
      <c r="AJ116" s="304"/>
      <c r="AK116" s="304"/>
      <c r="AL116" s="304"/>
      <c r="AM116" s="304"/>
      <c r="AN116" s="304"/>
      <c r="AO116" s="304"/>
      <c r="AP116" s="304"/>
    </row>
    <row r="117" spans="1:44" hidden="1" x14ac:dyDescent="0.2">
      <c r="A117" s="200">
        <v>43</v>
      </c>
      <c r="B117" s="302" t="s">
        <v>116</v>
      </c>
      <c r="C117" s="302" t="s">
        <v>218</v>
      </c>
      <c r="D117" s="302"/>
      <c r="E117" s="201" t="s">
        <v>37</v>
      </c>
      <c r="F117" s="200" t="s">
        <v>46</v>
      </c>
      <c r="G117" s="200" t="s">
        <v>294</v>
      </c>
      <c r="H117" s="200" t="s">
        <v>295</v>
      </c>
      <c r="I117" s="414" t="s">
        <v>311</v>
      </c>
      <c r="J117" s="284" t="s">
        <v>76</v>
      </c>
      <c r="K117" s="284">
        <v>102545</v>
      </c>
      <c r="L117" s="201" t="s">
        <v>111</v>
      </c>
      <c r="M117" s="286">
        <v>5</v>
      </c>
      <c r="N117" s="242">
        <v>45323</v>
      </c>
      <c r="O117" s="416" t="s">
        <v>101</v>
      </c>
      <c r="P117" s="308" t="s">
        <v>155</v>
      </c>
      <c r="Q117" s="607">
        <f>+K117/M117</f>
        <v>20509</v>
      </c>
      <c r="R117" s="304"/>
      <c r="AB117" s="304"/>
      <c r="AC117" s="304"/>
      <c r="AD117" s="304"/>
      <c r="AE117" s="304"/>
      <c r="AF117" s="304"/>
      <c r="AG117" s="304"/>
      <c r="AH117" s="304"/>
      <c r="AI117" s="304"/>
      <c r="AJ117" s="304"/>
      <c r="AK117" s="304"/>
      <c r="AL117" s="304"/>
      <c r="AM117" s="304"/>
      <c r="AN117" s="304"/>
      <c r="AO117" s="304"/>
      <c r="AP117" s="304"/>
    </row>
    <row r="118" spans="1:44" x14ac:dyDescent="0.2">
      <c r="A118" s="200">
        <v>6</v>
      </c>
      <c r="B118" s="305" t="s">
        <v>116</v>
      </c>
      <c r="C118" s="305" t="s">
        <v>218</v>
      </c>
      <c r="D118" s="305"/>
      <c r="E118" s="201" t="s">
        <v>20</v>
      </c>
      <c r="F118" s="200" t="s">
        <v>43</v>
      </c>
      <c r="G118" s="200" t="s">
        <v>371</v>
      </c>
      <c r="H118" s="200" t="s">
        <v>339</v>
      </c>
      <c r="I118" s="462" t="s">
        <v>372</v>
      </c>
      <c r="J118" s="284" t="s">
        <v>78</v>
      </c>
      <c r="K118" s="284">
        <v>54000</v>
      </c>
      <c r="L118" s="201" t="s">
        <v>100</v>
      </c>
      <c r="M118" s="307">
        <v>1</v>
      </c>
      <c r="N118" s="242">
        <v>45323</v>
      </c>
      <c r="O118" s="416" t="s">
        <v>101</v>
      </c>
      <c r="P118" s="590"/>
      <c r="Q118" s="607">
        <f>+K118/M118</f>
        <v>54000</v>
      </c>
      <c r="R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</row>
    <row r="119" spans="1:44" hidden="1" x14ac:dyDescent="0.2">
      <c r="A119" s="200">
        <v>47</v>
      </c>
      <c r="B119" s="302" t="s">
        <v>116</v>
      </c>
      <c r="C119" s="302" t="s">
        <v>112</v>
      </c>
      <c r="D119" s="302"/>
      <c r="E119" s="201" t="s">
        <v>37</v>
      </c>
      <c r="F119" s="200" t="s">
        <v>44</v>
      </c>
      <c r="G119" s="200" t="s">
        <v>113</v>
      </c>
      <c r="H119" s="200" t="s">
        <v>146</v>
      </c>
      <c r="I119" s="414" t="s">
        <v>154</v>
      </c>
      <c r="J119" s="284" t="s">
        <v>78</v>
      </c>
      <c r="K119" s="284">
        <v>651000</v>
      </c>
      <c r="L119" s="201" t="s">
        <v>111</v>
      </c>
      <c r="M119" s="286">
        <v>12</v>
      </c>
      <c r="N119" s="242">
        <v>45292</v>
      </c>
      <c r="O119" s="416" t="s">
        <v>101</v>
      </c>
      <c r="P119" s="308" t="s">
        <v>155</v>
      </c>
      <c r="Q119" s="607">
        <f>+K119/M119</f>
        <v>54250</v>
      </c>
      <c r="R119" s="304"/>
      <c r="AB119" s="304"/>
      <c r="AC119" s="304"/>
      <c r="AD119" s="304"/>
      <c r="AE119" s="304"/>
      <c r="AF119" s="304"/>
      <c r="AG119" s="304"/>
      <c r="AH119" s="304"/>
      <c r="AI119" s="304"/>
      <c r="AJ119" s="304"/>
      <c r="AK119" s="304"/>
      <c r="AL119" s="304"/>
      <c r="AM119" s="304"/>
      <c r="AN119" s="304"/>
      <c r="AO119" s="304"/>
      <c r="AP119" s="304"/>
      <c r="AQ119" s="304"/>
      <c r="AR119" s="304"/>
    </row>
    <row r="120" spans="1:44" x14ac:dyDescent="0.2">
      <c r="A120" s="200">
        <v>1</v>
      </c>
      <c r="B120" s="302" t="s">
        <v>95</v>
      </c>
      <c r="C120" s="302" t="s">
        <v>117</v>
      </c>
      <c r="D120" s="302"/>
      <c r="E120" s="201" t="s">
        <v>20</v>
      </c>
      <c r="F120" s="200" t="s">
        <v>45</v>
      </c>
      <c r="G120" s="200" t="s">
        <v>195</v>
      </c>
      <c r="H120" s="200" t="s">
        <v>330</v>
      </c>
      <c r="I120" s="199" t="s">
        <v>349</v>
      </c>
      <c r="J120" s="284" t="s">
        <v>76</v>
      </c>
      <c r="K120" s="284">
        <v>78846.600000000006</v>
      </c>
      <c r="L120" s="201" t="s">
        <v>252</v>
      </c>
      <c r="M120" s="286">
        <v>3</v>
      </c>
      <c r="N120" s="242">
        <v>45292</v>
      </c>
      <c r="O120" s="416" t="s">
        <v>101</v>
      </c>
      <c r="P120" s="302"/>
      <c r="Q120" s="607">
        <f>+K120/M120</f>
        <v>26282.2</v>
      </c>
      <c r="R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</row>
    <row r="121" spans="1:44" hidden="1" x14ac:dyDescent="0.2">
      <c r="A121" s="200">
        <v>127</v>
      </c>
      <c r="B121" s="270" t="s">
        <v>116</v>
      </c>
      <c r="C121" s="270" t="s">
        <v>117</v>
      </c>
      <c r="D121" s="270"/>
      <c r="E121" s="201" t="s">
        <v>28</v>
      </c>
      <c r="F121" s="302" t="s">
        <v>45</v>
      </c>
      <c r="G121" s="270" t="s">
        <v>118</v>
      </c>
      <c r="H121" s="302"/>
      <c r="I121" s="414" t="s">
        <v>119</v>
      </c>
      <c r="J121" s="284" t="s">
        <v>76</v>
      </c>
      <c r="K121" s="284">
        <v>1600000</v>
      </c>
      <c r="L121" s="245" t="s">
        <v>111</v>
      </c>
      <c r="M121" s="271">
        <v>24</v>
      </c>
      <c r="N121" s="406"/>
      <c r="O121" s="416" t="s">
        <v>106</v>
      </c>
      <c r="P121" s="270"/>
      <c r="Q121" s="607">
        <f>+K121/M121</f>
        <v>66666.666666666672</v>
      </c>
      <c r="AQ121" s="303"/>
      <c r="AR121" s="303"/>
    </row>
    <row r="122" spans="1:44" hidden="1" x14ac:dyDescent="0.2">
      <c r="A122" s="200">
        <v>142</v>
      </c>
      <c r="B122" s="270" t="s">
        <v>95</v>
      </c>
      <c r="C122" s="270" t="s">
        <v>126</v>
      </c>
      <c r="D122" s="270" t="s">
        <v>127</v>
      </c>
      <c r="E122" s="270" t="s">
        <v>23</v>
      </c>
      <c r="F122" s="270" t="s">
        <v>43</v>
      </c>
      <c r="G122" s="270" t="s">
        <v>140</v>
      </c>
      <c r="H122" s="270"/>
      <c r="I122" s="415" t="s">
        <v>141</v>
      </c>
      <c r="J122" s="587" t="s">
        <v>76</v>
      </c>
      <c r="K122" s="587">
        <v>900000</v>
      </c>
      <c r="L122" s="245" t="s">
        <v>100</v>
      </c>
      <c r="M122" s="270">
        <v>12</v>
      </c>
      <c r="N122" s="406"/>
      <c r="O122" s="416" t="s">
        <v>106</v>
      </c>
      <c r="P122" s="270"/>
      <c r="Q122" s="607">
        <f>+K122/M122</f>
        <v>75000</v>
      </c>
      <c r="AQ122" s="303"/>
      <c r="AR122" s="303"/>
    </row>
    <row r="123" spans="1:44" hidden="1" x14ac:dyDescent="0.2">
      <c r="A123" s="200">
        <v>126</v>
      </c>
      <c r="B123" s="270" t="s">
        <v>95</v>
      </c>
      <c r="C123" s="270" t="s">
        <v>112</v>
      </c>
      <c r="D123" s="270"/>
      <c r="E123" s="201" t="s">
        <v>28</v>
      </c>
      <c r="F123" s="302" t="s">
        <v>44</v>
      </c>
      <c r="G123" s="270" t="s">
        <v>161</v>
      </c>
      <c r="H123" s="302" t="s">
        <v>162</v>
      </c>
      <c r="I123" s="414" t="s">
        <v>163</v>
      </c>
      <c r="J123" s="284" t="s">
        <v>78</v>
      </c>
      <c r="K123" s="284">
        <v>566000</v>
      </c>
      <c r="L123" s="245" t="s">
        <v>100</v>
      </c>
      <c r="M123" s="271">
        <v>3</v>
      </c>
      <c r="N123" s="406"/>
      <c r="O123" s="416" t="s">
        <v>101</v>
      </c>
      <c r="P123" s="270"/>
      <c r="Q123" s="607">
        <f>+K123/M123</f>
        <v>188666.66666666666</v>
      </c>
      <c r="AQ123" s="304"/>
      <c r="AR123" s="304"/>
    </row>
    <row r="124" spans="1:44" x14ac:dyDescent="0.2">
      <c r="A124" s="200">
        <v>138</v>
      </c>
      <c r="B124" s="270" t="s">
        <v>95</v>
      </c>
      <c r="C124" s="270" t="s">
        <v>127</v>
      </c>
      <c r="D124" s="270" t="s">
        <v>127</v>
      </c>
      <c r="E124" s="201" t="s">
        <v>20</v>
      </c>
      <c r="F124" s="302" t="s">
        <v>43</v>
      </c>
      <c r="G124" s="270" t="s">
        <v>181</v>
      </c>
      <c r="H124" s="302" t="s">
        <v>182</v>
      </c>
      <c r="I124" s="414" t="s">
        <v>183</v>
      </c>
      <c r="J124" s="284" t="s">
        <v>76</v>
      </c>
      <c r="K124" s="284">
        <v>450000</v>
      </c>
      <c r="L124" s="245" t="s">
        <v>111</v>
      </c>
      <c r="M124" s="200">
        <v>5</v>
      </c>
      <c r="N124" s="406"/>
      <c r="O124" s="416" t="s">
        <v>101</v>
      </c>
      <c r="P124" s="270"/>
      <c r="Q124" s="607">
        <f>+K124/M124</f>
        <v>90000</v>
      </c>
      <c r="AQ124" s="304"/>
      <c r="AR124" s="304"/>
    </row>
    <row r="125" spans="1:44" hidden="1" x14ac:dyDescent="0.2">
      <c r="A125" s="200">
        <v>143</v>
      </c>
      <c r="B125" s="270" t="s">
        <v>95</v>
      </c>
      <c r="C125" s="270" t="s">
        <v>127</v>
      </c>
      <c r="D125" s="270" t="s">
        <v>127</v>
      </c>
      <c r="E125" s="270" t="s">
        <v>23</v>
      </c>
      <c r="F125" s="270" t="s">
        <v>43</v>
      </c>
      <c r="G125" s="270" t="s">
        <v>97</v>
      </c>
      <c r="H125" s="270" t="s">
        <v>98</v>
      </c>
      <c r="I125" s="415" t="s">
        <v>184</v>
      </c>
      <c r="J125" s="587" t="s">
        <v>78</v>
      </c>
      <c r="K125" s="587">
        <v>450000</v>
      </c>
      <c r="L125" s="245" t="s">
        <v>111</v>
      </c>
      <c r="M125" s="270">
        <v>8</v>
      </c>
      <c r="N125" s="406"/>
      <c r="O125" s="416" t="s">
        <v>106</v>
      </c>
      <c r="P125" s="270"/>
      <c r="Q125" s="607">
        <f>+K125/M125</f>
        <v>56250</v>
      </c>
      <c r="AQ125" s="304"/>
      <c r="AR125" s="304"/>
    </row>
    <row r="126" spans="1:44" hidden="1" x14ac:dyDescent="0.2">
      <c r="A126" s="200">
        <v>129</v>
      </c>
      <c r="B126" s="270" t="s">
        <v>95</v>
      </c>
      <c r="C126" s="270" t="s">
        <v>102</v>
      </c>
      <c r="D126" s="270" t="s">
        <v>127</v>
      </c>
      <c r="E126" s="201" t="s">
        <v>28</v>
      </c>
      <c r="F126" s="302" t="s">
        <v>48</v>
      </c>
      <c r="G126" s="270" t="s">
        <v>138</v>
      </c>
      <c r="H126" s="302"/>
      <c r="I126" s="414" t="s">
        <v>185</v>
      </c>
      <c r="J126" s="284" t="s">
        <v>76</v>
      </c>
      <c r="K126" s="284">
        <v>425000</v>
      </c>
      <c r="L126" s="245" t="s">
        <v>111</v>
      </c>
      <c r="M126" s="271">
        <v>2</v>
      </c>
      <c r="N126" s="406"/>
      <c r="O126" s="416" t="s">
        <v>101</v>
      </c>
      <c r="P126" s="270"/>
      <c r="Q126" s="607">
        <f>+K126/M126</f>
        <v>212500</v>
      </c>
      <c r="AQ126" s="304"/>
      <c r="AR126" s="304"/>
    </row>
    <row r="127" spans="1:44" hidden="1" x14ac:dyDescent="0.2">
      <c r="A127" s="200">
        <v>135</v>
      </c>
      <c r="B127" s="270" t="s">
        <v>95</v>
      </c>
      <c r="C127" s="270" t="s">
        <v>112</v>
      </c>
      <c r="D127" s="270" t="s">
        <v>127</v>
      </c>
      <c r="E127" s="201" t="s">
        <v>28</v>
      </c>
      <c r="F127" s="302" t="s">
        <v>44</v>
      </c>
      <c r="G127" s="270" t="s">
        <v>156</v>
      </c>
      <c r="H127" s="302" t="s">
        <v>198</v>
      </c>
      <c r="I127" s="414" t="s">
        <v>199</v>
      </c>
      <c r="J127" s="284" t="s">
        <v>78</v>
      </c>
      <c r="K127" s="284">
        <v>340000</v>
      </c>
      <c r="L127" s="245" t="s">
        <v>100</v>
      </c>
      <c r="M127" s="271">
        <v>3</v>
      </c>
      <c r="N127" s="406"/>
      <c r="O127" s="416" t="s">
        <v>101</v>
      </c>
      <c r="P127" s="270"/>
      <c r="Q127" s="607">
        <f>+K127/M127</f>
        <v>113333.33333333333</v>
      </c>
      <c r="AQ127" s="304"/>
      <c r="AR127" s="304"/>
    </row>
    <row r="128" spans="1:44" hidden="1" x14ac:dyDescent="0.2">
      <c r="A128" s="200">
        <v>121</v>
      </c>
      <c r="B128" s="270" t="s">
        <v>95</v>
      </c>
      <c r="C128" s="270" t="s">
        <v>102</v>
      </c>
      <c r="D128" s="270" t="s">
        <v>112</v>
      </c>
      <c r="E128" s="201" t="s">
        <v>28</v>
      </c>
      <c r="F128" s="302" t="s">
        <v>48</v>
      </c>
      <c r="G128" s="270" t="s">
        <v>158</v>
      </c>
      <c r="H128" s="302"/>
      <c r="I128" s="414" t="s">
        <v>200</v>
      </c>
      <c r="J128" s="284" t="s">
        <v>78</v>
      </c>
      <c r="K128" s="284">
        <v>334000</v>
      </c>
      <c r="L128" s="245" t="s">
        <v>111</v>
      </c>
      <c r="M128" s="271">
        <v>3</v>
      </c>
      <c r="N128" s="406"/>
      <c r="O128" s="416" t="s">
        <v>106</v>
      </c>
      <c r="P128" s="270"/>
      <c r="Q128" s="607">
        <f>+K128/M128</f>
        <v>111333.33333333333</v>
      </c>
      <c r="AQ128" s="304"/>
      <c r="AR128" s="304"/>
    </row>
    <row r="129" spans="1:44" x14ac:dyDescent="0.2">
      <c r="A129" s="200">
        <v>140</v>
      </c>
      <c r="B129" s="270" t="s">
        <v>95</v>
      </c>
      <c r="C129" s="270" t="s">
        <v>112</v>
      </c>
      <c r="D129" s="270" t="s">
        <v>112</v>
      </c>
      <c r="E129" s="201" t="s">
        <v>20</v>
      </c>
      <c r="F129" s="302" t="s">
        <v>44</v>
      </c>
      <c r="G129" s="270" t="s">
        <v>181</v>
      </c>
      <c r="H129" s="302" t="s">
        <v>216</v>
      </c>
      <c r="I129" s="414" t="s">
        <v>217</v>
      </c>
      <c r="J129" s="284" t="s">
        <v>78</v>
      </c>
      <c r="K129" s="284">
        <v>260000</v>
      </c>
      <c r="L129" s="245" t="s">
        <v>100</v>
      </c>
      <c r="M129" s="200">
        <v>4</v>
      </c>
      <c r="N129" s="406"/>
      <c r="O129" s="416" t="s">
        <v>101</v>
      </c>
      <c r="P129" s="270"/>
      <c r="Q129" s="607">
        <f>+K129/M129</f>
        <v>65000</v>
      </c>
      <c r="AQ129" s="304"/>
      <c r="AR129" s="304"/>
    </row>
    <row r="130" spans="1:44" hidden="1" x14ac:dyDescent="0.2">
      <c r="A130" s="200">
        <v>132</v>
      </c>
      <c r="B130" s="270" t="s">
        <v>95</v>
      </c>
      <c r="C130" s="270" t="s">
        <v>127</v>
      </c>
      <c r="D130" s="270" t="s">
        <v>127</v>
      </c>
      <c r="E130" s="201" t="s">
        <v>37</v>
      </c>
      <c r="F130" s="302" t="s">
        <v>46</v>
      </c>
      <c r="G130" s="270" t="s">
        <v>224</v>
      </c>
      <c r="H130" s="302"/>
      <c r="I130" s="414" t="s">
        <v>225</v>
      </c>
      <c r="J130" s="284" t="s">
        <v>78</v>
      </c>
      <c r="K130" s="284">
        <v>250000</v>
      </c>
      <c r="L130" s="245" t="s">
        <v>100</v>
      </c>
      <c r="M130" s="271">
        <v>1</v>
      </c>
      <c r="N130" s="406"/>
      <c r="O130" s="416" t="s">
        <v>101</v>
      </c>
      <c r="P130" s="270"/>
      <c r="Q130" s="607">
        <f>+K130/M130</f>
        <v>250000</v>
      </c>
      <c r="AQ130" s="304"/>
      <c r="AR130" s="304"/>
    </row>
    <row r="131" spans="1:44" hidden="1" x14ac:dyDescent="0.2">
      <c r="A131" s="200">
        <v>136</v>
      </c>
      <c r="B131" s="270" t="s">
        <v>95</v>
      </c>
      <c r="C131" s="270" t="s">
        <v>174</v>
      </c>
      <c r="D131" s="270" t="s">
        <v>127</v>
      </c>
      <c r="E131" s="201" t="s">
        <v>28</v>
      </c>
      <c r="F131" s="302" t="s">
        <v>46</v>
      </c>
      <c r="G131" s="270" t="s">
        <v>175</v>
      </c>
      <c r="H131" s="302" t="s">
        <v>176</v>
      </c>
      <c r="I131" s="414" t="s">
        <v>228</v>
      </c>
      <c r="J131" s="284" t="s">
        <v>78</v>
      </c>
      <c r="K131" s="284">
        <v>240000</v>
      </c>
      <c r="L131" s="245" t="s">
        <v>100</v>
      </c>
      <c r="M131" s="271">
        <v>3</v>
      </c>
      <c r="N131" s="406"/>
      <c r="O131" s="416" t="s">
        <v>101</v>
      </c>
      <c r="P131" s="270"/>
      <c r="Q131" s="607">
        <f>+K131/M131</f>
        <v>80000</v>
      </c>
      <c r="AQ131" s="304"/>
      <c r="AR131" s="304"/>
    </row>
    <row r="132" spans="1:44" x14ac:dyDescent="0.2">
      <c r="A132" s="200">
        <v>130</v>
      </c>
      <c r="B132" s="270" t="s">
        <v>95</v>
      </c>
      <c r="C132" s="270" t="s">
        <v>117</v>
      </c>
      <c r="D132" s="270" t="s">
        <v>127</v>
      </c>
      <c r="E132" s="201" t="s">
        <v>20</v>
      </c>
      <c r="F132" s="302" t="s">
        <v>45</v>
      </c>
      <c r="G132" s="270" t="s">
        <v>236</v>
      </c>
      <c r="H132" s="302"/>
      <c r="I132" s="414" t="s">
        <v>237</v>
      </c>
      <c r="J132" s="284" t="s">
        <v>78</v>
      </c>
      <c r="K132" s="284">
        <v>224000</v>
      </c>
      <c r="L132" s="245" t="s">
        <v>100</v>
      </c>
      <c r="M132" s="271">
        <v>3</v>
      </c>
      <c r="N132" s="406"/>
      <c r="O132" s="416" t="s">
        <v>101</v>
      </c>
      <c r="P132" s="270"/>
      <c r="Q132" s="607">
        <f>+K132/M132</f>
        <v>74666.666666666672</v>
      </c>
      <c r="AQ132" s="304"/>
      <c r="AR132" s="304"/>
    </row>
    <row r="133" spans="1:44" hidden="1" x14ac:dyDescent="0.2">
      <c r="A133" s="200">
        <v>137</v>
      </c>
      <c r="B133" s="270" t="s">
        <v>95</v>
      </c>
      <c r="C133" s="270" t="s">
        <v>127</v>
      </c>
      <c r="D133" s="270" t="s">
        <v>127</v>
      </c>
      <c r="E133" s="201" t="s">
        <v>28</v>
      </c>
      <c r="F133" s="302" t="s">
        <v>46</v>
      </c>
      <c r="G133" s="270" t="s">
        <v>238</v>
      </c>
      <c r="H133" s="302"/>
      <c r="I133" s="414" t="s">
        <v>239</v>
      </c>
      <c r="J133" s="284" t="s">
        <v>78</v>
      </c>
      <c r="K133" s="284">
        <v>220000</v>
      </c>
      <c r="L133" s="245" t="s">
        <v>111</v>
      </c>
      <c r="M133" s="200">
        <v>2</v>
      </c>
      <c r="N133" s="406"/>
      <c r="O133" s="416" t="s">
        <v>101</v>
      </c>
      <c r="P133" s="270"/>
      <c r="Q133" s="607">
        <f>+K133/M133</f>
        <v>110000</v>
      </c>
      <c r="AQ133" s="304"/>
      <c r="AR133" s="304"/>
    </row>
    <row r="134" spans="1:44" x14ac:dyDescent="0.2">
      <c r="A134" s="200">
        <v>128</v>
      </c>
      <c r="B134" s="270" t="s">
        <v>95</v>
      </c>
      <c r="C134" s="270" t="s">
        <v>102</v>
      </c>
      <c r="D134" s="270" t="s">
        <v>127</v>
      </c>
      <c r="E134" s="201" t="s">
        <v>20</v>
      </c>
      <c r="F134" s="302" t="s">
        <v>48</v>
      </c>
      <c r="G134" s="270" t="s">
        <v>138</v>
      </c>
      <c r="H134" s="302"/>
      <c r="I134" s="414" t="s">
        <v>240</v>
      </c>
      <c r="J134" s="284" t="s">
        <v>76</v>
      </c>
      <c r="K134" s="284">
        <v>215000</v>
      </c>
      <c r="L134" s="245" t="s">
        <v>111</v>
      </c>
      <c r="M134" s="271">
        <v>2</v>
      </c>
      <c r="N134" s="406"/>
      <c r="O134" s="416" t="s">
        <v>101</v>
      </c>
      <c r="P134" s="270"/>
      <c r="Q134" s="607">
        <f>+K134/M134</f>
        <v>107500</v>
      </c>
      <c r="AQ134" s="304"/>
      <c r="AR134" s="304"/>
    </row>
    <row r="135" spans="1:44" hidden="1" x14ac:dyDescent="0.2">
      <c r="A135" s="200">
        <v>144</v>
      </c>
      <c r="B135" s="270" t="s">
        <v>95</v>
      </c>
      <c r="C135" s="270" t="s">
        <v>127</v>
      </c>
      <c r="D135" s="270" t="s">
        <v>127</v>
      </c>
      <c r="E135" s="201" t="s">
        <v>28</v>
      </c>
      <c r="F135" s="271" t="s">
        <v>43</v>
      </c>
      <c r="G135" s="271" t="s">
        <v>256</v>
      </c>
      <c r="H135" s="271" t="s">
        <v>257</v>
      </c>
      <c r="I135" s="414" t="s">
        <v>258</v>
      </c>
      <c r="J135" s="284" t="s">
        <v>76</v>
      </c>
      <c r="K135" s="284">
        <v>200000</v>
      </c>
      <c r="L135" s="245" t="s">
        <v>100</v>
      </c>
      <c r="M135" s="270">
        <v>3</v>
      </c>
      <c r="N135" s="406"/>
      <c r="O135" s="416" t="s">
        <v>101</v>
      </c>
      <c r="P135" s="270"/>
      <c r="Q135" s="607">
        <f>+K135/M135</f>
        <v>66666.666666666672</v>
      </c>
    </row>
    <row r="136" spans="1:44" hidden="1" x14ac:dyDescent="0.2">
      <c r="A136" s="200">
        <v>139</v>
      </c>
      <c r="B136" s="270" t="s">
        <v>95</v>
      </c>
      <c r="C136" s="270" t="s">
        <v>120</v>
      </c>
      <c r="D136" s="270" t="s">
        <v>127</v>
      </c>
      <c r="E136" s="201" t="s">
        <v>28</v>
      </c>
      <c r="F136" s="302" t="s">
        <v>43</v>
      </c>
      <c r="G136" s="270" t="s">
        <v>274</v>
      </c>
      <c r="H136" s="302" t="s">
        <v>230</v>
      </c>
      <c r="I136" s="414" t="s">
        <v>275</v>
      </c>
      <c r="J136" s="284" t="s">
        <v>76</v>
      </c>
      <c r="K136" s="284">
        <v>180000</v>
      </c>
      <c r="L136" s="245" t="s">
        <v>100</v>
      </c>
      <c r="M136" s="200">
        <v>4</v>
      </c>
      <c r="N136" s="406"/>
      <c r="O136" s="416" t="s">
        <v>106</v>
      </c>
      <c r="P136" s="270"/>
      <c r="Q136" s="607">
        <f>+K136/M136</f>
        <v>45000</v>
      </c>
    </row>
    <row r="137" spans="1:44" hidden="1" x14ac:dyDescent="0.2">
      <c r="A137" s="200">
        <v>125</v>
      </c>
      <c r="B137" s="270" t="s">
        <v>95</v>
      </c>
      <c r="C137" s="270" t="s">
        <v>218</v>
      </c>
      <c r="D137" s="270"/>
      <c r="E137" s="201" t="s">
        <v>28</v>
      </c>
      <c r="F137" s="302" t="s">
        <v>43</v>
      </c>
      <c r="G137" s="270" t="s">
        <v>143</v>
      </c>
      <c r="H137" s="302" t="s">
        <v>278</v>
      </c>
      <c r="I137" s="414" t="s">
        <v>279</v>
      </c>
      <c r="J137" s="284" t="s">
        <v>78</v>
      </c>
      <c r="K137" s="284">
        <v>170000</v>
      </c>
      <c r="L137" s="245" t="s">
        <v>100</v>
      </c>
      <c r="M137" s="271">
        <v>3</v>
      </c>
      <c r="N137" s="406"/>
      <c r="O137" s="416" t="s">
        <v>101</v>
      </c>
      <c r="P137" s="270"/>
      <c r="Q137" s="607">
        <f>+K137/M137</f>
        <v>56666.666666666664</v>
      </c>
    </row>
    <row r="138" spans="1:44" hidden="1" x14ac:dyDescent="0.2">
      <c r="A138" s="200">
        <v>123</v>
      </c>
      <c r="B138" s="270" t="s">
        <v>95</v>
      </c>
      <c r="C138" s="270" t="s">
        <v>120</v>
      </c>
      <c r="D138" s="270"/>
      <c r="E138" s="201" t="s">
        <v>37</v>
      </c>
      <c r="F138" s="302" t="s">
        <v>43</v>
      </c>
      <c r="G138" s="270" t="s">
        <v>283</v>
      </c>
      <c r="H138" s="302"/>
      <c r="I138" s="414" t="s">
        <v>284</v>
      </c>
      <c r="J138" s="284" t="s">
        <v>78</v>
      </c>
      <c r="K138" s="284">
        <v>160000</v>
      </c>
      <c r="L138" s="245" t="s">
        <v>100</v>
      </c>
      <c r="M138" s="271">
        <v>3</v>
      </c>
      <c r="N138" s="406"/>
      <c r="O138" s="416" t="s">
        <v>106</v>
      </c>
      <c r="P138" s="270"/>
      <c r="Q138" s="607">
        <f>+K138/M138</f>
        <v>53333.333333333336</v>
      </c>
    </row>
    <row r="139" spans="1:44" hidden="1" x14ac:dyDescent="0.2">
      <c r="A139" s="200">
        <v>133</v>
      </c>
      <c r="B139" s="270" t="s">
        <v>95</v>
      </c>
      <c r="C139" s="270" t="s">
        <v>127</v>
      </c>
      <c r="D139" s="270" t="s">
        <v>127</v>
      </c>
      <c r="E139" s="201" t="s">
        <v>37</v>
      </c>
      <c r="F139" s="302" t="s">
        <v>43</v>
      </c>
      <c r="G139" s="270" t="s">
        <v>274</v>
      </c>
      <c r="H139" s="302" t="s">
        <v>292</v>
      </c>
      <c r="I139" s="414" t="s">
        <v>293</v>
      </c>
      <c r="J139" s="284" t="s">
        <v>78</v>
      </c>
      <c r="K139" s="284">
        <v>150000</v>
      </c>
      <c r="L139" s="245" t="s">
        <v>100</v>
      </c>
      <c r="M139" s="271">
        <v>1</v>
      </c>
      <c r="N139" s="406"/>
      <c r="O139" s="416" t="s">
        <v>101</v>
      </c>
      <c r="P139" s="270"/>
      <c r="Q139" s="607">
        <f>+K139/M139</f>
        <v>150000</v>
      </c>
    </row>
    <row r="140" spans="1:44" hidden="1" x14ac:dyDescent="0.2">
      <c r="A140" s="200">
        <v>146</v>
      </c>
      <c r="B140" s="270" t="s">
        <v>95</v>
      </c>
      <c r="C140" s="270" t="s">
        <v>142</v>
      </c>
      <c r="D140" s="270" t="s">
        <v>142</v>
      </c>
      <c r="E140" s="270" t="s">
        <v>28</v>
      </c>
      <c r="F140" s="271" t="s">
        <v>43</v>
      </c>
      <c r="G140" s="271" t="s">
        <v>274</v>
      </c>
      <c r="H140" s="271" t="s">
        <v>230</v>
      </c>
      <c r="I140" s="245" t="s">
        <v>320</v>
      </c>
      <c r="J140" s="284" t="s">
        <v>76</v>
      </c>
      <c r="K140" s="284">
        <v>100000</v>
      </c>
      <c r="L140" s="245" t="s">
        <v>100</v>
      </c>
      <c r="M140" s="270">
        <v>3</v>
      </c>
      <c r="N140" s="406"/>
      <c r="O140" s="416" t="s">
        <v>101</v>
      </c>
      <c r="P140" s="270"/>
      <c r="Q140" s="607">
        <f>+K140/M140</f>
        <v>33333.333333333336</v>
      </c>
    </row>
    <row r="141" spans="1:44" x14ac:dyDescent="0.2">
      <c r="A141" s="200">
        <v>124</v>
      </c>
      <c r="B141" s="270" t="s">
        <v>95</v>
      </c>
      <c r="C141" s="270" t="s">
        <v>96</v>
      </c>
      <c r="D141" s="270"/>
      <c r="E141" s="201" t="s">
        <v>20</v>
      </c>
      <c r="F141" s="302" t="s">
        <v>43</v>
      </c>
      <c r="G141" s="270" t="s">
        <v>249</v>
      </c>
      <c r="H141" s="302"/>
      <c r="I141" s="414" t="s">
        <v>348</v>
      </c>
      <c r="J141" s="284" t="s">
        <v>76</v>
      </c>
      <c r="K141" s="284">
        <v>80000</v>
      </c>
      <c r="L141" s="245" t="s">
        <v>111</v>
      </c>
      <c r="M141" s="271">
        <v>1</v>
      </c>
      <c r="N141" s="406"/>
      <c r="O141" s="416" t="s">
        <v>101</v>
      </c>
      <c r="P141" s="270"/>
      <c r="Q141" s="607">
        <f>+K141/M141</f>
        <v>80000</v>
      </c>
    </row>
    <row r="142" spans="1:44" hidden="1" x14ac:dyDescent="0.2">
      <c r="A142" s="200">
        <v>131</v>
      </c>
      <c r="B142" s="270" t="s">
        <v>95</v>
      </c>
      <c r="C142" s="270" t="s">
        <v>174</v>
      </c>
      <c r="D142" s="270" t="s">
        <v>127</v>
      </c>
      <c r="E142" s="201" t="s">
        <v>28</v>
      </c>
      <c r="F142" s="302" t="s">
        <v>43</v>
      </c>
      <c r="G142" s="270" t="s">
        <v>368</v>
      </c>
      <c r="H142" s="302" t="s">
        <v>369</v>
      </c>
      <c r="I142" s="414" t="s">
        <v>370</v>
      </c>
      <c r="J142" s="284" t="s">
        <v>76</v>
      </c>
      <c r="K142" s="284">
        <v>60000</v>
      </c>
      <c r="L142" s="245" t="s">
        <v>100</v>
      </c>
      <c r="M142" s="271">
        <v>24</v>
      </c>
      <c r="N142" s="406"/>
      <c r="O142" s="416" t="s">
        <v>101</v>
      </c>
      <c r="P142" s="270"/>
      <c r="Q142" s="607">
        <f>+K142/M142</f>
        <v>2500</v>
      </c>
    </row>
    <row r="143" spans="1:44" x14ac:dyDescent="0.2">
      <c r="A143" s="200">
        <v>145</v>
      </c>
      <c r="B143" s="270" t="s">
        <v>95</v>
      </c>
      <c r="C143" s="270" t="s">
        <v>174</v>
      </c>
      <c r="D143" s="270" t="s">
        <v>174</v>
      </c>
      <c r="E143" s="270" t="s">
        <v>20</v>
      </c>
      <c r="F143" s="271" t="s">
        <v>46</v>
      </c>
      <c r="G143" s="271" t="s">
        <v>175</v>
      </c>
      <c r="H143" s="271" t="s">
        <v>261</v>
      </c>
      <c r="I143" s="245" t="s">
        <v>375</v>
      </c>
      <c r="J143" s="284" t="s">
        <v>78</v>
      </c>
      <c r="K143" s="284">
        <v>50000</v>
      </c>
      <c r="L143" s="245" t="s">
        <v>100</v>
      </c>
      <c r="M143" s="270">
        <v>3</v>
      </c>
      <c r="N143" s="406"/>
      <c r="O143" s="416" t="s">
        <v>101</v>
      </c>
      <c r="P143" s="270"/>
      <c r="Q143" s="607">
        <f>+K143/M143</f>
        <v>16666.666666666668</v>
      </c>
    </row>
    <row r="144" spans="1:44" x14ac:dyDescent="0.2">
      <c r="A144" s="200">
        <v>122</v>
      </c>
      <c r="B144" s="270" t="s">
        <v>95</v>
      </c>
      <c r="C144" s="270" t="s">
        <v>142</v>
      </c>
      <c r="D144" s="270"/>
      <c r="E144" s="201" t="s">
        <v>20</v>
      </c>
      <c r="F144" s="302" t="s">
        <v>43</v>
      </c>
      <c r="G144" s="270" t="s">
        <v>143</v>
      </c>
      <c r="H144" s="302" t="s">
        <v>373</v>
      </c>
      <c r="I144" s="414" t="s">
        <v>378</v>
      </c>
      <c r="J144" s="284" t="s">
        <v>78</v>
      </c>
      <c r="K144" s="284">
        <v>45000</v>
      </c>
      <c r="L144" s="201" t="s">
        <v>100</v>
      </c>
      <c r="M144" s="271">
        <v>3</v>
      </c>
      <c r="N144" s="406"/>
      <c r="O144" s="416" t="s">
        <v>101</v>
      </c>
      <c r="P144" s="270"/>
      <c r="Q144" s="607">
        <f>+K144/M144</f>
        <v>15000</v>
      </c>
    </row>
    <row r="145" spans="1:17" hidden="1" x14ac:dyDescent="0.2">
      <c r="A145" s="200">
        <v>147</v>
      </c>
      <c r="B145" s="270" t="s">
        <v>95</v>
      </c>
      <c r="C145" s="270" t="s">
        <v>127</v>
      </c>
      <c r="D145" s="270" t="s">
        <v>127</v>
      </c>
      <c r="E145" s="270" t="s">
        <v>28</v>
      </c>
      <c r="F145" s="271" t="s">
        <v>43</v>
      </c>
      <c r="G145" s="271" t="s">
        <v>181</v>
      </c>
      <c r="H145" s="271" t="s">
        <v>358</v>
      </c>
      <c r="I145" s="245" t="s">
        <v>379</v>
      </c>
      <c r="J145" s="284" t="s">
        <v>76</v>
      </c>
      <c r="K145" s="284">
        <v>45000</v>
      </c>
      <c r="L145" s="245" t="s">
        <v>100</v>
      </c>
      <c r="M145" s="270">
        <v>1</v>
      </c>
      <c r="N145" s="406"/>
      <c r="O145" s="416" t="s">
        <v>101</v>
      </c>
      <c r="P145" s="270"/>
      <c r="Q145" s="607">
        <f>+K145/M145</f>
        <v>45000</v>
      </c>
    </row>
    <row r="146" spans="1:17" x14ac:dyDescent="0.2">
      <c r="A146" s="200">
        <v>134</v>
      </c>
      <c r="B146" s="270" t="s">
        <v>95</v>
      </c>
      <c r="C146" s="270" t="s">
        <v>96</v>
      </c>
      <c r="D146" s="270"/>
      <c r="E146" s="201" t="s">
        <v>20</v>
      </c>
      <c r="F146" s="302" t="s">
        <v>43</v>
      </c>
      <c r="G146" s="270" t="s">
        <v>249</v>
      </c>
      <c r="H146" s="302" t="s">
        <v>315</v>
      </c>
      <c r="I146" s="414" t="s">
        <v>390</v>
      </c>
      <c r="J146" s="284" t="s">
        <v>76</v>
      </c>
      <c r="K146" s="284">
        <v>38000</v>
      </c>
      <c r="L146" s="245" t="s">
        <v>111</v>
      </c>
      <c r="M146" s="271">
        <v>3</v>
      </c>
      <c r="N146" s="406"/>
      <c r="O146" s="416" t="s">
        <v>106</v>
      </c>
      <c r="P146" s="270"/>
      <c r="Q146" s="607">
        <f>+K146/M146</f>
        <v>12666.666666666666</v>
      </c>
    </row>
    <row r="147" spans="1:17" x14ac:dyDescent="0.2">
      <c r="A147" s="200">
        <v>141</v>
      </c>
      <c r="B147" s="270" t="s">
        <v>95</v>
      </c>
      <c r="C147" s="270" t="s">
        <v>142</v>
      </c>
      <c r="D147" s="270" t="s">
        <v>142</v>
      </c>
      <c r="E147" s="201" t="s">
        <v>20</v>
      </c>
      <c r="F147" s="302" t="s">
        <v>43</v>
      </c>
      <c r="G147" s="421" t="s">
        <v>393</v>
      </c>
      <c r="H147" s="302" t="s">
        <v>249</v>
      </c>
      <c r="I147" s="414" t="s">
        <v>394</v>
      </c>
      <c r="J147" s="284" t="s">
        <v>76</v>
      </c>
      <c r="K147" s="284">
        <v>30000</v>
      </c>
      <c r="L147" s="245" t="s">
        <v>100</v>
      </c>
      <c r="M147" s="200">
        <v>1</v>
      </c>
      <c r="N147" s="406"/>
      <c r="O147" s="416" t="s">
        <v>101</v>
      </c>
      <c r="P147" s="270"/>
      <c r="Q147" s="607">
        <f>+K147/M147</f>
        <v>30000</v>
      </c>
    </row>
    <row r="148" spans="1:17" x14ac:dyDescent="0.2">
      <c r="A148" s="200">
        <v>120</v>
      </c>
      <c r="B148" s="270" t="s">
        <v>95</v>
      </c>
      <c r="C148" s="270" t="s">
        <v>96</v>
      </c>
      <c r="D148" s="270"/>
      <c r="E148" s="201" t="s">
        <v>20</v>
      </c>
      <c r="F148" s="302" t="s">
        <v>43</v>
      </c>
      <c r="G148" s="270" t="s">
        <v>249</v>
      </c>
      <c r="H148" s="302"/>
      <c r="I148" s="414" t="s">
        <v>400</v>
      </c>
      <c r="J148" s="284" t="s">
        <v>78</v>
      </c>
      <c r="K148" s="284">
        <v>14000</v>
      </c>
      <c r="L148" s="245" t="s">
        <v>111</v>
      </c>
      <c r="M148" s="271">
        <v>3</v>
      </c>
      <c r="N148" s="406"/>
      <c r="O148" s="416" t="s">
        <v>101</v>
      </c>
      <c r="P148" s="270"/>
      <c r="Q148" s="607">
        <f>+K148/M148</f>
        <v>4666.666666666667</v>
      </c>
    </row>
    <row r="149" spans="1:17" x14ac:dyDescent="0.2">
      <c r="K149" s="637"/>
    </row>
    <row r="153" spans="1:17" x14ac:dyDescent="0.2">
      <c r="K153" s="218"/>
    </row>
    <row r="156" spans="1:17" x14ac:dyDescent="0.2">
      <c r="G156" s="588"/>
    </row>
    <row r="159" spans="1:17" x14ac:dyDescent="0.2">
      <c r="H159" s="588"/>
    </row>
  </sheetData>
  <autoFilter ref="A1:AR149" xr:uid="{E5C29B46-3092-4DDA-B055-DE3189BA1C75}">
    <filterColumn colId="4">
      <filters blank="1">
        <filter val="Adjudicada"/>
      </filters>
    </filterColumn>
    <sortState xmlns:xlrd2="http://schemas.microsoft.com/office/spreadsheetml/2017/richdata2" ref="A2:AR148">
      <sortCondition descending="1" ref="N1:N148"/>
    </sortState>
  </autoFilter>
  <phoneticPr fontId="15" type="noConversion"/>
  <dataValidations count="1">
    <dataValidation allowBlank="1" showInputMessage="1" showErrorMessage="1" error="Probabilidad debe ser entre 0 y 100" sqref="M47 M1:M39" xr:uid="{0B230D04-2721-4C35-81E9-951BA97F3522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4186F69-7DD6-485B-897F-E5BD8F50C060}">
          <x14:formula1>
            <xm:f>Codigos!$D$2:$D$12</xm:f>
          </x14:formula1>
          <xm:sqref>C2:D124 C126:D1048576</xm:sqref>
        </x14:dataValidation>
        <x14:dataValidation type="list" allowBlank="1" showInputMessage="1" showErrorMessage="1" xr:uid="{FD2E668A-89A9-46D6-BCC5-4BD35464F59C}">
          <x14:formula1>
            <xm:f>Codigos!$L$2:$L$4</xm:f>
          </x14:formula1>
          <xm:sqref>L2:L124 L126:L1048576</xm:sqref>
        </x14:dataValidation>
        <x14:dataValidation type="list" allowBlank="1" showInputMessage="1" showErrorMessage="1" xr:uid="{533A884B-253F-4134-BD24-3B9ADD027C22}">
          <x14:formula1>
            <xm:f>Codigos!$Q$2:$Q$8</xm:f>
          </x14:formula1>
          <xm:sqref>P2:P124 P126:P1048576</xm:sqref>
        </x14:dataValidation>
        <x14:dataValidation type="list" allowBlank="1" showInputMessage="1" showErrorMessage="1" xr:uid="{9E704572-A5F2-42F3-B63F-2433637AD443}">
          <x14:formula1>
            <xm:f>Codigos!$B$2:$B$6</xm:f>
          </x14:formula1>
          <xm:sqref>E2:E1048576</xm:sqref>
        </x14:dataValidation>
        <x14:dataValidation type="list" allowBlank="1" showInputMessage="1" showErrorMessage="1" xr:uid="{C7B38D41-57B4-48AB-B6BF-E2F6275DB782}">
          <x14:formula1>
            <xm:f>Codigos!$J$2:$J$6</xm:f>
          </x14:formula1>
          <xm:sqref>F2:F1048576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74A2-7AC4-E742-BBA8-3106B7A8CD58}">
  <dimension ref="M13:N75"/>
  <sheetViews>
    <sheetView topLeftCell="A12" workbookViewId="0">
      <selection activeCell="N13" sqref="N13"/>
    </sheetView>
  </sheetViews>
  <sheetFormatPr baseColWidth="10" defaultRowHeight="15" x14ac:dyDescent="0.2"/>
  <sheetData>
    <row r="13" spans="13:14" x14ac:dyDescent="0.2">
      <c r="M13" s="284">
        <v>480000</v>
      </c>
      <c r="N13" s="218">
        <f>AVERAGE(M13:M75)</f>
        <v>216287</v>
      </c>
    </row>
    <row r="14" spans="13:14" x14ac:dyDescent="0.2">
      <c r="M14" s="284">
        <v>355000</v>
      </c>
    </row>
    <row r="15" spans="13:14" x14ac:dyDescent="0.2">
      <c r="M15" s="284">
        <v>270000</v>
      </c>
    </row>
    <row r="16" spans="13:14" x14ac:dyDescent="0.2">
      <c r="M16" s="284">
        <v>75000</v>
      </c>
    </row>
    <row r="17" spans="13:13" x14ac:dyDescent="0.2">
      <c r="M17" s="284">
        <v>500000</v>
      </c>
    </row>
    <row r="18" spans="13:13" x14ac:dyDescent="0.2">
      <c r="M18" s="284">
        <v>250000</v>
      </c>
    </row>
    <row r="19" spans="13:13" x14ac:dyDescent="0.2">
      <c r="M19" s="284">
        <v>100000</v>
      </c>
    </row>
    <row r="20" spans="13:13" x14ac:dyDescent="0.2">
      <c r="M20" s="284">
        <v>20000</v>
      </c>
    </row>
    <row r="21" spans="13:13" x14ac:dyDescent="0.2">
      <c r="M21" s="284">
        <v>66000</v>
      </c>
    </row>
    <row r="22" spans="13:13" x14ac:dyDescent="0.2">
      <c r="M22" s="284">
        <v>60000</v>
      </c>
    </row>
    <row r="23" spans="13:13" x14ac:dyDescent="0.2">
      <c r="M23" s="284">
        <v>190000</v>
      </c>
    </row>
    <row r="24" spans="13:13" x14ac:dyDescent="0.2">
      <c r="M24" s="284">
        <v>133000</v>
      </c>
    </row>
    <row r="25" spans="13:13" x14ac:dyDescent="0.2">
      <c r="M25" s="284">
        <v>120000</v>
      </c>
    </row>
    <row r="26" spans="13:13" x14ac:dyDescent="0.2">
      <c r="M26" s="284">
        <v>100000</v>
      </c>
    </row>
    <row r="27" spans="13:13" x14ac:dyDescent="0.2">
      <c r="M27" s="284">
        <v>85000</v>
      </c>
    </row>
    <row r="28" spans="13:13" x14ac:dyDescent="0.2">
      <c r="M28" s="284">
        <v>70000</v>
      </c>
    </row>
    <row r="29" spans="13:13" x14ac:dyDescent="0.2">
      <c r="M29" s="284">
        <v>70000</v>
      </c>
    </row>
    <row r="30" spans="13:13" x14ac:dyDescent="0.2">
      <c r="M30" s="284">
        <v>45000</v>
      </c>
    </row>
    <row r="31" spans="13:13" x14ac:dyDescent="0.2">
      <c r="M31" s="284">
        <v>40000</v>
      </c>
    </row>
    <row r="32" spans="13:13" x14ac:dyDescent="0.2">
      <c r="M32" s="284">
        <v>840000</v>
      </c>
    </row>
    <row r="33" spans="13:13" x14ac:dyDescent="0.2">
      <c r="M33" s="284">
        <v>239000</v>
      </c>
    </row>
    <row r="34" spans="13:13" x14ac:dyDescent="0.2">
      <c r="M34" s="284">
        <v>90000</v>
      </c>
    </row>
    <row r="35" spans="13:13" x14ac:dyDescent="0.2">
      <c r="M35" s="284">
        <v>196000</v>
      </c>
    </row>
    <row r="36" spans="13:13" x14ac:dyDescent="0.2">
      <c r="M36" s="284">
        <v>98000</v>
      </c>
    </row>
    <row r="37" spans="13:13" x14ac:dyDescent="0.2">
      <c r="M37" s="284">
        <v>90000</v>
      </c>
    </row>
    <row r="38" spans="13:13" x14ac:dyDescent="0.2">
      <c r="M38" s="284">
        <v>83000</v>
      </c>
    </row>
    <row r="39" spans="13:13" x14ac:dyDescent="0.2">
      <c r="M39" s="284">
        <v>70000</v>
      </c>
    </row>
    <row r="40" spans="13:13" x14ac:dyDescent="0.2">
      <c r="M40" s="284">
        <v>50000</v>
      </c>
    </row>
    <row r="41" spans="13:13" x14ac:dyDescent="0.2">
      <c r="M41" s="284">
        <v>30000</v>
      </c>
    </row>
    <row r="42" spans="13:13" x14ac:dyDescent="0.2">
      <c r="M42" s="284">
        <v>4339980</v>
      </c>
    </row>
    <row r="43" spans="13:13" x14ac:dyDescent="0.2">
      <c r="M43" s="284">
        <v>300000</v>
      </c>
    </row>
    <row r="44" spans="13:13" x14ac:dyDescent="0.2">
      <c r="M44" s="284">
        <v>263238.40000000002</v>
      </c>
    </row>
    <row r="45" spans="13:13" x14ac:dyDescent="0.2">
      <c r="M45" s="284">
        <v>105000</v>
      </c>
    </row>
    <row r="46" spans="13:13" x14ac:dyDescent="0.2">
      <c r="M46" s="284">
        <v>95000</v>
      </c>
    </row>
    <row r="47" spans="13:13" x14ac:dyDescent="0.2">
      <c r="M47" s="284">
        <v>88166</v>
      </c>
    </row>
    <row r="48" spans="13:13" x14ac:dyDescent="0.2">
      <c r="M48" s="284">
        <v>43000</v>
      </c>
    </row>
    <row r="49" spans="13:13" x14ac:dyDescent="0.2">
      <c r="M49" s="284">
        <v>27000</v>
      </c>
    </row>
    <row r="50" spans="13:13" x14ac:dyDescent="0.2">
      <c r="M50" s="284">
        <v>12000</v>
      </c>
    </row>
    <row r="51" spans="13:13" x14ac:dyDescent="0.2">
      <c r="M51" s="284">
        <v>612000</v>
      </c>
    </row>
    <row r="52" spans="13:13" x14ac:dyDescent="0.2">
      <c r="M52" s="284">
        <v>200000</v>
      </c>
    </row>
    <row r="53" spans="13:13" x14ac:dyDescent="0.2">
      <c r="M53" s="284">
        <v>155000</v>
      </c>
    </row>
    <row r="54" spans="13:13" x14ac:dyDescent="0.2">
      <c r="M54" s="284">
        <v>74000</v>
      </c>
    </row>
    <row r="55" spans="13:13" x14ac:dyDescent="0.2">
      <c r="M55" s="284">
        <v>15000</v>
      </c>
    </row>
    <row r="56" spans="13:13" x14ac:dyDescent="0.2">
      <c r="M56" s="284">
        <v>8000</v>
      </c>
    </row>
    <row r="57" spans="13:13" x14ac:dyDescent="0.2">
      <c r="M57" s="284">
        <v>200000</v>
      </c>
    </row>
    <row r="58" spans="13:13" x14ac:dyDescent="0.2">
      <c r="M58" s="284">
        <v>196600</v>
      </c>
    </row>
    <row r="59" spans="13:13" x14ac:dyDescent="0.2">
      <c r="M59" s="284">
        <v>119000</v>
      </c>
    </row>
    <row r="60" spans="13:13" x14ac:dyDescent="0.2">
      <c r="M60" s="284">
        <v>91650</v>
      </c>
    </row>
    <row r="61" spans="13:13" x14ac:dyDescent="0.2">
      <c r="M61" s="284">
        <v>67000</v>
      </c>
    </row>
    <row r="62" spans="13:13" x14ac:dyDescent="0.2">
      <c r="M62" s="284">
        <v>35600</v>
      </c>
    </row>
    <row r="63" spans="13:13" x14ac:dyDescent="0.2">
      <c r="M63" s="284">
        <v>225000</v>
      </c>
    </row>
    <row r="64" spans="13:13" x14ac:dyDescent="0.2">
      <c r="M64" s="284">
        <v>54000</v>
      </c>
    </row>
    <row r="65" spans="13:13" x14ac:dyDescent="0.2">
      <c r="M65" s="284">
        <v>78846.600000000006</v>
      </c>
    </row>
    <row r="66" spans="13:13" x14ac:dyDescent="0.2">
      <c r="M66" s="284">
        <v>450000</v>
      </c>
    </row>
    <row r="67" spans="13:13" x14ac:dyDescent="0.2">
      <c r="M67" s="284">
        <v>260000</v>
      </c>
    </row>
    <row r="68" spans="13:13" x14ac:dyDescent="0.2">
      <c r="M68" s="284">
        <v>224000</v>
      </c>
    </row>
    <row r="69" spans="13:13" x14ac:dyDescent="0.2">
      <c r="M69" s="284">
        <v>215000</v>
      </c>
    </row>
    <row r="70" spans="13:13" x14ac:dyDescent="0.2">
      <c r="M70" s="284">
        <v>80000</v>
      </c>
    </row>
    <row r="71" spans="13:13" x14ac:dyDescent="0.2">
      <c r="M71" s="284">
        <v>50000</v>
      </c>
    </row>
    <row r="72" spans="13:13" x14ac:dyDescent="0.2">
      <c r="M72" s="284">
        <v>45000</v>
      </c>
    </row>
    <row r="73" spans="13:13" x14ac:dyDescent="0.2">
      <c r="M73" s="284">
        <v>38000</v>
      </c>
    </row>
    <row r="74" spans="13:13" x14ac:dyDescent="0.2">
      <c r="M74" s="284">
        <v>30000</v>
      </c>
    </row>
    <row r="75" spans="13:13" x14ac:dyDescent="0.2">
      <c r="M75" s="284">
        <v>14000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77F6-ACD2-46C0-BC15-2262474DD2BA}">
  <dimension ref="A1:AS152"/>
  <sheetViews>
    <sheetView zoomScale="70" zoomScaleNormal="70" workbookViewId="0">
      <selection activeCell="M33" sqref="M33"/>
    </sheetView>
  </sheetViews>
  <sheetFormatPr baseColWidth="10" defaultColWidth="11.5" defaultRowHeight="15" outlineLevelRow="2" x14ac:dyDescent="0.2"/>
  <cols>
    <col min="1" max="1" width="8.5" style="269" customWidth="1"/>
    <col min="4" max="4" width="60.6640625" customWidth="1"/>
    <col min="5" max="5" width="36.5" bestFit="1" customWidth="1"/>
    <col min="6" max="6" width="12.6640625" hidden="1" customWidth="1"/>
    <col min="7" max="10" width="0" hidden="1" customWidth="1"/>
  </cols>
  <sheetData>
    <row r="1" spans="1:45" x14ac:dyDescent="0.2">
      <c r="J1" s="517">
        <f>+SUM(F2:J2)</f>
        <v>45</v>
      </c>
      <c r="O1" s="517">
        <f>+SUM(K2:O2)</f>
        <v>60.5</v>
      </c>
      <c r="T1" s="517">
        <f>+SUM(P2:T2)</f>
        <v>46.8</v>
      </c>
      <c r="Y1" s="517">
        <f>+SUM(U2:Y2)</f>
        <v>9</v>
      </c>
      <c r="AD1" s="517">
        <f>+SUM(Z2:AD2)</f>
        <v>13</v>
      </c>
      <c r="AI1" s="517">
        <f>+SUM(AE2:AI2)</f>
        <v>9</v>
      </c>
      <c r="AN1" s="517">
        <f>+SUM(AJ2:AN2)</f>
        <v>9</v>
      </c>
      <c r="AS1" s="517">
        <f>+SUM(AO2:AS2)</f>
        <v>9</v>
      </c>
    </row>
    <row r="2" spans="1:45" ht="16" thickBot="1" x14ac:dyDescent="0.25">
      <c r="F2" s="269">
        <f>+F14+F20+F27+F33+F41+F51+F59+F64+F74+F79+F84+F89+F94+F106+F113+F118+F124+F137+F5+F142+F99+F147</f>
        <v>5</v>
      </c>
      <c r="G2" s="269">
        <f t="shared" ref="G2:Y2" si="0">+G14+G20+G27+G33+G41+G51+G59+G64+G74+G79+G84+G89+G94+G106+G113+G118+G124+G137+G5+G142+G99+G147</f>
        <v>7</v>
      </c>
      <c r="H2" s="269">
        <f t="shared" si="0"/>
        <v>10.5</v>
      </c>
      <c r="I2" s="269">
        <f t="shared" si="0"/>
        <v>14.5</v>
      </c>
      <c r="J2" s="269">
        <f t="shared" si="0"/>
        <v>8</v>
      </c>
      <c r="K2" s="269">
        <f t="shared" si="0"/>
        <v>7</v>
      </c>
      <c r="L2" s="269">
        <f t="shared" si="0"/>
        <v>30</v>
      </c>
      <c r="M2" s="269">
        <f t="shared" si="0"/>
        <v>9.5</v>
      </c>
      <c r="N2" s="269">
        <f t="shared" si="0"/>
        <v>4</v>
      </c>
      <c r="O2" s="269">
        <f t="shared" si="0"/>
        <v>10</v>
      </c>
      <c r="P2" s="269">
        <f t="shared" si="0"/>
        <v>11</v>
      </c>
      <c r="Q2" s="269">
        <f t="shared" si="0"/>
        <v>3.5</v>
      </c>
      <c r="R2" s="269">
        <f t="shared" si="0"/>
        <v>13</v>
      </c>
      <c r="S2" s="269">
        <f t="shared" si="0"/>
        <v>16.5</v>
      </c>
      <c r="T2" s="269">
        <f t="shared" si="0"/>
        <v>2.8</v>
      </c>
      <c r="U2" s="269">
        <f t="shared" si="0"/>
        <v>2</v>
      </c>
      <c r="V2" s="269">
        <f t="shared" si="0"/>
        <v>0</v>
      </c>
      <c r="W2" s="269">
        <f t="shared" si="0"/>
        <v>7</v>
      </c>
      <c r="X2" s="269">
        <f t="shared" si="0"/>
        <v>0</v>
      </c>
      <c r="Y2" s="269">
        <f t="shared" si="0"/>
        <v>0</v>
      </c>
      <c r="Z2" s="269">
        <f t="shared" ref="Z2:AN2" si="1">+Z14+Z20+Z27+Z33+Z41+Z51+Z59+Z64+Z74+Z79+Z84+Z89+Z94+Z106+Z113+Z118+Z124+Z137+Z5+Z142+Z99+Z147</f>
        <v>2</v>
      </c>
      <c r="AA2" s="269">
        <f t="shared" si="1"/>
        <v>4</v>
      </c>
      <c r="AB2" s="269">
        <f t="shared" si="1"/>
        <v>7</v>
      </c>
      <c r="AC2" s="269">
        <f t="shared" si="1"/>
        <v>0</v>
      </c>
      <c r="AD2" s="269">
        <f t="shared" si="1"/>
        <v>0</v>
      </c>
      <c r="AE2" s="269">
        <f t="shared" si="1"/>
        <v>2</v>
      </c>
      <c r="AF2" s="269">
        <f t="shared" si="1"/>
        <v>0</v>
      </c>
      <c r="AG2" s="269">
        <f t="shared" si="1"/>
        <v>7</v>
      </c>
      <c r="AH2" s="269">
        <f t="shared" si="1"/>
        <v>0</v>
      </c>
      <c r="AI2" s="269">
        <f t="shared" si="1"/>
        <v>0</v>
      </c>
      <c r="AJ2" s="269">
        <f t="shared" si="1"/>
        <v>2</v>
      </c>
      <c r="AK2" s="269">
        <f t="shared" si="1"/>
        <v>0</v>
      </c>
      <c r="AL2" s="269">
        <f t="shared" si="1"/>
        <v>7</v>
      </c>
      <c r="AM2" s="269">
        <f t="shared" si="1"/>
        <v>0</v>
      </c>
      <c r="AN2" s="269">
        <f t="shared" si="1"/>
        <v>0</v>
      </c>
      <c r="AO2" s="269">
        <f t="shared" ref="AO2:AS2" si="2">+AO14+AO20+AO27+AO33+AO41+AO51+AO59+AO64+AO74+AO79+AO84+AO89+AO94+AO106+AO113+AO118+AO124+AO137+AO5+AO142+AO99+AO147</f>
        <v>2</v>
      </c>
      <c r="AP2" s="269">
        <f t="shared" si="2"/>
        <v>0</v>
      </c>
      <c r="AQ2" s="269">
        <f t="shared" si="2"/>
        <v>7</v>
      </c>
      <c r="AR2" s="269">
        <f t="shared" si="2"/>
        <v>0</v>
      </c>
      <c r="AS2" s="269">
        <f t="shared" si="2"/>
        <v>0</v>
      </c>
    </row>
    <row r="3" spans="1:45" ht="16" thickBot="1" x14ac:dyDescent="0.25">
      <c r="F3" s="630" t="s">
        <v>405</v>
      </c>
      <c r="G3" s="631"/>
      <c r="H3" s="631"/>
      <c r="I3" s="631"/>
      <c r="J3" s="632"/>
      <c r="K3" s="630" t="s">
        <v>406</v>
      </c>
      <c r="L3" s="631"/>
      <c r="M3" s="631"/>
      <c r="N3" s="631"/>
      <c r="O3" s="632"/>
      <c r="P3" s="630" t="s">
        <v>407</v>
      </c>
      <c r="Q3" s="631"/>
      <c r="R3" s="631"/>
      <c r="S3" s="631"/>
      <c r="T3" s="632"/>
      <c r="U3" s="630" t="s">
        <v>408</v>
      </c>
      <c r="V3" s="631"/>
      <c r="W3" s="631"/>
      <c r="X3" s="631"/>
      <c r="Y3" s="632"/>
      <c r="Z3" s="630" t="s">
        <v>409</v>
      </c>
      <c r="AA3" s="631"/>
      <c r="AB3" s="631"/>
      <c r="AC3" s="631"/>
      <c r="AD3" s="632"/>
      <c r="AE3" s="630" t="s">
        <v>410</v>
      </c>
      <c r="AF3" s="631"/>
      <c r="AG3" s="631"/>
      <c r="AH3" s="631"/>
      <c r="AI3" s="632"/>
      <c r="AJ3" s="630" t="s">
        <v>411</v>
      </c>
      <c r="AK3" s="631"/>
      <c r="AL3" s="631"/>
      <c r="AM3" s="631"/>
      <c r="AN3" s="632"/>
      <c r="AO3" s="630" t="s">
        <v>412</v>
      </c>
      <c r="AP3" s="631"/>
      <c r="AQ3" s="631"/>
      <c r="AR3" s="631"/>
      <c r="AS3" s="632"/>
    </row>
    <row r="4" spans="1:45" ht="16" thickBot="1" x14ac:dyDescent="0.25">
      <c r="A4" s="470" t="s">
        <v>80</v>
      </c>
      <c r="B4" s="471" t="s">
        <v>52</v>
      </c>
      <c r="C4" s="471" t="s">
        <v>413</v>
      </c>
      <c r="D4" s="472" t="s">
        <v>414</v>
      </c>
      <c r="E4" s="473" t="s">
        <v>415</v>
      </c>
      <c r="F4" s="489" t="s">
        <v>416</v>
      </c>
      <c r="G4" s="471" t="s">
        <v>417</v>
      </c>
      <c r="H4" s="471" t="s">
        <v>418</v>
      </c>
      <c r="I4" s="471" t="s">
        <v>419</v>
      </c>
      <c r="J4" s="473" t="s">
        <v>420</v>
      </c>
      <c r="K4" s="470" t="s">
        <v>416</v>
      </c>
      <c r="L4" s="471" t="s">
        <v>417</v>
      </c>
      <c r="M4" s="471" t="s">
        <v>418</v>
      </c>
      <c r="N4" s="471" t="s">
        <v>419</v>
      </c>
      <c r="O4" s="473" t="s">
        <v>420</v>
      </c>
      <c r="P4" s="470" t="s">
        <v>416</v>
      </c>
      <c r="Q4" s="471" t="s">
        <v>417</v>
      </c>
      <c r="R4" s="471" t="s">
        <v>418</v>
      </c>
      <c r="S4" s="471" t="s">
        <v>419</v>
      </c>
      <c r="T4" s="473" t="s">
        <v>420</v>
      </c>
      <c r="U4" s="470" t="s">
        <v>416</v>
      </c>
      <c r="V4" s="471" t="s">
        <v>417</v>
      </c>
      <c r="W4" s="471" t="s">
        <v>418</v>
      </c>
      <c r="X4" s="471" t="s">
        <v>419</v>
      </c>
      <c r="Y4" s="473" t="s">
        <v>420</v>
      </c>
      <c r="Z4" s="470" t="s">
        <v>416</v>
      </c>
      <c r="AA4" s="471" t="s">
        <v>417</v>
      </c>
      <c r="AB4" s="471" t="s">
        <v>418</v>
      </c>
      <c r="AC4" s="471" t="s">
        <v>419</v>
      </c>
      <c r="AD4" s="473" t="s">
        <v>420</v>
      </c>
      <c r="AE4" s="470" t="s">
        <v>416</v>
      </c>
      <c r="AF4" s="471" t="s">
        <v>417</v>
      </c>
      <c r="AG4" s="471" t="s">
        <v>418</v>
      </c>
      <c r="AH4" s="471" t="s">
        <v>419</v>
      </c>
      <c r="AI4" s="473" t="s">
        <v>420</v>
      </c>
      <c r="AJ4" s="470" t="s">
        <v>416</v>
      </c>
      <c r="AK4" s="471" t="s">
        <v>417</v>
      </c>
      <c r="AL4" s="471" t="s">
        <v>418</v>
      </c>
      <c r="AM4" s="471" t="s">
        <v>419</v>
      </c>
      <c r="AN4" s="473" t="s">
        <v>420</v>
      </c>
      <c r="AO4" s="470" t="s">
        <v>416</v>
      </c>
      <c r="AP4" s="471" t="s">
        <v>417</v>
      </c>
      <c r="AQ4" s="471" t="s">
        <v>418</v>
      </c>
      <c r="AR4" s="471" t="s">
        <v>419</v>
      </c>
      <c r="AS4" s="473" t="s">
        <v>420</v>
      </c>
    </row>
    <row r="5" spans="1:45" x14ac:dyDescent="0.2">
      <c r="A5" s="501">
        <v>0</v>
      </c>
      <c r="B5" s="502" t="s">
        <v>43</v>
      </c>
      <c r="C5" s="502" t="s">
        <v>421</v>
      </c>
      <c r="D5" s="503" t="s">
        <v>422</v>
      </c>
      <c r="E5" s="504"/>
      <c r="F5" s="490">
        <f>+SUM(F6:F13)</f>
        <v>2</v>
      </c>
      <c r="G5" s="482">
        <f t="shared" ref="G5" si="3">+SUM(G6:G13)</f>
        <v>0</v>
      </c>
      <c r="H5" s="482">
        <f t="shared" ref="H5" si="4">+SUM(H6:H13)</f>
        <v>2</v>
      </c>
      <c r="I5" s="482">
        <f t="shared" ref="I5" si="5">+SUM(I6:I13)</f>
        <v>2</v>
      </c>
      <c r="J5" s="495">
        <f t="shared" ref="J5" si="6">+SUM(J6:J13)</f>
        <v>0</v>
      </c>
      <c r="K5" s="482">
        <f>+SUM(K6:K13)</f>
        <v>2</v>
      </c>
      <c r="L5" s="482">
        <f t="shared" ref="L5" si="7">+SUM(L6:L13)</f>
        <v>4</v>
      </c>
      <c r="M5" s="482">
        <f t="shared" ref="M5" si="8">+SUM(M6:M13)</f>
        <v>2</v>
      </c>
      <c r="N5" s="482">
        <f t="shared" ref="N5" si="9">+SUM(N6:N13)</f>
        <v>0</v>
      </c>
      <c r="O5" s="495">
        <f t="shared" ref="O5" si="10">+SUM(O6:O13)</f>
        <v>0</v>
      </c>
      <c r="P5" s="482">
        <f>+SUM(P6:P13)</f>
        <v>2</v>
      </c>
      <c r="Q5" s="482">
        <f t="shared" ref="Q5" si="11">+SUM(Q6:Q13)</f>
        <v>0</v>
      </c>
      <c r="R5" s="482">
        <f t="shared" ref="R5" si="12">+SUM(R6:R13)</f>
        <v>2</v>
      </c>
      <c r="S5" s="482">
        <f t="shared" ref="S5" si="13">+SUM(S6:S13)</f>
        <v>0</v>
      </c>
      <c r="T5" s="495">
        <f t="shared" ref="T5" si="14">+SUM(T6:T13)</f>
        <v>0</v>
      </c>
      <c r="U5" s="482">
        <f>+SUM(U6:U13)</f>
        <v>2</v>
      </c>
      <c r="V5" s="482">
        <f t="shared" ref="V5" si="15">+SUM(V6:V13)</f>
        <v>0</v>
      </c>
      <c r="W5" s="482">
        <f t="shared" ref="W5" si="16">+SUM(W6:W13)</f>
        <v>2</v>
      </c>
      <c r="X5" s="482">
        <f t="shared" ref="X5" si="17">+SUM(X6:X13)</f>
        <v>0</v>
      </c>
      <c r="Y5" s="495">
        <f t="shared" ref="Y5" si="18">+SUM(Y6:Y13)</f>
        <v>0</v>
      </c>
      <c r="Z5" s="482">
        <f>+SUM(Z6:Z13)</f>
        <v>2</v>
      </c>
      <c r="AA5" s="482">
        <f t="shared" ref="AA5:AD5" si="19">+SUM(AA6:AA13)</f>
        <v>4</v>
      </c>
      <c r="AB5" s="482">
        <f t="shared" si="19"/>
        <v>2</v>
      </c>
      <c r="AC5" s="482">
        <f t="shared" si="19"/>
        <v>0</v>
      </c>
      <c r="AD5" s="495">
        <f t="shared" si="19"/>
        <v>0</v>
      </c>
      <c r="AE5" s="482">
        <f>+SUM(AE6:AE13)</f>
        <v>2</v>
      </c>
      <c r="AF5" s="482">
        <f t="shared" ref="AF5:AI5" si="20">+SUM(AF6:AF13)</f>
        <v>0</v>
      </c>
      <c r="AG5" s="482">
        <f t="shared" si="20"/>
        <v>2</v>
      </c>
      <c r="AH5" s="482">
        <f t="shared" si="20"/>
        <v>0</v>
      </c>
      <c r="AI5" s="495">
        <f t="shared" si="20"/>
        <v>0</v>
      </c>
      <c r="AJ5" s="482">
        <f>+SUM(AJ6:AJ13)</f>
        <v>2</v>
      </c>
      <c r="AK5" s="482">
        <f t="shared" ref="AK5:AN5" si="21">+SUM(AK6:AK13)</f>
        <v>0</v>
      </c>
      <c r="AL5" s="482">
        <f t="shared" si="21"/>
        <v>2</v>
      </c>
      <c r="AM5" s="482">
        <f t="shared" si="21"/>
        <v>0</v>
      </c>
      <c r="AN5" s="495">
        <f t="shared" si="21"/>
        <v>0</v>
      </c>
      <c r="AO5" s="482">
        <f>+SUM(AO6:AO13)</f>
        <v>2</v>
      </c>
      <c r="AP5" s="482">
        <f t="shared" ref="AP5:AS5" si="22">+SUM(AP6:AP13)</f>
        <v>0</v>
      </c>
      <c r="AQ5" s="482">
        <f t="shared" si="22"/>
        <v>2</v>
      </c>
      <c r="AR5" s="482">
        <f t="shared" si="22"/>
        <v>0</v>
      </c>
      <c r="AS5" s="495">
        <f t="shared" si="22"/>
        <v>0</v>
      </c>
    </row>
    <row r="6" spans="1:45" outlineLevel="1" x14ac:dyDescent="0.2">
      <c r="A6" s="478"/>
      <c r="B6" s="270"/>
      <c r="C6" s="270" t="s">
        <v>423</v>
      </c>
      <c r="D6" s="245" t="s">
        <v>424</v>
      </c>
      <c r="E6" s="500"/>
      <c r="F6" s="491">
        <v>1</v>
      </c>
      <c r="G6" s="467"/>
      <c r="H6" s="467"/>
      <c r="I6" s="467"/>
      <c r="J6" s="487"/>
      <c r="K6" s="491">
        <v>1</v>
      </c>
      <c r="L6" s="467"/>
      <c r="M6" s="467"/>
      <c r="N6" s="467"/>
      <c r="O6" s="487"/>
      <c r="P6" s="491">
        <v>1</v>
      </c>
      <c r="Q6" s="467"/>
      <c r="R6" s="467"/>
      <c r="S6" s="467"/>
      <c r="T6" s="487"/>
      <c r="U6" s="491">
        <v>1</v>
      </c>
      <c r="V6" s="467"/>
      <c r="W6" s="467"/>
      <c r="X6" s="467"/>
      <c r="Y6" s="487"/>
      <c r="Z6" s="491">
        <v>1</v>
      </c>
      <c r="AA6" s="467"/>
      <c r="AB6" s="467"/>
      <c r="AC6" s="467"/>
      <c r="AD6" s="487"/>
      <c r="AE6" s="491">
        <v>1</v>
      </c>
      <c r="AF6" s="467"/>
      <c r="AG6" s="467"/>
      <c r="AH6" s="467"/>
      <c r="AI6" s="487"/>
      <c r="AJ6" s="491">
        <v>1</v>
      </c>
      <c r="AK6" s="467"/>
      <c r="AL6" s="467"/>
      <c r="AM6" s="467"/>
      <c r="AN6" s="487"/>
      <c r="AO6" s="491">
        <v>1</v>
      </c>
      <c r="AP6" s="467"/>
      <c r="AQ6" s="467"/>
      <c r="AR6" s="467"/>
      <c r="AS6" s="487"/>
    </row>
    <row r="7" spans="1:45" outlineLevel="1" x14ac:dyDescent="0.2">
      <c r="A7" s="478"/>
      <c r="B7" s="270"/>
      <c r="C7" s="270" t="s">
        <v>425</v>
      </c>
      <c r="D7" s="245" t="s">
        <v>426</v>
      </c>
      <c r="E7" s="500"/>
      <c r="F7" s="491">
        <v>1</v>
      </c>
      <c r="G7" s="460"/>
      <c r="H7" s="467"/>
      <c r="I7" s="467"/>
      <c r="J7" s="487"/>
      <c r="K7" s="491">
        <v>1</v>
      </c>
      <c r="L7" s="460"/>
      <c r="M7" s="467"/>
      <c r="N7" s="467"/>
      <c r="O7" s="487"/>
      <c r="P7" s="491">
        <v>1</v>
      </c>
      <c r="Q7" s="460"/>
      <c r="R7" s="467"/>
      <c r="S7" s="467"/>
      <c r="T7" s="487"/>
      <c r="U7" s="491">
        <v>1</v>
      </c>
      <c r="V7" s="460"/>
      <c r="W7" s="467"/>
      <c r="X7" s="467"/>
      <c r="Y7" s="487"/>
      <c r="Z7" s="491">
        <v>1</v>
      </c>
      <c r="AA7" s="460"/>
      <c r="AB7" s="467"/>
      <c r="AC7" s="467"/>
      <c r="AD7" s="487"/>
      <c r="AE7" s="491">
        <v>1</v>
      </c>
      <c r="AF7" s="460"/>
      <c r="AG7" s="467"/>
      <c r="AH7" s="467"/>
      <c r="AI7" s="487"/>
      <c r="AJ7" s="491">
        <v>1</v>
      </c>
      <c r="AK7" s="460"/>
      <c r="AL7" s="467"/>
      <c r="AM7" s="467"/>
      <c r="AN7" s="487"/>
      <c r="AO7" s="491">
        <v>1</v>
      </c>
      <c r="AP7" s="460"/>
      <c r="AQ7" s="467"/>
      <c r="AR7" s="467"/>
      <c r="AS7" s="487"/>
    </row>
    <row r="8" spans="1:45" outlineLevel="1" x14ac:dyDescent="0.2">
      <c r="A8" s="478"/>
      <c r="B8" s="270"/>
      <c r="C8" s="270" t="s">
        <v>427</v>
      </c>
      <c r="D8" s="245" t="s">
        <v>428</v>
      </c>
      <c r="E8" s="500"/>
      <c r="F8" s="491"/>
      <c r="G8" s="467"/>
      <c r="H8" s="267">
        <v>1</v>
      </c>
      <c r="I8" s="467"/>
      <c r="J8" s="487"/>
      <c r="K8" s="491"/>
      <c r="L8" s="467"/>
      <c r="M8" s="267">
        <v>1</v>
      </c>
      <c r="N8" s="467"/>
      <c r="O8" s="487"/>
      <c r="P8" s="491"/>
      <c r="Q8" s="467"/>
      <c r="R8" s="267">
        <v>1</v>
      </c>
      <c r="S8" s="467"/>
      <c r="T8" s="487"/>
      <c r="U8" s="491"/>
      <c r="V8" s="467"/>
      <c r="W8" s="267">
        <v>1</v>
      </c>
      <c r="X8" s="467"/>
      <c r="Y8" s="487"/>
      <c r="Z8" s="491"/>
      <c r="AA8" s="467"/>
      <c r="AB8" s="267">
        <v>1</v>
      </c>
      <c r="AC8" s="467"/>
      <c r="AD8" s="487"/>
      <c r="AE8" s="491"/>
      <c r="AF8" s="467"/>
      <c r="AG8" s="267">
        <v>1</v>
      </c>
      <c r="AH8" s="467"/>
      <c r="AI8" s="487"/>
      <c r="AJ8" s="491"/>
      <c r="AK8" s="467"/>
      <c r="AL8" s="267">
        <v>1</v>
      </c>
      <c r="AM8" s="467"/>
      <c r="AN8" s="487"/>
      <c r="AO8" s="491"/>
      <c r="AP8" s="467"/>
      <c r="AQ8" s="267">
        <v>1</v>
      </c>
      <c r="AR8" s="467"/>
      <c r="AS8" s="487"/>
    </row>
    <row r="9" spans="1:45" outlineLevel="1" x14ac:dyDescent="0.2">
      <c r="A9" s="478"/>
      <c r="B9" s="245"/>
      <c r="C9" s="270" t="s">
        <v>429</v>
      </c>
      <c r="D9" s="245" t="s">
        <v>430</v>
      </c>
      <c r="E9" s="500"/>
      <c r="F9" s="491"/>
      <c r="G9" s="467"/>
      <c r="H9" s="267">
        <v>1</v>
      </c>
      <c r="I9" s="467"/>
      <c r="J9" s="487"/>
      <c r="K9" s="491"/>
      <c r="L9" s="467"/>
      <c r="M9" s="267">
        <v>1</v>
      </c>
      <c r="N9" s="467"/>
      <c r="O9" s="487"/>
      <c r="P9" s="491"/>
      <c r="Q9" s="467"/>
      <c r="R9" s="267">
        <v>1</v>
      </c>
      <c r="S9" s="467"/>
      <c r="T9" s="487"/>
      <c r="U9" s="491"/>
      <c r="V9" s="467"/>
      <c r="W9" s="267">
        <v>1</v>
      </c>
      <c r="X9" s="467"/>
      <c r="Y9" s="487"/>
      <c r="Z9" s="491"/>
      <c r="AA9" s="467"/>
      <c r="AB9" s="267">
        <v>1</v>
      </c>
      <c r="AC9" s="467"/>
      <c r="AD9" s="487"/>
      <c r="AE9" s="491"/>
      <c r="AF9" s="467"/>
      <c r="AG9" s="267">
        <v>1</v>
      </c>
      <c r="AH9" s="467"/>
      <c r="AI9" s="487"/>
      <c r="AJ9" s="491"/>
      <c r="AK9" s="467"/>
      <c r="AL9" s="267">
        <v>1</v>
      </c>
      <c r="AM9" s="467"/>
      <c r="AN9" s="487"/>
      <c r="AO9" s="491"/>
      <c r="AP9" s="467"/>
      <c r="AQ9" s="267">
        <v>1</v>
      </c>
      <c r="AR9" s="467"/>
      <c r="AS9" s="487"/>
    </row>
    <row r="10" spans="1:45" outlineLevel="1" x14ac:dyDescent="0.2">
      <c r="A10" s="505"/>
      <c r="B10" s="506"/>
      <c r="C10" s="270" t="s">
        <v>431</v>
      </c>
      <c r="D10" s="525"/>
      <c r="E10" s="508"/>
      <c r="F10" s="509"/>
      <c r="G10" s="510"/>
      <c r="H10" s="523"/>
      <c r="I10" s="510"/>
      <c r="J10" s="511"/>
      <c r="K10" s="512"/>
      <c r="L10" s="510"/>
      <c r="M10" s="524"/>
      <c r="N10" s="510"/>
      <c r="O10" s="511"/>
      <c r="P10" s="512"/>
      <c r="Q10" s="510"/>
      <c r="R10" s="524"/>
      <c r="S10" s="510"/>
      <c r="T10" s="511"/>
      <c r="U10" s="512"/>
      <c r="V10" s="510"/>
      <c r="W10" s="524"/>
      <c r="X10" s="510"/>
      <c r="Y10" s="511"/>
      <c r="Z10" s="512"/>
      <c r="AA10" s="510"/>
      <c r="AB10" s="524"/>
      <c r="AC10" s="510"/>
      <c r="AD10" s="511"/>
      <c r="AE10" s="512"/>
      <c r="AF10" s="510"/>
      <c r="AG10" s="524"/>
      <c r="AH10" s="510"/>
      <c r="AI10" s="511"/>
      <c r="AJ10" s="512"/>
      <c r="AK10" s="510"/>
      <c r="AL10" s="524"/>
      <c r="AM10" s="510"/>
      <c r="AN10" s="511"/>
      <c r="AO10" s="512"/>
      <c r="AP10" s="510"/>
      <c r="AQ10" s="524"/>
      <c r="AR10" s="510"/>
      <c r="AS10" s="511"/>
    </row>
    <row r="11" spans="1:45" outlineLevel="1" x14ac:dyDescent="0.2">
      <c r="A11" s="505"/>
      <c r="B11" s="506"/>
      <c r="C11" s="270" t="s">
        <v>432</v>
      </c>
      <c r="D11" s="525"/>
      <c r="E11" s="508"/>
      <c r="F11" s="509"/>
      <c r="G11" s="510"/>
      <c r="H11" s="523"/>
      <c r="I11" s="510"/>
      <c r="J11" s="511"/>
      <c r="K11" s="512"/>
      <c r="L11" s="510"/>
      <c r="M11" s="524"/>
      <c r="N11" s="510"/>
      <c r="O11" s="511"/>
      <c r="P11" s="512"/>
      <c r="Q11" s="510"/>
      <c r="R11" s="524"/>
      <c r="S11" s="510"/>
      <c r="T11" s="511"/>
      <c r="U11" s="512"/>
      <c r="V11" s="510"/>
      <c r="W11" s="524"/>
      <c r="X11" s="510"/>
      <c r="Y11" s="511"/>
      <c r="Z11" s="512"/>
      <c r="AA11" s="510"/>
      <c r="AB11" s="524"/>
      <c r="AC11" s="510"/>
      <c r="AD11" s="511"/>
      <c r="AE11" s="512"/>
      <c r="AF11" s="510"/>
      <c r="AG11" s="524"/>
      <c r="AH11" s="510"/>
      <c r="AI11" s="511"/>
      <c r="AJ11" s="512"/>
      <c r="AK11" s="510"/>
      <c r="AL11" s="524"/>
      <c r="AM11" s="510"/>
      <c r="AN11" s="511"/>
      <c r="AO11" s="512"/>
      <c r="AP11" s="510"/>
      <c r="AQ11" s="524"/>
      <c r="AR11" s="510"/>
      <c r="AS11" s="511"/>
    </row>
    <row r="12" spans="1:45" outlineLevel="1" x14ac:dyDescent="0.2">
      <c r="A12" s="505"/>
      <c r="B12" s="506"/>
      <c r="C12" s="270" t="s">
        <v>433</v>
      </c>
      <c r="D12" s="506" t="s">
        <v>434</v>
      </c>
      <c r="E12" s="508"/>
      <c r="F12" s="509"/>
      <c r="G12" s="510"/>
      <c r="H12" s="523"/>
      <c r="I12" s="510">
        <v>2</v>
      </c>
      <c r="J12" s="511"/>
      <c r="K12" s="512"/>
      <c r="L12" s="510">
        <v>4</v>
      </c>
      <c r="M12" s="524"/>
      <c r="N12" s="510"/>
      <c r="O12" s="511"/>
      <c r="P12" s="512"/>
      <c r="Q12" s="510"/>
      <c r="R12" s="524"/>
      <c r="S12" s="510"/>
      <c r="T12" s="511"/>
      <c r="U12" s="512"/>
      <c r="V12" s="510"/>
      <c r="W12" s="524"/>
      <c r="X12" s="510"/>
      <c r="Y12" s="511"/>
      <c r="Z12" s="512"/>
      <c r="AA12" s="510">
        <v>4</v>
      </c>
      <c r="AB12" s="524"/>
      <c r="AC12" s="510"/>
      <c r="AD12" s="511"/>
      <c r="AE12" s="512"/>
      <c r="AF12" s="510"/>
      <c r="AG12" s="524"/>
      <c r="AH12" s="510"/>
      <c r="AI12" s="511"/>
      <c r="AJ12" s="512"/>
      <c r="AK12" s="510"/>
      <c r="AL12" s="524"/>
      <c r="AM12" s="510"/>
      <c r="AN12" s="511"/>
      <c r="AO12" s="512"/>
      <c r="AP12" s="510"/>
      <c r="AQ12" s="524"/>
      <c r="AR12" s="510"/>
      <c r="AS12" s="511"/>
    </row>
    <row r="13" spans="1:45" ht="16" outlineLevel="1" thickBot="1" x14ac:dyDescent="0.25">
      <c r="A13" s="505"/>
      <c r="B13" s="506"/>
      <c r="C13" s="270" t="s">
        <v>435</v>
      </c>
      <c r="D13" s="506" t="s">
        <v>436</v>
      </c>
      <c r="E13" s="508"/>
      <c r="F13" s="509"/>
      <c r="G13" s="510"/>
      <c r="H13" s="510"/>
      <c r="I13" s="510"/>
      <c r="J13" s="511"/>
      <c r="K13" s="512"/>
      <c r="L13" s="510"/>
      <c r="M13" s="510"/>
      <c r="N13" s="510"/>
      <c r="O13" s="511"/>
      <c r="P13" s="512"/>
      <c r="Q13" s="510"/>
      <c r="R13" s="510"/>
      <c r="S13" s="510"/>
      <c r="T13" s="511"/>
      <c r="U13" s="512"/>
      <c r="V13" s="510"/>
      <c r="W13" s="510"/>
      <c r="X13" s="510"/>
      <c r="Y13" s="511"/>
      <c r="Z13" s="512"/>
      <c r="AA13" s="510"/>
      <c r="AB13" s="510"/>
      <c r="AC13" s="510"/>
      <c r="AD13" s="511"/>
      <c r="AE13" s="512"/>
      <c r="AF13" s="510"/>
      <c r="AG13" s="510"/>
      <c r="AH13" s="510"/>
      <c r="AI13" s="511"/>
      <c r="AJ13" s="512"/>
      <c r="AK13" s="510"/>
      <c r="AL13" s="510"/>
      <c r="AM13" s="510"/>
      <c r="AN13" s="511"/>
      <c r="AO13" s="512"/>
      <c r="AP13" s="510"/>
      <c r="AQ13" s="510"/>
      <c r="AR13" s="510"/>
      <c r="AS13" s="511"/>
    </row>
    <row r="14" spans="1:45" x14ac:dyDescent="0.2">
      <c r="A14" s="501">
        <v>1</v>
      </c>
      <c r="B14" s="502" t="s">
        <v>70</v>
      </c>
      <c r="C14" s="502" t="s">
        <v>437</v>
      </c>
      <c r="D14" s="503" t="s">
        <v>438</v>
      </c>
      <c r="E14" s="504"/>
      <c r="F14" s="490">
        <f>+SUM(F15:F19)</f>
        <v>1</v>
      </c>
      <c r="G14" s="482">
        <f t="shared" ref="G14:J14" si="23">+SUM(G15:G19)</f>
        <v>0</v>
      </c>
      <c r="H14" s="482">
        <f t="shared" si="23"/>
        <v>1</v>
      </c>
      <c r="I14" s="482">
        <f t="shared" si="23"/>
        <v>0</v>
      </c>
      <c r="J14" s="495">
        <f t="shared" si="23"/>
        <v>0</v>
      </c>
      <c r="K14" s="482">
        <f>+SUM(K15:K19)</f>
        <v>3</v>
      </c>
      <c r="L14" s="482">
        <f t="shared" ref="L14" si="24">+SUM(L15:L19)</f>
        <v>1</v>
      </c>
      <c r="M14" s="482">
        <f t="shared" ref="M14" si="25">+SUM(M15:M19)</f>
        <v>0</v>
      </c>
      <c r="N14" s="482">
        <f t="shared" ref="N14" si="26">+SUM(N15:N19)</f>
        <v>0</v>
      </c>
      <c r="O14" s="495">
        <f t="shared" ref="O14" si="27">+SUM(O15:O19)</f>
        <v>0</v>
      </c>
      <c r="P14" s="482">
        <f>+SUM(P15:P19)</f>
        <v>3</v>
      </c>
      <c r="Q14" s="482">
        <f t="shared" ref="Q14" si="28">+SUM(Q15:Q19)</f>
        <v>0</v>
      </c>
      <c r="R14" s="482">
        <f t="shared" ref="R14" si="29">+SUM(R15:R19)</f>
        <v>0</v>
      </c>
      <c r="S14" s="482">
        <f t="shared" ref="S14" si="30">+SUM(S15:S19)</f>
        <v>0</v>
      </c>
      <c r="T14" s="495">
        <f t="shared" ref="T14" si="31">+SUM(T15:T19)</f>
        <v>0</v>
      </c>
      <c r="U14" s="482">
        <f>+SUM(U15:U19)</f>
        <v>0</v>
      </c>
      <c r="V14" s="482">
        <f t="shared" ref="V14" si="32">+SUM(V15:V19)</f>
        <v>0</v>
      </c>
      <c r="W14" s="482">
        <f t="shared" ref="W14" si="33">+SUM(W15:W19)</f>
        <v>0</v>
      </c>
      <c r="X14" s="482">
        <f t="shared" ref="X14" si="34">+SUM(X15:X19)</f>
        <v>0</v>
      </c>
      <c r="Y14" s="495">
        <f t="shared" ref="Y14" si="35">+SUM(Y15:Y19)</f>
        <v>0</v>
      </c>
      <c r="Z14" s="482">
        <f>+SUM(Z15:Z19)</f>
        <v>0</v>
      </c>
      <c r="AA14" s="482">
        <f t="shared" ref="AA14:AD14" si="36">+SUM(AA15:AA19)</f>
        <v>0</v>
      </c>
      <c r="AB14" s="482">
        <f t="shared" si="36"/>
        <v>0</v>
      </c>
      <c r="AC14" s="482">
        <f t="shared" si="36"/>
        <v>0</v>
      </c>
      <c r="AD14" s="495">
        <f t="shared" si="36"/>
        <v>0</v>
      </c>
      <c r="AE14" s="482">
        <f>+SUM(AE15:AE19)</f>
        <v>0</v>
      </c>
      <c r="AF14" s="482">
        <f t="shared" ref="AF14:AI14" si="37">+SUM(AF15:AF19)</f>
        <v>0</v>
      </c>
      <c r="AG14" s="482">
        <f t="shared" si="37"/>
        <v>0</v>
      </c>
      <c r="AH14" s="482">
        <f t="shared" si="37"/>
        <v>0</v>
      </c>
      <c r="AI14" s="495">
        <f t="shared" si="37"/>
        <v>0</v>
      </c>
      <c r="AJ14" s="482">
        <f>+SUM(AJ15:AJ19)</f>
        <v>0</v>
      </c>
      <c r="AK14" s="482">
        <f t="shared" ref="AK14:AN14" si="38">+SUM(AK15:AK19)</f>
        <v>0</v>
      </c>
      <c r="AL14" s="482">
        <f t="shared" si="38"/>
        <v>0</v>
      </c>
      <c r="AM14" s="482">
        <f t="shared" si="38"/>
        <v>0</v>
      </c>
      <c r="AN14" s="495">
        <f t="shared" si="38"/>
        <v>0</v>
      </c>
      <c r="AO14" s="482">
        <f>+SUM(AO15:AO19)</f>
        <v>0</v>
      </c>
      <c r="AP14" s="482">
        <f t="shared" ref="AP14:AS14" si="39">+SUM(AP15:AP19)</f>
        <v>0</v>
      </c>
      <c r="AQ14" s="482">
        <f t="shared" si="39"/>
        <v>0</v>
      </c>
      <c r="AR14" s="482">
        <f t="shared" si="39"/>
        <v>0</v>
      </c>
      <c r="AS14" s="495">
        <f t="shared" si="39"/>
        <v>0</v>
      </c>
    </row>
    <row r="15" spans="1:45" outlineLevel="1" x14ac:dyDescent="0.2">
      <c r="A15" s="478"/>
      <c r="B15" s="270"/>
      <c r="C15" s="270" t="s">
        <v>423</v>
      </c>
      <c r="D15" s="245" t="s">
        <v>439</v>
      </c>
      <c r="E15" s="500"/>
      <c r="F15" s="491">
        <v>1</v>
      </c>
      <c r="G15" s="467"/>
      <c r="H15" s="467"/>
      <c r="I15" s="467"/>
      <c r="J15" s="487"/>
      <c r="K15" s="486"/>
      <c r="L15" s="467"/>
      <c r="M15" s="467"/>
      <c r="N15" s="467"/>
      <c r="O15" s="487"/>
      <c r="P15" s="486"/>
      <c r="Q15" s="467"/>
      <c r="R15" s="467"/>
      <c r="S15" s="467"/>
      <c r="T15" s="487"/>
      <c r="U15" s="486"/>
      <c r="V15" s="467"/>
      <c r="W15" s="467"/>
      <c r="X15" s="467"/>
      <c r="Y15" s="487"/>
      <c r="Z15" s="486"/>
      <c r="AA15" s="467"/>
      <c r="AB15" s="467"/>
      <c r="AC15" s="467"/>
      <c r="AD15" s="487"/>
      <c r="AE15" s="486"/>
      <c r="AF15" s="467"/>
      <c r="AG15" s="467"/>
      <c r="AH15" s="467"/>
      <c r="AI15" s="487"/>
      <c r="AJ15" s="486"/>
      <c r="AK15" s="467"/>
      <c r="AL15" s="467"/>
      <c r="AM15" s="467"/>
      <c r="AN15" s="487"/>
      <c r="AO15" s="486"/>
      <c r="AP15" s="467"/>
      <c r="AQ15" s="467"/>
      <c r="AR15" s="467"/>
      <c r="AS15" s="487"/>
    </row>
    <row r="16" spans="1:45" outlineLevel="1" x14ac:dyDescent="0.2">
      <c r="A16" s="478"/>
      <c r="B16" s="270"/>
      <c r="C16" s="270" t="s">
        <v>425</v>
      </c>
      <c r="D16" s="245" t="s">
        <v>440</v>
      </c>
      <c r="E16" s="500" t="s">
        <v>441</v>
      </c>
      <c r="F16" s="491"/>
      <c r="G16" s="460"/>
      <c r="H16" s="467">
        <v>0.5</v>
      </c>
      <c r="I16" s="467"/>
      <c r="J16" s="487"/>
      <c r="K16" s="486"/>
      <c r="L16" s="460"/>
      <c r="M16" s="467"/>
      <c r="N16" s="467"/>
      <c r="O16" s="487"/>
      <c r="P16" s="486"/>
      <c r="Q16" s="460"/>
      <c r="R16" s="467"/>
      <c r="S16" s="467"/>
      <c r="T16" s="487"/>
      <c r="U16" s="486"/>
      <c r="V16" s="460"/>
      <c r="W16" s="467"/>
      <c r="X16" s="467"/>
      <c r="Y16" s="487"/>
      <c r="Z16" s="486"/>
      <c r="AA16" s="460"/>
      <c r="AB16" s="467"/>
      <c r="AC16" s="467"/>
      <c r="AD16" s="487"/>
      <c r="AE16" s="486"/>
      <c r="AF16" s="460"/>
      <c r="AG16" s="467"/>
      <c r="AH16" s="467"/>
      <c r="AI16" s="487"/>
      <c r="AJ16" s="486"/>
      <c r="AK16" s="460"/>
      <c r="AL16" s="467"/>
      <c r="AM16" s="467"/>
      <c r="AN16" s="487"/>
      <c r="AO16" s="486"/>
      <c r="AP16" s="460"/>
      <c r="AQ16" s="467"/>
      <c r="AR16" s="467"/>
      <c r="AS16" s="487"/>
    </row>
    <row r="17" spans="1:45" outlineLevel="1" x14ac:dyDescent="0.2">
      <c r="A17" s="478"/>
      <c r="B17" s="270"/>
      <c r="C17" s="270" t="s">
        <v>427</v>
      </c>
      <c r="D17" s="245" t="s">
        <v>442</v>
      </c>
      <c r="E17" s="500"/>
      <c r="F17" s="491"/>
      <c r="G17" s="467"/>
      <c r="H17" s="467">
        <v>0.5</v>
      </c>
      <c r="I17" s="467">
        <v>0</v>
      </c>
      <c r="J17" s="487"/>
      <c r="K17" s="486">
        <v>3</v>
      </c>
      <c r="L17" s="467"/>
      <c r="M17" s="467"/>
      <c r="N17" s="467"/>
      <c r="O17" s="487"/>
      <c r="P17" s="486"/>
      <c r="Q17" s="467"/>
      <c r="R17" s="467"/>
      <c r="S17" s="467"/>
      <c r="T17" s="487"/>
      <c r="U17" s="486"/>
      <c r="V17" s="467"/>
      <c r="W17" s="467"/>
      <c r="X17" s="467"/>
      <c r="Y17" s="487"/>
      <c r="Z17" s="486"/>
      <c r="AA17" s="467"/>
      <c r="AB17" s="467"/>
      <c r="AC17" s="467"/>
      <c r="AD17" s="487"/>
      <c r="AE17" s="486"/>
      <c r="AF17" s="467"/>
      <c r="AG17" s="467"/>
      <c r="AH17" s="467"/>
      <c r="AI17" s="487"/>
      <c r="AJ17" s="486"/>
      <c r="AK17" s="467"/>
      <c r="AL17" s="467"/>
      <c r="AM17" s="467"/>
      <c r="AN17" s="487"/>
      <c r="AO17" s="486"/>
      <c r="AP17" s="467"/>
      <c r="AQ17" s="467"/>
      <c r="AR17" s="467"/>
      <c r="AS17" s="487"/>
    </row>
    <row r="18" spans="1:45" outlineLevel="1" x14ac:dyDescent="0.2">
      <c r="A18" s="478"/>
      <c r="B18" s="245"/>
      <c r="C18" s="270" t="s">
        <v>429</v>
      </c>
      <c r="D18" s="245" t="s">
        <v>443</v>
      </c>
      <c r="E18" s="500"/>
      <c r="F18" s="491"/>
      <c r="G18" s="467"/>
      <c r="H18" s="460"/>
      <c r="I18" s="467">
        <v>0</v>
      </c>
      <c r="J18" s="487"/>
      <c r="K18" s="486"/>
      <c r="L18" s="467">
        <v>0.5</v>
      </c>
      <c r="M18" s="460"/>
      <c r="N18" s="467"/>
      <c r="O18" s="487"/>
      <c r="P18" s="486">
        <v>3</v>
      </c>
      <c r="Q18" s="467"/>
      <c r="R18" s="460"/>
      <c r="S18" s="467"/>
      <c r="T18" s="487"/>
      <c r="U18" s="486"/>
      <c r="V18" s="467"/>
      <c r="W18" s="460"/>
      <c r="X18" s="467"/>
      <c r="Y18" s="487"/>
      <c r="Z18" s="486"/>
      <c r="AA18" s="467"/>
      <c r="AB18" s="460"/>
      <c r="AC18" s="467"/>
      <c r="AD18" s="487"/>
      <c r="AE18" s="486"/>
      <c r="AF18" s="467"/>
      <c r="AG18" s="460"/>
      <c r="AH18" s="467"/>
      <c r="AI18" s="487"/>
      <c r="AJ18" s="486"/>
      <c r="AK18" s="467"/>
      <c r="AL18" s="460"/>
      <c r="AM18" s="467"/>
      <c r="AN18" s="487"/>
      <c r="AO18" s="486"/>
      <c r="AP18" s="467"/>
      <c r="AQ18" s="460"/>
      <c r="AR18" s="467"/>
      <c r="AS18" s="487"/>
    </row>
    <row r="19" spans="1:45" ht="16" outlineLevel="1" thickBot="1" x14ac:dyDescent="0.25">
      <c r="A19" s="505"/>
      <c r="B19" s="506"/>
      <c r="C19" s="507" t="s">
        <v>431</v>
      </c>
      <c r="D19" s="506" t="s">
        <v>444</v>
      </c>
      <c r="E19" s="508"/>
      <c r="F19" s="509"/>
      <c r="G19" s="510"/>
      <c r="H19" s="510"/>
      <c r="I19" s="510"/>
      <c r="J19" s="511">
        <v>0</v>
      </c>
      <c r="K19" s="512">
        <v>0</v>
      </c>
      <c r="L19" s="510">
        <v>0.5</v>
      </c>
      <c r="M19" s="510"/>
      <c r="N19" s="510"/>
      <c r="O19" s="511"/>
      <c r="P19" s="512"/>
      <c r="Q19" s="510"/>
      <c r="R19" s="510"/>
      <c r="S19" s="510"/>
      <c r="T19" s="511"/>
      <c r="U19" s="512"/>
      <c r="V19" s="510"/>
      <c r="W19" s="510"/>
      <c r="X19" s="510"/>
      <c r="Y19" s="511"/>
      <c r="Z19" s="512"/>
      <c r="AA19" s="510"/>
      <c r="AB19" s="510"/>
      <c r="AC19" s="510"/>
      <c r="AD19" s="511"/>
      <c r="AE19" s="512"/>
      <c r="AF19" s="510"/>
      <c r="AG19" s="510"/>
      <c r="AH19" s="510"/>
      <c r="AI19" s="511"/>
      <c r="AJ19" s="512"/>
      <c r="AK19" s="510"/>
      <c r="AL19" s="510"/>
      <c r="AM19" s="510"/>
      <c r="AN19" s="511"/>
      <c r="AO19" s="512"/>
      <c r="AP19" s="510"/>
      <c r="AQ19" s="510"/>
      <c r="AR19" s="510"/>
      <c r="AS19" s="511"/>
    </row>
    <row r="20" spans="1:45" ht="16" thickBot="1" x14ac:dyDescent="0.25">
      <c r="A20" s="475">
        <v>2</v>
      </c>
      <c r="B20" s="476" t="s">
        <v>70</v>
      </c>
      <c r="C20" s="476" t="s">
        <v>178</v>
      </c>
      <c r="D20" s="477" t="s">
        <v>445</v>
      </c>
      <c r="E20" s="499"/>
      <c r="F20" s="490">
        <f>+SUM(F21:F25)</f>
        <v>0</v>
      </c>
      <c r="G20" s="482">
        <f t="shared" ref="G20:J20" si="40">+SUM(G21:G25)</f>
        <v>0</v>
      </c>
      <c r="H20" s="482">
        <f t="shared" si="40"/>
        <v>0</v>
      </c>
      <c r="I20" s="482">
        <f t="shared" si="40"/>
        <v>0</v>
      </c>
      <c r="J20" s="495">
        <f t="shared" si="40"/>
        <v>0</v>
      </c>
      <c r="K20" s="482">
        <f>+SUM(K21:K25)</f>
        <v>0</v>
      </c>
      <c r="L20" s="482">
        <f t="shared" ref="L20" si="41">+SUM(L21:L25)</f>
        <v>3</v>
      </c>
      <c r="M20" s="482">
        <f t="shared" ref="M20" si="42">+SUM(M21:M25)</f>
        <v>0.5</v>
      </c>
      <c r="N20" s="482">
        <f t="shared" ref="N20" si="43">+SUM(N21:N25)</f>
        <v>0</v>
      </c>
      <c r="O20" s="495">
        <f t="shared" ref="O20" si="44">+SUM(O21:O25)</f>
        <v>6</v>
      </c>
      <c r="P20" s="482">
        <f>+SUM(P21:P25)</f>
        <v>6</v>
      </c>
      <c r="Q20" s="482">
        <f t="shared" ref="Q20" si="45">+SUM(Q21:Q25)</f>
        <v>0.5</v>
      </c>
      <c r="R20" s="482">
        <f t="shared" ref="R20" si="46">+SUM(R21:R25)</f>
        <v>0</v>
      </c>
      <c r="S20" s="482">
        <f t="shared" ref="S20" si="47">+SUM(S21:S25)</f>
        <v>0</v>
      </c>
      <c r="T20" s="495">
        <f t="shared" ref="T20" si="48">+SUM(T21:T25)</f>
        <v>0</v>
      </c>
      <c r="U20" s="482">
        <f>+SUM(U21:U25)</f>
        <v>0</v>
      </c>
      <c r="V20" s="482">
        <f t="shared" ref="V20" si="49">+SUM(V21:V25)</f>
        <v>0</v>
      </c>
      <c r="W20" s="482">
        <f t="shared" ref="W20" si="50">+SUM(W21:W25)</f>
        <v>0</v>
      </c>
      <c r="X20" s="482">
        <f t="shared" ref="X20" si="51">+SUM(X21:X25)</f>
        <v>0</v>
      </c>
      <c r="Y20" s="495">
        <f t="shared" ref="Y20" si="52">+SUM(Y21:Y25)</f>
        <v>0</v>
      </c>
      <c r="Z20" s="482">
        <f>+SUM(Z21:Z25)</f>
        <v>0</v>
      </c>
      <c r="AA20" s="482">
        <f t="shared" ref="AA20:AD20" si="53">+SUM(AA21:AA25)</f>
        <v>0</v>
      </c>
      <c r="AB20" s="482">
        <f t="shared" si="53"/>
        <v>0</v>
      </c>
      <c r="AC20" s="482">
        <f t="shared" si="53"/>
        <v>0</v>
      </c>
      <c r="AD20" s="495">
        <f t="shared" si="53"/>
        <v>0</v>
      </c>
      <c r="AE20" s="482">
        <f>+SUM(AE21:AE25)</f>
        <v>0</v>
      </c>
      <c r="AF20" s="482">
        <f t="shared" ref="AF20:AI20" si="54">+SUM(AF21:AF25)</f>
        <v>0</v>
      </c>
      <c r="AG20" s="482">
        <f t="shared" si="54"/>
        <v>0</v>
      </c>
      <c r="AH20" s="482">
        <f t="shared" si="54"/>
        <v>0</v>
      </c>
      <c r="AI20" s="495">
        <f t="shared" si="54"/>
        <v>0</v>
      </c>
      <c r="AJ20" s="482">
        <f>+SUM(AJ21:AJ25)</f>
        <v>0</v>
      </c>
      <c r="AK20" s="482">
        <f t="shared" ref="AK20:AN20" si="55">+SUM(AK21:AK25)</f>
        <v>0</v>
      </c>
      <c r="AL20" s="482">
        <f t="shared" si="55"/>
        <v>0</v>
      </c>
      <c r="AM20" s="482">
        <f t="shared" si="55"/>
        <v>0</v>
      </c>
      <c r="AN20" s="495">
        <f t="shared" si="55"/>
        <v>0</v>
      </c>
      <c r="AO20" s="482">
        <f>+SUM(AO21:AO25)</f>
        <v>0</v>
      </c>
      <c r="AP20" s="482">
        <f t="shared" ref="AP20:AS20" si="56">+SUM(AP21:AP25)</f>
        <v>0</v>
      </c>
      <c r="AQ20" s="482">
        <f t="shared" si="56"/>
        <v>0</v>
      </c>
      <c r="AR20" s="482">
        <f t="shared" si="56"/>
        <v>0</v>
      </c>
      <c r="AS20" s="495">
        <f t="shared" si="56"/>
        <v>0</v>
      </c>
    </row>
    <row r="21" spans="1:45" hidden="1" outlineLevel="1" x14ac:dyDescent="0.2">
      <c r="A21" s="478"/>
      <c r="B21" s="270"/>
      <c r="C21" s="270" t="s">
        <v>423</v>
      </c>
      <c r="D21" s="245" t="s">
        <v>446</v>
      </c>
      <c r="E21" s="500"/>
      <c r="F21" s="446"/>
      <c r="G21" s="474">
        <v>0</v>
      </c>
      <c r="H21" s="271"/>
      <c r="I21" s="271"/>
      <c r="J21" s="287"/>
      <c r="K21" s="486"/>
      <c r="L21" s="467"/>
      <c r="M21" s="467"/>
      <c r="N21" s="467"/>
      <c r="O21" s="487"/>
      <c r="P21" s="486"/>
      <c r="Q21" s="467"/>
      <c r="R21" s="467"/>
      <c r="S21" s="467"/>
      <c r="T21" s="487"/>
      <c r="U21" s="486"/>
      <c r="V21" s="467"/>
      <c r="W21" s="467"/>
      <c r="X21" s="467"/>
      <c r="Y21" s="487"/>
      <c r="Z21" s="486"/>
      <c r="AA21" s="467"/>
      <c r="AB21" s="467"/>
      <c r="AC21" s="467"/>
      <c r="AD21" s="487"/>
      <c r="AE21" s="486"/>
      <c r="AF21" s="467"/>
      <c r="AG21" s="467"/>
      <c r="AH21" s="467"/>
      <c r="AI21" s="487"/>
      <c r="AJ21" s="486"/>
      <c r="AK21" s="467"/>
      <c r="AL21" s="467"/>
      <c r="AM21" s="467"/>
      <c r="AN21" s="487"/>
      <c r="AO21" s="486"/>
      <c r="AP21" s="467"/>
      <c r="AQ21" s="467"/>
      <c r="AR21" s="467"/>
      <c r="AS21" s="487"/>
    </row>
    <row r="22" spans="1:45" hidden="1" outlineLevel="1" x14ac:dyDescent="0.2">
      <c r="A22" s="478"/>
      <c r="B22" s="245"/>
      <c r="C22" s="270" t="s">
        <v>425</v>
      </c>
      <c r="D22" s="245" t="s">
        <v>447</v>
      </c>
      <c r="E22" s="500"/>
      <c r="F22" s="493"/>
      <c r="G22" s="271"/>
      <c r="H22" s="271"/>
      <c r="I22" s="271"/>
      <c r="J22" s="287"/>
      <c r="K22" s="486">
        <v>0</v>
      </c>
      <c r="L22" s="460">
        <v>3</v>
      </c>
      <c r="M22" s="467"/>
      <c r="N22" s="467"/>
      <c r="O22" s="487"/>
      <c r="P22" s="486"/>
      <c r="Q22" s="460"/>
      <c r="R22" s="467"/>
      <c r="S22" s="467"/>
      <c r="T22" s="487"/>
      <c r="U22" s="486"/>
      <c r="V22" s="460"/>
      <c r="W22" s="467"/>
      <c r="X22" s="467"/>
      <c r="Y22" s="487"/>
      <c r="Z22" s="486"/>
      <c r="AA22" s="460"/>
      <c r="AB22" s="467"/>
      <c r="AC22" s="467"/>
      <c r="AD22" s="487"/>
      <c r="AE22" s="486"/>
      <c r="AF22" s="460"/>
      <c r="AG22" s="467"/>
      <c r="AH22" s="467"/>
      <c r="AI22" s="487"/>
      <c r="AJ22" s="486"/>
      <c r="AK22" s="460"/>
      <c r="AL22" s="467"/>
      <c r="AM22" s="467"/>
      <c r="AN22" s="487"/>
      <c r="AO22" s="486"/>
      <c r="AP22" s="460"/>
      <c r="AQ22" s="467"/>
      <c r="AR22" s="467"/>
      <c r="AS22" s="487"/>
    </row>
    <row r="23" spans="1:45" hidden="1" outlineLevel="1" x14ac:dyDescent="0.2">
      <c r="A23" s="478"/>
      <c r="B23" s="245"/>
      <c r="C23" s="270" t="s">
        <v>427</v>
      </c>
      <c r="D23" s="245" t="s">
        <v>443</v>
      </c>
      <c r="E23" s="500"/>
      <c r="F23" s="493"/>
      <c r="G23" s="271"/>
      <c r="H23" s="271"/>
      <c r="I23" s="271"/>
      <c r="J23" s="287"/>
      <c r="K23" s="486"/>
      <c r="L23" s="467"/>
      <c r="M23" s="467">
        <v>0.5</v>
      </c>
      <c r="N23" s="467"/>
      <c r="O23" s="487"/>
      <c r="P23" s="486"/>
      <c r="Q23" s="467"/>
      <c r="R23" s="467"/>
      <c r="S23" s="467"/>
      <c r="T23" s="487"/>
      <c r="U23" s="486"/>
      <c r="V23" s="467"/>
      <c r="W23" s="467"/>
      <c r="X23" s="467"/>
      <c r="Y23" s="487"/>
      <c r="Z23" s="486"/>
      <c r="AA23" s="467"/>
      <c r="AB23" s="467"/>
      <c r="AC23" s="467"/>
      <c r="AD23" s="487"/>
      <c r="AE23" s="486"/>
      <c r="AF23" s="467"/>
      <c r="AG23" s="467"/>
      <c r="AH23" s="467"/>
      <c r="AI23" s="487"/>
      <c r="AJ23" s="486"/>
      <c r="AK23" s="467"/>
      <c r="AL23" s="467"/>
      <c r="AM23" s="467"/>
      <c r="AN23" s="487"/>
      <c r="AO23" s="486"/>
      <c r="AP23" s="467"/>
      <c r="AQ23" s="467"/>
      <c r="AR23" s="467"/>
      <c r="AS23" s="487"/>
    </row>
    <row r="24" spans="1:45" hidden="1" outlineLevel="1" x14ac:dyDescent="0.2">
      <c r="A24" s="478"/>
      <c r="B24" s="245"/>
      <c r="C24" s="270" t="s">
        <v>429</v>
      </c>
      <c r="D24" s="245" t="s">
        <v>448</v>
      </c>
      <c r="E24" s="500"/>
      <c r="F24" s="493"/>
      <c r="G24" s="271"/>
      <c r="H24" s="271"/>
      <c r="I24" s="271"/>
      <c r="J24" s="287"/>
      <c r="K24" s="486"/>
      <c r="L24" s="467"/>
      <c r="M24" s="460"/>
      <c r="N24" s="467">
        <v>0</v>
      </c>
      <c r="O24" s="487">
        <v>6</v>
      </c>
      <c r="P24" s="486">
        <v>6</v>
      </c>
      <c r="Q24" s="467"/>
      <c r="R24" s="460"/>
      <c r="S24" s="467"/>
      <c r="T24" s="487"/>
      <c r="U24" s="486"/>
      <c r="V24" s="467"/>
      <c r="W24" s="460"/>
      <c r="X24" s="467"/>
      <c r="Y24" s="487"/>
      <c r="Z24" s="486"/>
      <c r="AA24" s="467"/>
      <c r="AB24" s="460"/>
      <c r="AC24" s="467"/>
      <c r="AD24" s="487"/>
      <c r="AE24" s="486"/>
      <c r="AF24" s="467"/>
      <c r="AG24" s="460"/>
      <c r="AH24" s="467"/>
      <c r="AI24" s="487"/>
      <c r="AJ24" s="486"/>
      <c r="AK24" s="467"/>
      <c r="AL24" s="460"/>
      <c r="AM24" s="467"/>
      <c r="AN24" s="487"/>
      <c r="AO24" s="486"/>
      <c r="AP24" s="467"/>
      <c r="AQ24" s="460"/>
      <c r="AR24" s="467"/>
      <c r="AS24" s="487"/>
    </row>
    <row r="25" spans="1:45" hidden="1" outlineLevel="1" x14ac:dyDescent="0.2">
      <c r="A25" s="478"/>
      <c r="B25" s="245"/>
      <c r="C25" s="270" t="s">
        <v>431</v>
      </c>
      <c r="D25" s="245" t="s">
        <v>443</v>
      </c>
      <c r="E25" s="500"/>
      <c r="F25" s="493"/>
      <c r="G25" s="271"/>
      <c r="H25" s="271"/>
      <c r="I25" s="271"/>
      <c r="J25" s="287"/>
      <c r="K25" s="486"/>
      <c r="L25" s="467"/>
      <c r="M25" s="467"/>
      <c r="N25" s="467"/>
      <c r="O25" s="487"/>
      <c r="P25" s="486"/>
      <c r="Q25" s="467">
        <v>0.5</v>
      </c>
      <c r="R25" s="467"/>
      <c r="S25" s="467"/>
      <c r="T25" s="487"/>
      <c r="U25" s="486"/>
      <c r="V25" s="467"/>
      <c r="W25" s="467"/>
      <c r="X25" s="467"/>
      <c r="Y25" s="487"/>
      <c r="Z25" s="486"/>
      <c r="AA25" s="467"/>
      <c r="AB25" s="467"/>
      <c r="AC25" s="467"/>
      <c r="AD25" s="487"/>
      <c r="AE25" s="486"/>
      <c r="AF25" s="467"/>
      <c r="AG25" s="467"/>
      <c r="AH25" s="467"/>
      <c r="AI25" s="487"/>
      <c r="AJ25" s="486"/>
      <c r="AK25" s="467"/>
      <c r="AL25" s="467"/>
      <c r="AM25" s="467"/>
      <c r="AN25" s="487"/>
      <c r="AO25" s="486"/>
      <c r="AP25" s="467"/>
      <c r="AQ25" s="467"/>
      <c r="AR25" s="467"/>
      <c r="AS25" s="487"/>
    </row>
    <row r="26" spans="1:45" ht="16" hidden="1" outlineLevel="1" thickBot="1" x14ac:dyDescent="0.25">
      <c r="A26" s="505"/>
      <c r="B26" s="506"/>
      <c r="C26" s="507" t="s">
        <v>432</v>
      </c>
      <c r="D26" s="506" t="s">
        <v>449</v>
      </c>
      <c r="E26" s="508"/>
      <c r="F26" s="513"/>
      <c r="G26" s="514"/>
      <c r="H26" s="514"/>
      <c r="I26" s="514"/>
      <c r="J26" s="518"/>
      <c r="K26" s="505"/>
      <c r="L26" s="514"/>
      <c r="M26" s="514"/>
      <c r="N26" s="514"/>
      <c r="O26" s="518"/>
      <c r="P26" s="505"/>
      <c r="Q26" s="514"/>
      <c r="R26" s="514">
        <v>0.5</v>
      </c>
      <c r="S26" s="514"/>
      <c r="T26" s="518"/>
      <c r="U26" s="505"/>
      <c r="V26" s="514"/>
      <c r="W26" s="514"/>
      <c r="X26" s="514"/>
      <c r="Y26" s="518"/>
      <c r="Z26" s="505"/>
      <c r="AA26" s="514"/>
      <c r="AB26" s="514"/>
      <c r="AC26" s="514"/>
      <c r="AD26" s="518"/>
      <c r="AE26" s="505"/>
      <c r="AF26" s="514"/>
      <c r="AG26" s="514"/>
      <c r="AH26" s="514"/>
      <c r="AI26" s="518"/>
      <c r="AJ26" s="505"/>
      <c r="AK26" s="514"/>
      <c r="AL26" s="514"/>
      <c r="AM26" s="514"/>
      <c r="AN26" s="518"/>
      <c r="AO26" s="505"/>
      <c r="AP26" s="514"/>
      <c r="AQ26" s="514"/>
      <c r="AR26" s="514"/>
      <c r="AS26" s="518"/>
    </row>
    <row r="27" spans="1:45" ht="16" collapsed="1" thickBot="1" x14ac:dyDescent="0.25">
      <c r="A27" s="475">
        <v>3</v>
      </c>
      <c r="B27" s="476" t="s">
        <v>43</v>
      </c>
      <c r="C27" s="476" t="s">
        <v>450</v>
      </c>
      <c r="D27" s="477" t="s">
        <v>451</v>
      </c>
      <c r="E27" s="499"/>
      <c r="F27" s="490">
        <f>+SUM(F28:F32)</f>
        <v>0</v>
      </c>
      <c r="G27" s="483">
        <f t="shared" ref="G27" si="57">+SUM(G28:G32)</f>
        <v>0</v>
      </c>
      <c r="H27" s="483">
        <f t="shared" ref="H27" si="58">+SUM(H28:H32)</f>
        <v>0</v>
      </c>
      <c r="I27" s="483">
        <f>+SUM(I28:I32)</f>
        <v>0</v>
      </c>
      <c r="J27" s="483">
        <f>+SUM(J28:J32)</f>
        <v>3</v>
      </c>
      <c r="K27" s="482">
        <f>+SUM(K28:K32)</f>
        <v>1</v>
      </c>
      <c r="L27" s="483">
        <f t="shared" ref="L27:M27" si="59">+SUM(L28:L32)</f>
        <v>3</v>
      </c>
      <c r="M27" s="483">
        <f t="shared" si="59"/>
        <v>0</v>
      </c>
      <c r="N27" s="483">
        <f>+SUM(N28:N32)</f>
        <v>3</v>
      </c>
      <c r="O27" s="484">
        <f>+SUM(O29:O32)</f>
        <v>1</v>
      </c>
      <c r="P27" s="482">
        <f>+SUM(P28:P32)</f>
        <v>0</v>
      </c>
      <c r="Q27" s="483">
        <f t="shared" ref="Q27:R27" si="60">+SUM(Q28:Q32)</f>
        <v>0</v>
      </c>
      <c r="R27" s="483">
        <f t="shared" si="60"/>
        <v>0</v>
      </c>
      <c r="S27" s="483">
        <f>+SUM(S28:S32)</f>
        <v>0</v>
      </c>
      <c r="T27" s="484">
        <f>+SUM(T29:T32)</f>
        <v>0</v>
      </c>
      <c r="U27" s="482">
        <f>+SUM(U28:U32)</f>
        <v>0</v>
      </c>
      <c r="V27" s="483">
        <f t="shared" ref="V27:W27" si="61">+SUM(V28:V32)</f>
        <v>0</v>
      </c>
      <c r="W27" s="483">
        <f t="shared" si="61"/>
        <v>0</v>
      </c>
      <c r="X27" s="483">
        <f>+SUM(X28:X32)</f>
        <v>0</v>
      </c>
      <c r="Y27" s="484">
        <f>+SUM(Y29:Y32)</f>
        <v>0</v>
      </c>
      <c r="Z27" s="482">
        <f>+SUM(Z28:Z32)</f>
        <v>0</v>
      </c>
      <c r="AA27" s="483">
        <f t="shared" ref="AA27:AB27" si="62">+SUM(AA28:AA32)</f>
        <v>0</v>
      </c>
      <c r="AB27" s="483">
        <f t="shared" si="62"/>
        <v>0</v>
      </c>
      <c r="AC27" s="483">
        <f>+SUM(AC28:AC32)</f>
        <v>0</v>
      </c>
      <c r="AD27" s="484">
        <f>+SUM(AD29:AD32)</f>
        <v>0</v>
      </c>
      <c r="AE27" s="482">
        <f>+SUM(AE28:AE32)</f>
        <v>0</v>
      </c>
      <c r="AF27" s="483">
        <f t="shared" ref="AF27:AG27" si="63">+SUM(AF28:AF32)</f>
        <v>0</v>
      </c>
      <c r="AG27" s="483">
        <f t="shared" si="63"/>
        <v>0</v>
      </c>
      <c r="AH27" s="483">
        <f>+SUM(AH28:AH32)</f>
        <v>0</v>
      </c>
      <c r="AI27" s="484">
        <f>+SUM(AI29:AI32)</f>
        <v>0</v>
      </c>
      <c r="AJ27" s="482">
        <f>+SUM(AJ28:AJ32)</f>
        <v>0</v>
      </c>
      <c r="AK27" s="483">
        <f t="shared" ref="AK27:AL27" si="64">+SUM(AK28:AK32)</f>
        <v>0</v>
      </c>
      <c r="AL27" s="483">
        <f t="shared" si="64"/>
        <v>0</v>
      </c>
      <c r="AM27" s="483">
        <f>+SUM(AM28:AM32)</f>
        <v>0</v>
      </c>
      <c r="AN27" s="484">
        <f>+SUM(AN29:AN32)</f>
        <v>0</v>
      </c>
      <c r="AO27" s="482">
        <f>+SUM(AO28:AO32)</f>
        <v>0</v>
      </c>
      <c r="AP27" s="483">
        <f t="shared" ref="AP27:AQ27" si="65">+SUM(AP28:AP32)</f>
        <v>0</v>
      </c>
      <c r="AQ27" s="483">
        <f t="shared" si="65"/>
        <v>0</v>
      </c>
      <c r="AR27" s="483">
        <f>+SUM(AR28:AR32)</f>
        <v>0</v>
      </c>
      <c r="AS27" s="484">
        <f>+SUM(AS29:AS32)</f>
        <v>0</v>
      </c>
    </row>
    <row r="28" spans="1:45" hidden="1" outlineLevel="2" x14ac:dyDescent="0.2">
      <c r="A28" s="478"/>
      <c r="B28" s="245"/>
      <c r="C28" s="270" t="s">
        <v>423</v>
      </c>
      <c r="D28" s="245" t="s">
        <v>452</v>
      </c>
      <c r="E28" s="500" t="s">
        <v>453</v>
      </c>
      <c r="F28" s="493"/>
      <c r="G28" s="271"/>
      <c r="H28" s="245"/>
      <c r="I28" s="245"/>
      <c r="J28" s="461"/>
      <c r="K28" s="486">
        <v>1</v>
      </c>
      <c r="L28" s="467"/>
      <c r="M28" s="467"/>
      <c r="N28" s="467"/>
      <c r="O28" s="487"/>
      <c r="P28" s="486"/>
      <c r="Q28" s="467"/>
      <c r="R28" s="467"/>
      <c r="S28" s="467"/>
      <c r="T28" s="487"/>
      <c r="U28" s="486"/>
      <c r="V28" s="467"/>
      <c r="W28" s="467"/>
      <c r="X28" s="467"/>
      <c r="Y28" s="487"/>
      <c r="Z28" s="486"/>
      <c r="AA28" s="467"/>
      <c r="AB28" s="467"/>
      <c r="AC28" s="467"/>
      <c r="AD28" s="487"/>
      <c r="AE28" s="486"/>
      <c r="AF28" s="467"/>
      <c r="AG28" s="467"/>
      <c r="AH28" s="467"/>
      <c r="AI28" s="487"/>
      <c r="AJ28" s="486"/>
      <c r="AK28" s="467"/>
      <c r="AL28" s="467"/>
      <c r="AM28" s="467"/>
      <c r="AN28" s="487"/>
      <c r="AO28" s="486"/>
      <c r="AP28" s="467"/>
      <c r="AQ28" s="467"/>
      <c r="AR28" s="467"/>
      <c r="AS28" s="487"/>
    </row>
    <row r="29" spans="1:45" hidden="1" outlineLevel="2" x14ac:dyDescent="0.2">
      <c r="A29" s="478"/>
      <c r="B29" s="245"/>
      <c r="C29" s="270" t="s">
        <v>425</v>
      </c>
      <c r="D29" s="245" t="s">
        <v>454</v>
      </c>
      <c r="E29" s="500" t="s">
        <v>455</v>
      </c>
      <c r="F29" s="493"/>
      <c r="G29" s="271"/>
      <c r="H29" s="245"/>
      <c r="I29" s="271"/>
      <c r="J29" s="496">
        <v>3</v>
      </c>
      <c r="K29" s="486"/>
      <c r="L29" s="467"/>
      <c r="M29" s="467"/>
      <c r="N29" s="467"/>
      <c r="O29" s="487"/>
      <c r="P29" s="486"/>
      <c r="Q29" s="467"/>
      <c r="R29" s="467"/>
      <c r="S29" s="467"/>
      <c r="T29" s="487"/>
      <c r="U29" s="486"/>
      <c r="V29" s="467"/>
      <c r="W29" s="467"/>
      <c r="X29" s="467"/>
      <c r="Y29" s="487"/>
      <c r="Z29" s="486"/>
      <c r="AA29" s="467"/>
      <c r="AB29" s="467"/>
      <c r="AC29" s="467"/>
      <c r="AD29" s="487"/>
      <c r="AE29" s="486"/>
      <c r="AF29" s="467"/>
      <c r="AG29" s="467"/>
      <c r="AH29" s="467"/>
      <c r="AI29" s="487"/>
      <c r="AJ29" s="486"/>
      <c r="AK29" s="467"/>
      <c r="AL29" s="467"/>
      <c r="AM29" s="467"/>
      <c r="AN29" s="487"/>
      <c r="AO29" s="486"/>
      <c r="AP29" s="467"/>
      <c r="AQ29" s="467"/>
      <c r="AR29" s="467"/>
      <c r="AS29" s="487"/>
    </row>
    <row r="30" spans="1:45" hidden="1" outlineLevel="2" x14ac:dyDescent="0.2">
      <c r="A30" s="478"/>
      <c r="B30" s="245"/>
      <c r="C30" s="270" t="s">
        <v>427</v>
      </c>
      <c r="D30" s="245" t="s">
        <v>456</v>
      </c>
      <c r="E30" s="500"/>
      <c r="F30" s="493"/>
      <c r="G30" s="271"/>
      <c r="H30" s="245"/>
      <c r="I30" s="271"/>
      <c r="J30" s="271"/>
      <c r="K30" s="486">
        <v>0</v>
      </c>
      <c r="L30" s="467">
        <v>2</v>
      </c>
      <c r="M30" s="467"/>
      <c r="N30" s="467"/>
      <c r="O30" s="487"/>
      <c r="P30" s="486"/>
      <c r="Q30" s="467"/>
      <c r="R30" s="467"/>
      <c r="S30" s="467"/>
      <c r="T30" s="487"/>
      <c r="U30" s="486"/>
      <c r="V30" s="467"/>
      <c r="W30" s="467"/>
      <c r="X30" s="467"/>
      <c r="Y30" s="487"/>
      <c r="Z30" s="486"/>
      <c r="AA30" s="467"/>
      <c r="AB30" s="467"/>
      <c r="AC30" s="467"/>
      <c r="AD30" s="487"/>
      <c r="AE30" s="486"/>
      <c r="AF30" s="467"/>
      <c r="AG30" s="467"/>
      <c r="AH30" s="467"/>
      <c r="AI30" s="487"/>
      <c r="AJ30" s="486"/>
      <c r="AK30" s="467"/>
      <c r="AL30" s="467"/>
      <c r="AM30" s="467"/>
      <c r="AN30" s="487"/>
      <c r="AO30" s="486"/>
      <c r="AP30" s="467"/>
      <c r="AQ30" s="467"/>
      <c r="AR30" s="467"/>
      <c r="AS30" s="487"/>
    </row>
    <row r="31" spans="1:45" hidden="1" outlineLevel="2" x14ac:dyDescent="0.2">
      <c r="A31" s="478"/>
      <c r="B31" s="245"/>
      <c r="C31" s="270" t="s">
        <v>429</v>
      </c>
      <c r="D31" s="245" t="s">
        <v>457</v>
      </c>
      <c r="E31" s="500"/>
      <c r="F31" s="493"/>
      <c r="G31" s="271"/>
      <c r="H31" s="271"/>
      <c r="I31" s="271"/>
      <c r="J31" s="287"/>
      <c r="K31" s="486"/>
      <c r="L31" s="467"/>
      <c r="M31" s="467"/>
      <c r="N31" s="467">
        <v>3</v>
      </c>
      <c r="O31" s="487"/>
      <c r="P31" s="486"/>
      <c r="Q31" s="467"/>
      <c r="R31" s="467"/>
      <c r="S31" s="467"/>
      <c r="T31" s="487"/>
      <c r="U31" s="486"/>
      <c r="V31" s="467"/>
      <c r="W31" s="467"/>
      <c r="X31" s="467"/>
      <c r="Y31" s="487"/>
      <c r="Z31" s="486"/>
      <c r="AA31" s="467"/>
      <c r="AB31" s="467"/>
      <c r="AC31" s="467"/>
      <c r="AD31" s="487"/>
      <c r="AE31" s="486"/>
      <c r="AF31" s="467"/>
      <c r="AG31" s="467"/>
      <c r="AH31" s="467"/>
      <c r="AI31" s="487"/>
      <c r="AJ31" s="486"/>
      <c r="AK31" s="467"/>
      <c r="AL31" s="467"/>
      <c r="AM31" s="467"/>
      <c r="AN31" s="487"/>
      <c r="AO31" s="486"/>
      <c r="AP31" s="467"/>
      <c r="AQ31" s="467"/>
      <c r="AR31" s="467"/>
      <c r="AS31" s="487"/>
    </row>
    <row r="32" spans="1:45" ht="16" hidden="1" outlineLevel="2" thickBot="1" x14ac:dyDescent="0.25">
      <c r="A32" s="479"/>
      <c r="B32" s="468"/>
      <c r="C32" s="481" t="s">
        <v>431</v>
      </c>
      <c r="D32" s="468" t="s">
        <v>458</v>
      </c>
      <c r="E32" s="469"/>
      <c r="F32" s="492"/>
      <c r="G32" s="480"/>
      <c r="H32" s="480"/>
      <c r="I32" s="480"/>
      <c r="J32" s="288"/>
      <c r="K32" s="497"/>
      <c r="L32" s="485">
        <v>1</v>
      </c>
      <c r="M32" s="485"/>
      <c r="N32" s="485"/>
      <c r="O32" s="488">
        <v>1</v>
      </c>
      <c r="P32" s="497"/>
      <c r="Q32" s="485"/>
      <c r="R32" s="485"/>
      <c r="S32" s="485"/>
      <c r="T32" s="488"/>
      <c r="U32" s="497"/>
      <c r="V32" s="485"/>
      <c r="W32" s="485"/>
      <c r="X32" s="485"/>
      <c r="Y32" s="488"/>
      <c r="Z32" s="497"/>
      <c r="AA32" s="485"/>
      <c r="AB32" s="485"/>
      <c r="AC32" s="485"/>
      <c r="AD32" s="488"/>
      <c r="AE32" s="497"/>
      <c r="AF32" s="485"/>
      <c r="AG32" s="485"/>
      <c r="AH32" s="485"/>
      <c r="AI32" s="488"/>
      <c r="AJ32" s="497"/>
      <c r="AK32" s="485"/>
      <c r="AL32" s="485"/>
      <c r="AM32" s="485"/>
      <c r="AN32" s="488"/>
      <c r="AO32" s="497"/>
      <c r="AP32" s="485"/>
      <c r="AQ32" s="485"/>
      <c r="AR32" s="485"/>
      <c r="AS32" s="488"/>
    </row>
    <row r="33" spans="1:45" ht="16" collapsed="1" thickBot="1" x14ac:dyDescent="0.25">
      <c r="A33" s="475">
        <v>4</v>
      </c>
      <c r="B33" s="476" t="s">
        <v>48</v>
      </c>
      <c r="C33" s="476" t="s">
        <v>459</v>
      </c>
      <c r="D33" s="477" t="s">
        <v>460</v>
      </c>
      <c r="E33" s="499"/>
      <c r="F33" s="490">
        <f>+SUM(F34:F35)</f>
        <v>1</v>
      </c>
      <c r="G33" s="483">
        <f t="shared" ref="G33:J33" si="66">+SUM(G34:G35)</f>
        <v>0</v>
      </c>
      <c r="H33" s="483">
        <f t="shared" si="66"/>
        <v>0</v>
      </c>
      <c r="I33" s="483">
        <f t="shared" si="66"/>
        <v>4</v>
      </c>
      <c r="J33" s="515">
        <f t="shared" si="66"/>
        <v>0</v>
      </c>
      <c r="K33" s="482">
        <f>+SUM(K34:K35)</f>
        <v>0</v>
      </c>
      <c r="L33" s="483">
        <f t="shared" ref="L33:O33" si="67">+SUM(L34:L35)</f>
        <v>0</v>
      </c>
      <c r="M33" s="483">
        <f t="shared" si="67"/>
        <v>0</v>
      </c>
      <c r="N33" s="483">
        <f t="shared" si="67"/>
        <v>0</v>
      </c>
      <c r="O33" s="484">
        <f t="shared" si="67"/>
        <v>0</v>
      </c>
      <c r="P33" s="482">
        <f>+SUM(P34:P35)</f>
        <v>0</v>
      </c>
      <c r="Q33" s="483">
        <f t="shared" ref="Q33:T33" si="68">+SUM(Q34:Q35)</f>
        <v>0</v>
      </c>
      <c r="R33" s="483">
        <f t="shared" si="68"/>
        <v>0</v>
      </c>
      <c r="S33" s="483">
        <f t="shared" si="68"/>
        <v>0</v>
      </c>
      <c r="T33" s="484">
        <f t="shared" si="68"/>
        <v>0</v>
      </c>
      <c r="U33" s="482">
        <f>+SUM(U34:U35)</f>
        <v>0</v>
      </c>
      <c r="V33" s="483">
        <f t="shared" ref="V33:Y33" si="69">+SUM(V34:V35)</f>
        <v>0</v>
      </c>
      <c r="W33" s="483">
        <f t="shared" si="69"/>
        <v>0</v>
      </c>
      <c r="X33" s="483">
        <f t="shared" si="69"/>
        <v>0</v>
      </c>
      <c r="Y33" s="484">
        <f t="shared" si="69"/>
        <v>0</v>
      </c>
      <c r="Z33" s="482">
        <f>+SUM(Z34:Z35)</f>
        <v>0</v>
      </c>
      <c r="AA33" s="483">
        <f t="shared" ref="AA33:AD33" si="70">+SUM(AA34:AA35)</f>
        <v>0</v>
      </c>
      <c r="AB33" s="483">
        <f t="shared" si="70"/>
        <v>0</v>
      </c>
      <c r="AC33" s="483">
        <f t="shared" si="70"/>
        <v>0</v>
      </c>
      <c r="AD33" s="484">
        <f t="shared" si="70"/>
        <v>0</v>
      </c>
      <c r="AE33" s="482">
        <f>+SUM(AE34:AE35)</f>
        <v>0</v>
      </c>
      <c r="AF33" s="483">
        <f t="shared" ref="AF33:AI33" si="71">+SUM(AF34:AF35)</f>
        <v>0</v>
      </c>
      <c r="AG33" s="483">
        <f t="shared" si="71"/>
        <v>0</v>
      </c>
      <c r="AH33" s="483">
        <f t="shared" si="71"/>
        <v>0</v>
      </c>
      <c r="AI33" s="484">
        <f t="shared" si="71"/>
        <v>0</v>
      </c>
      <c r="AJ33" s="482">
        <f>+SUM(AJ34:AJ35)</f>
        <v>0</v>
      </c>
      <c r="AK33" s="483">
        <f t="shared" ref="AK33:AN33" si="72">+SUM(AK34:AK35)</f>
        <v>0</v>
      </c>
      <c r="AL33" s="483">
        <f t="shared" si="72"/>
        <v>0</v>
      </c>
      <c r="AM33" s="483">
        <f t="shared" si="72"/>
        <v>0</v>
      </c>
      <c r="AN33" s="484">
        <f t="shared" si="72"/>
        <v>0</v>
      </c>
      <c r="AO33" s="482">
        <f>+SUM(AO34:AO35)</f>
        <v>0</v>
      </c>
      <c r="AP33" s="483">
        <f t="shared" ref="AP33:AS33" si="73">+SUM(AP34:AP35)</f>
        <v>0</v>
      </c>
      <c r="AQ33" s="483">
        <f t="shared" si="73"/>
        <v>0</v>
      </c>
      <c r="AR33" s="483">
        <f t="shared" si="73"/>
        <v>0</v>
      </c>
      <c r="AS33" s="484">
        <f t="shared" si="73"/>
        <v>0</v>
      </c>
    </row>
    <row r="34" spans="1:45" hidden="1" outlineLevel="1" x14ac:dyDescent="0.2">
      <c r="A34" s="478"/>
      <c r="B34" s="245"/>
      <c r="C34" s="270" t="s">
        <v>423</v>
      </c>
      <c r="D34" s="245" t="s">
        <v>461</v>
      </c>
      <c r="E34" s="500" t="s">
        <v>462</v>
      </c>
      <c r="F34" s="498">
        <v>1</v>
      </c>
      <c r="G34" s="271"/>
      <c r="H34" s="271"/>
      <c r="I34" s="271"/>
      <c r="J34" s="445"/>
      <c r="K34" s="486"/>
      <c r="L34" s="467"/>
      <c r="M34" s="467"/>
      <c r="N34" s="467"/>
      <c r="O34" s="487"/>
      <c r="P34" s="486"/>
      <c r="Q34" s="467"/>
      <c r="R34" s="467"/>
      <c r="S34" s="467"/>
      <c r="T34" s="487"/>
      <c r="U34" s="486"/>
      <c r="V34" s="467"/>
      <c r="W34" s="467"/>
      <c r="X34" s="467"/>
      <c r="Y34" s="487"/>
      <c r="Z34" s="486"/>
      <c r="AA34" s="467"/>
      <c r="AB34" s="467"/>
      <c r="AC34" s="467"/>
      <c r="AD34" s="487"/>
      <c r="AE34" s="486"/>
      <c r="AF34" s="467"/>
      <c r="AG34" s="467"/>
      <c r="AH34" s="467"/>
      <c r="AI34" s="487"/>
      <c r="AJ34" s="486"/>
      <c r="AK34" s="467"/>
      <c r="AL34" s="467"/>
      <c r="AM34" s="467"/>
      <c r="AN34" s="487"/>
      <c r="AO34" s="486"/>
      <c r="AP34" s="467"/>
      <c r="AQ34" s="467"/>
      <c r="AR34" s="467"/>
      <c r="AS34" s="487"/>
    </row>
    <row r="35" spans="1:45" hidden="1" outlineLevel="1" x14ac:dyDescent="0.2">
      <c r="A35" s="478"/>
      <c r="B35" s="245"/>
      <c r="C35" s="270" t="s">
        <v>425</v>
      </c>
      <c r="D35" s="245" t="s">
        <v>463</v>
      </c>
      <c r="E35" s="500"/>
      <c r="F35" s="493"/>
      <c r="G35" s="467"/>
      <c r="H35" s="271"/>
      <c r="I35" s="474">
        <v>4</v>
      </c>
      <c r="J35" s="445"/>
      <c r="K35" s="486"/>
      <c r="L35" s="467"/>
      <c r="M35" s="467"/>
      <c r="N35" s="467"/>
      <c r="O35" s="487"/>
      <c r="P35" s="486"/>
      <c r="Q35" s="467"/>
      <c r="R35" s="467"/>
      <c r="S35" s="467"/>
      <c r="T35" s="487"/>
      <c r="U35" s="486"/>
      <c r="V35" s="467"/>
      <c r="W35" s="467"/>
      <c r="X35" s="467"/>
      <c r="Y35" s="487"/>
      <c r="Z35" s="486"/>
      <c r="AA35" s="467"/>
      <c r="AB35" s="467"/>
      <c r="AC35" s="467"/>
      <c r="AD35" s="487"/>
      <c r="AE35" s="486"/>
      <c r="AF35" s="467"/>
      <c r="AG35" s="467"/>
      <c r="AH35" s="467"/>
      <c r="AI35" s="487"/>
      <c r="AJ35" s="486"/>
      <c r="AK35" s="467"/>
      <c r="AL35" s="467"/>
      <c r="AM35" s="467"/>
      <c r="AN35" s="487"/>
      <c r="AO35" s="486"/>
      <c r="AP35" s="467"/>
      <c r="AQ35" s="467"/>
      <c r="AR35" s="467"/>
      <c r="AS35" s="487"/>
    </row>
    <row r="36" spans="1:45" hidden="1" outlineLevel="1" x14ac:dyDescent="0.2">
      <c r="A36" s="478"/>
      <c r="B36" s="245"/>
      <c r="C36" s="270" t="s">
        <v>427</v>
      </c>
      <c r="D36" s="245" t="s">
        <v>464</v>
      </c>
      <c r="E36" s="500"/>
      <c r="F36" s="493"/>
      <c r="G36" s="467"/>
      <c r="H36" s="271"/>
      <c r="I36" s="271"/>
      <c r="J36" s="445"/>
      <c r="K36" s="486">
        <v>1</v>
      </c>
      <c r="L36" s="467"/>
      <c r="M36" s="467"/>
      <c r="N36" s="467"/>
      <c r="O36" s="487"/>
      <c r="P36" s="486"/>
      <c r="Q36" s="467"/>
      <c r="R36" s="467"/>
      <c r="S36" s="467"/>
      <c r="T36" s="487"/>
      <c r="U36" s="486"/>
      <c r="V36" s="467"/>
      <c r="W36" s="467"/>
      <c r="X36" s="467"/>
      <c r="Y36" s="487"/>
      <c r="Z36" s="486"/>
      <c r="AA36" s="467"/>
      <c r="AB36" s="467"/>
      <c r="AC36" s="467"/>
      <c r="AD36" s="487"/>
      <c r="AE36" s="486"/>
      <c r="AF36" s="467"/>
      <c r="AG36" s="467"/>
      <c r="AH36" s="467"/>
      <c r="AI36" s="487"/>
      <c r="AJ36" s="486"/>
      <c r="AK36" s="467"/>
      <c r="AL36" s="467"/>
      <c r="AM36" s="467"/>
      <c r="AN36" s="487"/>
      <c r="AO36" s="486"/>
      <c r="AP36" s="467"/>
      <c r="AQ36" s="467"/>
      <c r="AR36" s="467"/>
      <c r="AS36" s="487"/>
    </row>
    <row r="37" spans="1:45" hidden="1" outlineLevel="1" x14ac:dyDescent="0.2">
      <c r="A37" s="478"/>
      <c r="B37" s="245"/>
      <c r="C37" s="270" t="s">
        <v>429</v>
      </c>
      <c r="D37" s="245" t="s">
        <v>465</v>
      </c>
      <c r="E37" s="500"/>
      <c r="F37" s="493"/>
      <c r="G37" s="467"/>
      <c r="H37" s="271"/>
      <c r="I37" s="271"/>
      <c r="J37" s="445"/>
      <c r="K37" s="486"/>
      <c r="L37" s="467"/>
      <c r="M37" s="467"/>
      <c r="N37" s="467"/>
      <c r="O37" s="487">
        <v>1</v>
      </c>
      <c r="P37" s="486">
        <v>1</v>
      </c>
      <c r="Q37" s="467">
        <v>1</v>
      </c>
      <c r="R37" s="467">
        <v>1</v>
      </c>
      <c r="S37" s="467"/>
      <c r="T37" s="487"/>
      <c r="U37" s="486"/>
      <c r="V37" s="467"/>
      <c r="W37" s="467"/>
      <c r="X37" s="467"/>
      <c r="Y37" s="487"/>
      <c r="Z37" s="486"/>
      <c r="AA37" s="467"/>
      <c r="AB37" s="467"/>
      <c r="AC37" s="467"/>
      <c r="AD37" s="487"/>
      <c r="AE37" s="486"/>
      <c r="AF37" s="467"/>
      <c r="AG37" s="467"/>
      <c r="AH37" s="467"/>
      <c r="AI37" s="487"/>
      <c r="AJ37" s="486"/>
      <c r="AK37" s="467"/>
      <c r="AL37" s="467"/>
      <c r="AM37" s="467"/>
      <c r="AN37" s="487"/>
      <c r="AO37" s="486"/>
      <c r="AP37" s="467"/>
      <c r="AQ37" s="467"/>
      <c r="AR37" s="467"/>
      <c r="AS37" s="487"/>
    </row>
    <row r="38" spans="1:45" hidden="1" outlineLevel="1" x14ac:dyDescent="0.2">
      <c r="A38" s="478"/>
      <c r="B38" s="245"/>
      <c r="C38" s="270" t="s">
        <v>431</v>
      </c>
      <c r="D38" s="245"/>
      <c r="E38" s="500"/>
      <c r="F38" s="493"/>
      <c r="G38" s="467"/>
      <c r="H38" s="271"/>
      <c r="I38" s="271"/>
      <c r="J38" s="445"/>
      <c r="K38" s="486"/>
      <c r="L38" s="467"/>
      <c r="M38" s="467"/>
      <c r="N38" s="467"/>
      <c r="O38" s="487"/>
      <c r="P38" s="486"/>
      <c r="Q38" s="467"/>
      <c r="R38" s="467"/>
      <c r="S38" s="467"/>
      <c r="T38" s="487"/>
      <c r="U38" s="486"/>
      <c r="V38" s="467"/>
      <c r="W38" s="467"/>
      <c r="X38" s="467"/>
      <c r="Y38" s="487"/>
      <c r="Z38" s="486"/>
      <c r="AA38" s="467"/>
      <c r="AB38" s="467"/>
      <c r="AC38" s="467"/>
      <c r="AD38" s="487"/>
      <c r="AE38" s="486"/>
      <c r="AF38" s="467"/>
      <c r="AG38" s="467"/>
      <c r="AH38" s="467"/>
      <c r="AI38" s="487"/>
      <c r="AJ38" s="486"/>
      <c r="AK38" s="467"/>
      <c r="AL38" s="467"/>
      <c r="AM38" s="467"/>
      <c r="AN38" s="487"/>
      <c r="AO38" s="486"/>
      <c r="AP38" s="467"/>
      <c r="AQ38" s="467"/>
      <c r="AR38" s="467"/>
      <c r="AS38" s="487"/>
    </row>
    <row r="39" spans="1:45" hidden="1" outlineLevel="1" x14ac:dyDescent="0.2">
      <c r="A39" s="478"/>
      <c r="B39" s="245"/>
      <c r="C39" s="270" t="s">
        <v>432</v>
      </c>
      <c r="D39" s="245"/>
      <c r="E39" s="500"/>
      <c r="F39" s="493"/>
      <c r="G39" s="467"/>
      <c r="H39" s="271"/>
      <c r="I39" s="271"/>
      <c r="J39" s="445"/>
      <c r="K39" s="486"/>
      <c r="L39" s="467"/>
      <c r="M39" s="467"/>
      <c r="N39" s="467"/>
      <c r="O39" s="487"/>
      <c r="P39" s="486"/>
      <c r="Q39" s="467"/>
      <c r="R39" s="467"/>
      <c r="S39" s="467"/>
      <c r="T39" s="487"/>
      <c r="U39" s="486"/>
      <c r="V39" s="467"/>
      <c r="W39" s="467"/>
      <c r="X39" s="467"/>
      <c r="Y39" s="487"/>
      <c r="Z39" s="486"/>
      <c r="AA39" s="467"/>
      <c r="AB39" s="467"/>
      <c r="AC39" s="467"/>
      <c r="AD39" s="487"/>
      <c r="AE39" s="486"/>
      <c r="AF39" s="467"/>
      <c r="AG39" s="467"/>
      <c r="AH39" s="467"/>
      <c r="AI39" s="487"/>
      <c r="AJ39" s="486"/>
      <c r="AK39" s="467"/>
      <c r="AL39" s="467"/>
      <c r="AM39" s="467"/>
      <c r="AN39" s="487"/>
      <c r="AO39" s="486"/>
      <c r="AP39" s="467"/>
      <c r="AQ39" s="467"/>
      <c r="AR39" s="467"/>
      <c r="AS39" s="487"/>
    </row>
    <row r="40" spans="1:45" ht="16" hidden="1" outlineLevel="1" thickBot="1" x14ac:dyDescent="0.25">
      <c r="A40" s="505"/>
      <c r="B40" s="506"/>
      <c r="C40" s="507" t="s">
        <v>433</v>
      </c>
      <c r="D40" s="506"/>
      <c r="E40" s="508"/>
      <c r="F40" s="513"/>
      <c r="G40" s="510"/>
      <c r="H40" s="514"/>
      <c r="I40" s="514"/>
      <c r="J40" s="516"/>
      <c r="K40" s="497"/>
      <c r="L40" s="485"/>
      <c r="M40" s="485"/>
      <c r="N40" s="485"/>
      <c r="O40" s="488"/>
      <c r="P40" s="512"/>
      <c r="Q40" s="510"/>
      <c r="R40" s="510"/>
      <c r="S40" s="510"/>
      <c r="T40" s="511"/>
      <c r="U40" s="512"/>
      <c r="V40" s="510"/>
      <c r="W40" s="510"/>
      <c r="X40" s="510"/>
      <c r="Y40" s="511"/>
      <c r="Z40" s="512"/>
      <c r="AA40" s="510"/>
      <c r="AB40" s="510"/>
      <c r="AC40" s="510"/>
      <c r="AD40" s="511"/>
      <c r="AE40" s="512"/>
      <c r="AF40" s="510"/>
      <c r="AG40" s="510"/>
      <c r="AH40" s="510"/>
      <c r="AI40" s="511"/>
      <c r="AJ40" s="512"/>
      <c r="AK40" s="510"/>
      <c r="AL40" s="510"/>
      <c r="AM40" s="510"/>
      <c r="AN40" s="511"/>
      <c r="AO40" s="512"/>
      <c r="AP40" s="510"/>
      <c r="AQ40" s="510"/>
      <c r="AR40" s="510"/>
      <c r="AS40" s="511"/>
    </row>
    <row r="41" spans="1:45" ht="16" collapsed="1" thickBot="1" x14ac:dyDescent="0.25">
      <c r="A41" s="475">
        <v>5</v>
      </c>
      <c r="B41" s="476" t="s">
        <v>46</v>
      </c>
      <c r="C41" s="476" t="s">
        <v>272</v>
      </c>
      <c r="D41" s="477" t="s">
        <v>466</v>
      </c>
      <c r="E41" s="499"/>
      <c r="F41" s="490">
        <f>+SUM(F42:F50)</f>
        <v>0</v>
      </c>
      <c r="G41" s="483">
        <f t="shared" ref="G41:H41" si="74">+SUM(G42:G50)</f>
        <v>0</v>
      </c>
      <c r="H41" s="483">
        <f t="shared" si="74"/>
        <v>1</v>
      </c>
      <c r="I41" s="483">
        <f t="shared" ref="I41" si="75">+SUM(I42:I50)</f>
        <v>0</v>
      </c>
      <c r="J41" s="484">
        <f t="shared" ref="J41" si="76">+SUM(J42:J50)</f>
        <v>0</v>
      </c>
      <c r="K41" s="482">
        <f t="shared" ref="K41:Y41" si="77">+SUM(K42:K50)</f>
        <v>0</v>
      </c>
      <c r="L41" s="483">
        <f t="shared" si="77"/>
        <v>0</v>
      </c>
      <c r="M41" s="483">
        <f t="shared" si="77"/>
        <v>0</v>
      </c>
      <c r="N41" s="483">
        <f t="shared" si="77"/>
        <v>0</v>
      </c>
      <c r="O41" s="484">
        <f t="shared" si="77"/>
        <v>0</v>
      </c>
      <c r="P41" s="482">
        <f t="shared" si="77"/>
        <v>0</v>
      </c>
      <c r="Q41" s="483">
        <f>+SUM(Q42:Q50)</f>
        <v>1</v>
      </c>
      <c r="R41" s="483">
        <f>+SUM(R42:R50)</f>
        <v>2</v>
      </c>
      <c r="S41" s="483">
        <f>+SUM(S42:S50)</f>
        <v>5.5</v>
      </c>
      <c r="T41" s="484">
        <f>+SUM(T42:T50)</f>
        <v>0.6</v>
      </c>
      <c r="U41" s="482">
        <f t="shared" si="77"/>
        <v>0</v>
      </c>
      <c r="V41" s="483">
        <f t="shared" si="77"/>
        <v>0</v>
      </c>
      <c r="W41" s="483">
        <f t="shared" si="77"/>
        <v>0</v>
      </c>
      <c r="X41" s="483">
        <f t="shared" si="77"/>
        <v>0</v>
      </c>
      <c r="Y41" s="484">
        <f t="shared" si="77"/>
        <v>0</v>
      </c>
      <c r="Z41" s="482">
        <f t="shared" ref="Z41:AN41" si="78">+SUM(Z42:Z50)</f>
        <v>0</v>
      </c>
      <c r="AA41" s="483">
        <f t="shared" si="78"/>
        <v>0</v>
      </c>
      <c r="AB41" s="483">
        <f t="shared" si="78"/>
        <v>0</v>
      </c>
      <c r="AC41" s="483">
        <f t="shared" si="78"/>
        <v>0</v>
      </c>
      <c r="AD41" s="484">
        <f t="shared" si="78"/>
        <v>0</v>
      </c>
      <c r="AE41" s="482">
        <f t="shared" si="78"/>
        <v>0</v>
      </c>
      <c r="AF41" s="483">
        <f t="shared" si="78"/>
        <v>0</v>
      </c>
      <c r="AG41" s="483">
        <f t="shared" si="78"/>
        <v>0</v>
      </c>
      <c r="AH41" s="483">
        <f t="shared" si="78"/>
        <v>0</v>
      </c>
      <c r="AI41" s="484">
        <f t="shared" si="78"/>
        <v>0</v>
      </c>
      <c r="AJ41" s="482">
        <f t="shared" si="78"/>
        <v>0</v>
      </c>
      <c r="AK41" s="483">
        <f t="shared" si="78"/>
        <v>0</v>
      </c>
      <c r="AL41" s="483">
        <f t="shared" si="78"/>
        <v>0</v>
      </c>
      <c r="AM41" s="483">
        <f t="shared" si="78"/>
        <v>0</v>
      </c>
      <c r="AN41" s="484">
        <f t="shared" si="78"/>
        <v>0</v>
      </c>
      <c r="AO41" s="482">
        <f t="shared" ref="AO41:AS41" si="79">+SUM(AO42:AO50)</f>
        <v>0</v>
      </c>
      <c r="AP41" s="483">
        <f t="shared" si="79"/>
        <v>0</v>
      </c>
      <c r="AQ41" s="483">
        <f t="shared" si="79"/>
        <v>0</v>
      </c>
      <c r="AR41" s="483">
        <f t="shared" si="79"/>
        <v>0</v>
      </c>
      <c r="AS41" s="484">
        <f t="shared" si="79"/>
        <v>0</v>
      </c>
    </row>
    <row r="42" spans="1:45" hidden="1" outlineLevel="1" x14ac:dyDescent="0.2">
      <c r="A42" s="478"/>
      <c r="B42" s="245"/>
      <c r="C42" s="270" t="s">
        <v>423</v>
      </c>
      <c r="D42" s="245"/>
      <c r="E42" s="500"/>
      <c r="F42" s="493"/>
      <c r="G42" s="271"/>
      <c r="H42" s="474">
        <v>1</v>
      </c>
      <c r="I42" s="271"/>
      <c r="J42" s="287"/>
      <c r="K42" s="486"/>
      <c r="L42" s="467"/>
      <c r="M42" s="467"/>
      <c r="N42" s="467"/>
      <c r="O42" s="487"/>
      <c r="P42" s="486"/>
      <c r="Q42" s="467"/>
      <c r="R42" s="467"/>
      <c r="S42" s="467"/>
      <c r="T42" s="487"/>
      <c r="U42" s="486"/>
      <c r="V42" s="467"/>
      <c r="W42" s="467"/>
      <c r="X42" s="467"/>
      <c r="Y42" s="487"/>
      <c r="Z42" s="486"/>
      <c r="AA42" s="467"/>
      <c r="AB42" s="467"/>
      <c r="AC42" s="467"/>
      <c r="AD42" s="487"/>
      <c r="AE42" s="486"/>
      <c r="AF42" s="467"/>
      <c r="AG42" s="467"/>
      <c r="AH42" s="467"/>
      <c r="AI42" s="487"/>
      <c r="AJ42" s="486"/>
      <c r="AK42" s="467"/>
      <c r="AL42" s="467"/>
      <c r="AM42" s="467"/>
      <c r="AN42" s="487"/>
      <c r="AO42" s="486"/>
      <c r="AP42" s="467"/>
      <c r="AQ42" s="467"/>
      <c r="AR42" s="467"/>
      <c r="AS42" s="487"/>
    </row>
    <row r="43" spans="1:45" hidden="1" outlineLevel="1" x14ac:dyDescent="0.2">
      <c r="A43" s="478"/>
      <c r="B43" s="245"/>
      <c r="C43" s="270" t="s">
        <v>425</v>
      </c>
      <c r="D43" s="245"/>
      <c r="E43" s="500"/>
      <c r="F43" s="493"/>
      <c r="G43" s="271"/>
      <c r="H43" s="271"/>
      <c r="I43" s="271"/>
      <c r="J43" s="287"/>
      <c r="K43" s="486"/>
      <c r="L43" s="467"/>
      <c r="M43" s="467"/>
      <c r="N43" s="467"/>
      <c r="O43" s="487"/>
      <c r="P43" s="486"/>
      <c r="Q43" s="467">
        <v>1</v>
      </c>
      <c r="R43" s="467"/>
      <c r="S43" s="467"/>
      <c r="T43" s="487"/>
      <c r="U43" s="486"/>
      <c r="V43" s="467"/>
      <c r="W43" s="467"/>
      <c r="X43" s="467"/>
      <c r="Y43" s="487"/>
      <c r="Z43" s="486"/>
      <c r="AA43" s="467"/>
      <c r="AB43" s="467"/>
      <c r="AC43" s="467"/>
      <c r="AD43" s="487"/>
      <c r="AE43" s="486"/>
      <c r="AF43" s="467"/>
      <c r="AG43" s="467"/>
      <c r="AH43" s="467"/>
      <c r="AI43" s="487"/>
      <c r="AJ43" s="486"/>
      <c r="AK43" s="467"/>
      <c r="AL43" s="467"/>
      <c r="AM43" s="467"/>
      <c r="AN43" s="487"/>
      <c r="AO43" s="486"/>
      <c r="AP43" s="467"/>
      <c r="AQ43" s="467"/>
      <c r="AR43" s="467"/>
      <c r="AS43" s="487"/>
    </row>
    <row r="44" spans="1:45" hidden="1" outlineLevel="1" x14ac:dyDescent="0.2">
      <c r="A44" s="478"/>
      <c r="B44" s="245"/>
      <c r="C44" s="270" t="s">
        <v>427</v>
      </c>
      <c r="D44" s="245"/>
      <c r="E44" s="500"/>
      <c r="F44" s="493"/>
      <c r="G44" s="271"/>
      <c r="H44" s="271"/>
      <c r="I44" s="271"/>
      <c r="J44" s="287"/>
      <c r="K44" s="486"/>
      <c r="L44" s="467"/>
      <c r="M44" s="467"/>
      <c r="N44" s="467"/>
      <c r="O44" s="487"/>
      <c r="P44" s="486"/>
      <c r="Q44" s="467"/>
      <c r="R44" s="467">
        <v>2</v>
      </c>
      <c r="S44" s="467"/>
      <c r="T44" s="487"/>
      <c r="U44" s="486"/>
      <c r="V44" s="467"/>
      <c r="W44" s="467"/>
      <c r="X44" s="467"/>
      <c r="Y44" s="487"/>
      <c r="Z44" s="486"/>
      <c r="AA44" s="467"/>
      <c r="AB44" s="467"/>
      <c r="AC44" s="467"/>
      <c r="AD44" s="487"/>
      <c r="AE44" s="486"/>
      <c r="AF44" s="467"/>
      <c r="AG44" s="467"/>
      <c r="AH44" s="467"/>
      <c r="AI44" s="487"/>
      <c r="AJ44" s="486"/>
      <c r="AK44" s="467"/>
      <c r="AL44" s="467"/>
      <c r="AM44" s="467"/>
      <c r="AN44" s="487"/>
      <c r="AO44" s="486"/>
      <c r="AP44" s="467"/>
      <c r="AQ44" s="467"/>
      <c r="AR44" s="467"/>
      <c r="AS44" s="487"/>
    </row>
    <row r="45" spans="1:45" hidden="1" outlineLevel="1" x14ac:dyDescent="0.2">
      <c r="A45" s="478"/>
      <c r="B45" s="245"/>
      <c r="C45" s="270" t="s">
        <v>429</v>
      </c>
      <c r="D45" s="245"/>
      <c r="E45" s="500"/>
      <c r="F45" s="493"/>
      <c r="G45" s="271"/>
      <c r="H45" s="271"/>
      <c r="I45" s="271"/>
      <c r="J45" s="287"/>
      <c r="K45" s="486"/>
      <c r="L45" s="467"/>
      <c r="M45" s="467"/>
      <c r="N45" s="467"/>
      <c r="O45" s="487"/>
      <c r="P45" s="486"/>
      <c r="Q45" s="467"/>
      <c r="R45" s="467"/>
      <c r="S45" s="467">
        <v>0.5</v>
      </c>
      <c r="T45" s="487"/>
      <c r="U45" s="486"/>
      <c r="V45" s="467"/>
      <c r="W45" s="467"/>
      <c r="X45" s="467"/>
      <c r="Y45" s="487"/>
      <c r="Z45" s="486"/>
      <c r="AA45" s="467"/>
      <c r="AB45" s="467"/>
      <c r="AC45" s="467"/>
      <c r="AD45" s="487"/>
      <c r="AE45" s="486"/>
      <c r="AF45" s="467"/>
      <c r="AG45" s="467"/>
      <c r="AH45" s="467"/>
      <c r="AI45" s="487"/>
      <c r="AJ45" s="486"/>
      <c r="AK45" s="467"/>
      <c r="AL45" s="467"/>
      <c r="AM45" s="467"/>
      <c r="AN45" s="487"/>
      <c r="AO45" s="486"/>
      <c r="AP45" s="467"/>
      <c r="AQ45" s="467"/>
      <c r="AR45" s="467"/>
      <c r="AS45" s="487"/>
    </row>
    <row r="46" spans="1:45" hidden="1" outlineLevel="1" x14ac:dyDescent="0.2">
      <c r="A46" s="478"/>
      <c r="B46" s="245"/>
      <c r="C46" s="270" t="s">
        <v>431</v>
      </c>
      <c r="D46" s="245"/>
      <c r="E46" s="500"/>
      <c r="F46" s="493"/>
      <c r="G46" s="271"/>
      <c r="H46" s="271"/>
      <c r="I46" s="271"/>
      <c r="J46" s="287"/>
      <c r="K46" s="486"/>
      <c r="L46" s="467"/>
      <c r="M46" s="467"/>
      <c r="N46" s="467"/>
      <c r="O46" s="487"/>
      <c r="P46" s="486"/>
      <c r="Q46" s="467"/>
      <c r="R46" s="467"/>
      <c r="S46" s="467">
        <v>5</v>
      </c>
      <c r="T46" s="487"/>
      <c r="U46" s="486"/>
      <c r="V46" s="467"/>
      <c r="W46" s="467"/>
      <c r="X46" s="467"/>
      <c r="Y46" s="487"/>
      <c r="Z46" s="486"/>
      <c r="AA46" s="467"/>
      <c r="AB46" s="467"/>
      <c r="AC46" s="467"/>
      <c r="AD46" s="487"/>
      <c r="AE46" s="486"/>
      <c r="AF46" s="467"/>
      <c r="AG46" s="467"/>
      <c r="AH46" s="467"/>
      <c r="AI46" s="487"/>
      <c r="AJ46" s="486"/>
      <c r="AK46" s="467"/>
      <c r="AL46" s="467"/>
      <c r="AM46" s="467"/>
      <c r="AN46" s="487"/>
      <c r="AO46" s="486"/>
      <c r="AP46" s="467"/>
      <c r="AQ46" s="467"/>
      <c r="AR46" s="467"/>
      <c r="AS46" s="487"/>
    </row>
    <row r="47" spans="1:45" hidden="1" outlineLevel="1" x14ac:dyDescent="0.2">
      <c r="A47" s="505"/>
      <c r="B47" s="506"/>
      <c r="C47" s="270"/>
      <c r="D47" s="245"/>
      <c r="E47" s="508"/>
      <c r="F47" s="513"/>
      <c r="G47" s="514"/>
      <c r="H47" s="514"/>
      <c r="I47" s="514"/>
      <c r="J47" s="518"/>
      <c r="K47" s="512"/>
      <c r="L47" s="510"/>
      <c r="M47" s="510"/>
      <c r="N47" s="510"/>
      <c r="O47" s="511"/>
      <c r="P47" s="512"/>
      <c r="Q47" s="510"/>
      <c r="R47" s="510"/>
      <c r="S47" s="510"/>
      <c r="T47" s="511"/>
      <c r="U47" s="512"/>
      <c r="V47" s="510"/>
      <c r="W47" s="510"/>
      <c r="X47" s="510"/>
      <c r="Y47" s="511"/>
      <c r="Z47" s="512"/>
      <c r="AA47" s="510"/>
      <c r="AB47" s="510"/>
      <c r="AC47" s="510"/>
      <c r="AD47" s="511"/>
      <c r="AE47" s="512"/>
      <c r="AF47" s="510"/>
      <c r="AG47" s="510"/>
      <c r="AH47" s="510"/>
      <c r="AI47" s="511"/>
      <c r="AJ47" s="512"/>
      <c r="AK47" s="510"/>
      <c r="AL47" s="510"/>
      <c r="AM47" s="510"/>
      <c r="AN47" s="511"/>
      <c r="AO47" s="512"/>
      <c r="AP47" s="510"/>
      <c r="AQ47" s="510"/>
      <c r="AR47" s="510"/>
      <c r="AS47" s="511"/>
    </row>
    <row r="48" spans="1:45" hidden="1" outlineLevel="1" x14ac:dyDescent="0.2">
      <c r="A48" s="505"/>
      <c r="B48" s="506"/>
      <c r="C48" s="270"/>
      <c r="D48" s="245"/>
      <c r="E48" s="508"/>
      <c r="F48" s="513"/>
      <c r="G48" s="514"/>
      <c r="H48" s="514"/>
      <c r="I48" s="514"/>
      <c r="J48" s="518"/>
      <c r="K48" s="512"/>
      <c r="L48" s="510"/>
      <c r="M48" s="510"/>
      <c r="N48" s="510"/>
      <c r="O48" s="511"/>
      <c r="P48" s="512"/>
      <c r="Q48" s="510"/>
      <c r="R48" s="510"/>
      <c r="S48" s="510"/>
      <c r="T48" s="511"/>
      <c r="U48" s="512"/>
      <c r="V48" s="510"/>
      <c r="W48" s="510"/>
      <c r="X48" s="510"/>
      <c r="Y48" s="511"/>
      <c r="Z48" s="512"/>
      <c r="AA48" s="510"/>
      <c r="AB48" s="510"/>
      <c r="AC48" s="510"/>
      <c r="AD48" s="511"/>
      <c r="AE48" s="512"/>
      <c r="AF48" s="510"/>
      <c r="AG48" s="510"/>
      <c r="AH48" s="510"/>
      <c r="AI48" s="511"/>
      <c r="AJ48" s="512"/>
      <c r="AK48" s="510"/>
      <c r="AL48" s="510"/>
      <c r="AM48" s="510"/>
      <c r="AN48" s="511"/>
      <c r="AO48" s="512"/>
      <c r="AP48" s="510"/>
      <c r="AQ48" s="510"/>
      <c r="AR48" s="510"/>
      <c r="AS48" s="511"/>
    </row>
    <row r="49" spans="1:45" hidden="1" outlineLevel="1" x14ac:dyDescent="0.2">
      <c r="A49" s="505"/>
      <c r="B49" s="506"/>
      <c r="C49" s="270" t="s">
        <v>432</v>
      </c>
      <c r="D49" s="245"/>
      <c r="E49" s="508"/>
      <c r="F49" s="513"/>
      <c r="G49" s="514"/>
      <c r="H49" s="514"/>
      <c r="I49" s="514"/>
      <c r="J49" s="518"/>
      <c r="K49" s="512"/>
      <c r="L49" s="510"/>
      <c r="M49" s="510"/>
      <c r="N49" s="510"/>
      <c r="O49" s="511"/>
      <c r="P49" s="512"/>
      <c r="Q49" s="510"/>
      <c r="R49" s="510"/>
      <c r="S49" s="510"/>
      <c r="T49" s="511">
        <v>0.5</v>
      </c>
      <c r="U49" s="512"/>
      <c r="V49" s="510"/>
      <c r="W49" s="510"/>
      <c r="X49" s="510"/>
      <c r="Y49" s="511"/>
      <c r="Z49" s="512"/>
      <c r="AA49" s="510"/>
      <c r="AB49" s="510"/>
      <c r="AC49" s="510"/>
      <c r="AD49" s="511"/>
      <c r="AE49" s="512"/>
      <c r="AF49" s="510"/>
      <c r="AG49" s="510"/>
      <c r="AH49" s="510"/>
      <c r="AI49" s="511"/>
      <c r="AJ49" s="512"/>
      <c r="AK49" s="510"/>
      <c r="AL49" s="510"/>
      <c r="AM49" s="510"/>
      <c r="AN49" s="511"/>
      <c r="AO49" s="512"/>
      <c r="AP49" s="510"/>
      <c r="AQ49" s="510"/>
      <c r="AR49" s="510"/>
      <c r="AS49" s="511"/>
    </row>
    <row r="50" spans="1:45" ht="16" hidden="1" outlineLevel="1" thickBot="1" x14ac:dyDescent="0.25">
      <c r="A50" s="479"/>
      <c r="B50" s="468"/>
      <c r="C50" s="270" t="s">
        <v>433</v>
      </c>
      <c r="D50" s="468"/>
      <c r="E50" s="469"/>
      <c r="F50" s="494"/>
      <c r="G50" s="468"/>
      <c r="H50" s="468"/>
      <c r="I50" s="468"/>
      <c r="J50" s="469"/>
      <c r="K50" s="497"/>
      <c r="L50" s="485"/>
      <c r="M50" s="485"/>
      <c r="N50" s="485"/>
      <c r="O50" s="488"/>
      <c r="P50" s="497"/>
      <c r="Q50" s="485"/>
      <c r="R50" s="485"/>
      <c r="S50" s="485"/>
      <c r="T50" s="488">
        <v>0.1</v>
      </c>
      <c r="U50" s="497"/>
      <c r="V50" s="485"/>
      <c r="W50" s="485"/>
      <c r="X50" s="485"/>
      <c r="Y50" s="488"/>
      <c r="Z50" s="497"/>
      <c r="AA50" s="485"/>
      <c r="AB50" s="485"/>
      <c r="AC50" s="485"/>
      <c r="AD50" s="488"/>
      <c r="AE50" s="497"/>
      <c r="AF50" s="485"/>
      <c r="AG50" s="485"/>
      <c r="AH50" s="485"/>
      <c r="AI50" s="488"/>
      <c r="AJ50" s="497"/>
      <c r="AK50" s="485"/>
      <c r="AL50" s="485"/>
      <c r="AM50" s="485"/>
      <c r="AN50" s="488"/>
      <c r="AO50" s="497"/>
      <c r="AP50" s="485"/>
      <c r="AQ50" s="485"/>
      <c r="AR50" s="485"/>
      <c r="AS50" s="488"/>
    </row>
    <row r="51" spans="1:45" ht="16" collapsed="1" thickBot="1" x14ac:dyDescent="0.25">
      <c r="A51" s="475">
        <v>6</v>
      </c>
      <c r="B51" s="476" t="s">
        <v>46</v>
      </c>
      <c r="C51" s="476"/>
      <c r="D51" s="477" t="s">
        <v>467</v>
      </c>
      <c r="E51" s="499"/>
      <c r="F51" s="490">
        <f t="shared" ref="F51:Y51" si="80">+SUM(F52:F58)</f>
        <v>0</v>
      </c>
      <c r="G51" s="483">
        <f t="shared" si="80"/>
        <v>1</v>
      </c>
      <c r="H51" s="483">
        <f t="shared" si="80"/>
        <v>1</v>
      </c>
      <c r="I51" s="483">
        <f t="shared" si="80"/>
        <v>0</v>
      </c>
      <c r="J51" s="484">
        <f t="shared" si="80"/>
        <v>0</v>
      </c>
      <c r="K51" s="482">
        <f t="shared" si="80"/>
        <v>0</v>
      </c>
      <c r="L51" s="483">
        <f t="shared" si="80"/>
        <v>0</v>
      </c>
      <c r="M51" s="483">
        <f t="shared" si="80"/>
        <v>0</v>
      </c>
      <c r="N51" s="483">
        <f t="shared" si="80"/>
        <v>0</v>
      </c>
      <c r="O51" s="484">
        <f t="shared" si="80"/>
        <v>0</v>
      </c>
      <c r="P51" s="482">
        <f t="shared" si="80"/>
        <v>0</v>
      </c>
      <c r="Q51" s="483">
        <f t="shared" si="80"/>
        <v>1</v>
      </c>
      <c r="R51" s="483">
        <f t="shared" si="80"/>
        <v>2</v>
      </c>
      <c r="S51" s="483">
        <f t="shared" si="80"/>
        <v>5.5</v>
      </c>
      <c r="T51" s="484">
        <f t="shared" si="80"/>
        <v>0.6</v>
      </c>
      <c r="U51" s="482">
        <f t="shared" si="80"/>
        <v>0</v>
      </c>
      <c r="V51" s="483">
        <f t="shared" si="80"/>
        <v>0</v>
      </c>
      <c r="W51" s="483">
        <f t="shared" si="80"/>
        <v>0</v>
      </c>
      <c r="X51" s="483">
        <f>+SUM(X52:X58)</f>
        <v>0</v>
      </c>
      <c r="Y51" s="484">
        <f t="shared" si="80"/>
        <v>0</v>
      </c>
      <c r="Z51" s="482">
        <f t="shared" ref="Z51:AB51" si="81">+SUM(Z52:Z58)</f>
        <v>0</v>
      </c>
      <c r="AA51" s="483">
        <f t="shared" si="81"/>
        <v>0</v>
      </c>
      <c r="AB51" s="483">
        <f t="shared" si="81"/>
        <v>0</v>
      </c>
      <c r="AC51" s="483">
        <f>+SUM(AC52:AC58)</f>
        <v>0</v>
      </c>
      <c r="AD51" s="484">
        <f t="shared" ref="AD51:AG51" si="82">+SUM(AD52:AD58)</f>
        <v>0</v>
      </c>
      <c r="AE51" s="482">
        <f t="shared" si="82"/>
        <v>0</v>
      </c>
      <c r="AF51" s="483">
        <f t="shared" si="82"/>
        <v>0</v>
      </c>
      <c r="AG51" s="483">
        <f t="shared" si="82"/>
        <v>0</v>
      </c>
      <c r="AH51" s="483">
        <f>+SUM(AH52:AH58)</f>
        <v>0</v>
      </c>
      <c r="AI51" s="484">
        <f t="shared" ref="AI51:AL51" si="83">+SUM(AI52:AI58)</f>
        <v>0</v>
      </c>
      <c r="AJ51" s="482">
        <f t="shared" si="83"/>
        <v>0</v>
      </c>
      <c r="AK51" s="483">
        <f t="shared" si="83"/>
        <v>0</v>
      </c>
      <c r="AL51" s="483">
        <f t="shared" si="83"/>
        <v>0</v>
      </c>
      <c r="AM51" s="483">
        <f>+SUM(AM52:AM58)</f>
        <v>0</v>
      </c>
      <c r="AN51" s="484">
        <f t="shared" ref="AN51:AQ51" si="84">+SUM(AN52:AN58)</f>
        <v>0</v>
      </c>
      <c r="AO51" s="482">
        <f t="shared" si="84"/>
        <v>0</v>
      </c>
      <c r="AP51" s="483">
        <f t="shared" si="84"/>
        <v>0</v>
      </c>
      <c r="AQ51" s="483">
        <f t="shared" si="84"/>
        <v>0</v>
      </c>
      <c r="AR51" s="483">
        <f>+SUM(AR52:AR58)</f>
        <v>0</v>
      </c>
      <c r="AS51" s="484">
        <f t="shared" ref="AS51" si="85">+SUM(AS52:AS58)</f>
        <v>0</v>
      </c>
    </row>
    <row r="52" spans="1:45" hidden="1" outlineLevel="1" x14ac:dyDescent="0.2">
      <c r="A52" s="478"/>
      <c r="B52" s="245"/>
      <c r="C52" s="270" t="s">
        <v>423</v>
      </c>
      <c r="D52" s="245" t="s">
        <v>468</v>
      </c>
      <c r="E52" s="461"/>
      <c r="F52" s="493"/>
      <c r="G52" s="474">
        <v>1</v>
      </c>
      <c r="H52" s="474">
        <v>1</v>
      </c>
      <c r="I52" s="271"/>
      <c r="J52" s="287"/>
      <c r="K52" s="486"/>
      <c r="L52" s="467"/>
      <c r="M52" s="467"/>
      <c r="N52" s="467"/>
      <c r="O52" s="487"/>
      <c r="P52" s="486"/>
      <c r="Q52" s="467"/>
      <c r="R52" s="467"/>
      <c r="S52" s="467"/>
      <c r="T52" s="487"/>
      <c r="U52" s="486"/>
      <c r="V52" s="467"/>
      <c r="W52" s="467"/>
      <c r="X52" s="467"/>
      <c r="Y52" s="487"/>
      <c r="Z52" s="486"/>
      <c r="AA52" s="467"/>
      <c r="AB52" s="467"/>
      <c r="AC52" s="467"/>
      <c r="AD52" s="487"/>
      <c r="AE52" s="486"/>
      <c r="AF52" s="467"/>
      <c r="AG52" s="467"/>
      <c r="AH52" s="467"/>
      <c r="AI52" s="487"/>
      <c r="AJ52" s="486"/>
      <c r="AK52" s="467"/>
      <c r="AL52" s="467"/>
      <c r="AM52" s="467"/>
      <c r="AN52" s="487"/>
      <c r="AO52" s="486"/>
      <c r="AP52" s="467"/>
      <c r="AQ52" s="467"/>
      <c r="AR52" s="467"/>
      <c r="AS52" s="487"/>
    </row>
    <row r="53" spans="1:45" hidden="1" outlineLevel="1" x14ac:dyDescent="0.2">
      <c r="A53" s="478"/>
      <c r="B53" s="245"/>
      <c r="C53" s="270" t="s">
        <v>425</v>
      </c>
      <c r="D53" s="519" t="s">
        <v>446</v>
      </c>
      <c r="E53" s="500"/>
      <c r="F53" s="493"/>
      <c r="G53" s="271"/>
      <c r="H53" s="271"/>
      <c r="I53" s="271"/>
      <c r="J53" s="287"/>
      <c r="K53" s="486"/>
      <c r="L53" s="467"/>
      <c r="M53" s="467"/>
      <c r="N53" s="467"/>
      <c r="O53" s="487"/>
      <c r="P53" s="486"/>
      <c r="Q53" s="467">
        <v>1</v>
      </c>
      <c r="R53" s="467"/>
      <c r="S53" s="467"/>
      <c r="T53" s="487"/>
      <c r="U53" s="486"/>
      <c r="V53" s="467"/>
      <c r="W53" s="467"/>
      <c r="X53" s="487"/>
      <c r="Z53" s="486"/>
      <c r="AA53" s="467"/>
      <c r="AB53" s="467"/>
      <c r="AC53" s="487"/>
      <c r="AE53" s="486"/>
      <c r="AF53" s="467"/>
      <c r="AG53" s="467"/>
      <c r="AH53" s="487"/>
      <c r="AJ53" s="486"/>
      <c r="AK53" s="467"/>
      <c r="AL53" s="467"/>
      <c r="AM53" s="487"/>
      <c r="AO53" s="486"/>
      <c r="AP53" s="467"/>
      <c r="AQ53" s="467"/>
      <c r="AR53" s="487"/>
    </row>
    <row r="54" spans="1:45" hidden="1" outlineLevel="1" x14ac:dyDescent="0.2">
      <c r="A54" s="478"/>
      <c r="B54" s="245"/>
      <c r="C54" s="270" t="s">
        <v>427</v>
      </c>
      <c r="D54" s="519" t="s">
        <v>447</v>
      </c>
      <c r="E54" s="500"/>
      <c r="F54" s="493"/>
      <c r="G54" s="271"/>
      <c r="H54" s="271"/>
      <c r="I54" s="271"/>
      <c r="J54" s="287"/>
      <c r="K54" s="486"/>
      <c r="L54" s="467"/>
      <c r="M54" s="467"/>
      <c r="N54" s="467"/>
      <c r="O54" s="487"/>
      <c r="P54" s="486"/>
      <c r="Q54" s="467"/>
      <c r="R54" s="467">
        <v>2</v>
      </c>
      <c r="S54" s="467"/>
      <c r="T54" s="487"/>
      <c r="U54" s="486"/>
      <c r="V54" s="467"/>
      <c r="W54" s="467"/>
      <c r="X54" s="487"/>
      <c r="Z54" s="486"/>
      <c r="AA54" s="467"/>
      <c r="AB54" s="467"/>
      <c r="AC54" s="487"/>
      <c r="AE54" s="486"/>
      <c r="AF54" s="467"/>
      <c r="AG54" s="467"/>
      <c r="AH54" s="487"/>
      <c r="AJ54" s="486"/>
      <c r="AK54" s="467"/>
      <c r="AL54" s="467"/>
      <c r="AM54" s="487"/>
      <c r="AO54" s="486"/>
      <c r="AP54" s="467"/>
      <c r="AQ54" s="467"/>
      <c r="AR54" s="487"/>
    </row>
    <row r="55" spans="1:45" hidden="1" outlineLevel="1" x14ac:dyDescent="0.2">
      <c r="A55" s="478"/>
      <c r="B55" s="245"/>
      <c r="C55" s="270" t="s">
        <v>429</v>
      </c>
      <c r="D55" s="519" t="s">
        <v>469</v>
      </c>
      <c r="E55" s="500"/>
      <c r="F55" s="493"/>
      <c r="G55" s="271"/>
      <c r="H55" s="271"/>
      <c r="I55" s="271"/>
      <c r="J55" s="287"/>
      <c r="K55" s="486"/>
      <c r="L55" s="467"/>
      <c r="M55" s="467"/>
      <c r="N55" s="467"/>
      <c r="O55" s="487"/>
      <c r="P55" s="486"/>
      <c r="Q55" s="467"/>
      <c r="R55" s="467"/>
      <c r="S55" s="467">
        <v>0.5</v>
      </c>
      <c r="T55" s="487"/>
      <c r="U55" s="486"/>
      <c r="V55" s="467"/>
      <c r="W55" s="467"/>
      <c r="X55" s="487"/>
      <c r="Z55" s="486"/>
      <c r="AA55" s="467"/>
      <c r="AB55" s="467"/>
      <c r="AC55" s="487"/>
      <c r="AE55" s="486"/>
      <c r="AF55" s="467"/>
      <c r="AG55" s="467"/>
      <c r="AH55" s="487"/>
      <c r="AJ55" s="486"/>
      <c r="AK55" s="467"/>
      <c r="AL55" s="467"/>
      <c r="AM55" s="487"/>
      <c r="AO55" s="486"/>
      <c r="AP55" s="467"/>
      <c r="AQ55" s="467"/>
      <c r="AR55" s="487"/>
    </row>
    <row r="56" spans="1:45" hidden="1" outlineLevel="1" x14ac:dyDescent="0.2">
      <c r="A56" s="478"/>
      <c r="B56" s="245"/>
      <c r="C56" s="270" t="s">
        <v>431</v>
      </c>
      <c r="D56" s="519" t="s">
        <v>448</v>
      </c>
      <c r="E56" s="500"/>
      <c r="F56" s="493"/>
      <c r="G56" s="271"/>
      <c r="H56" s="271"/>
      <c r="I56" s="271"/>
      <c r="J56" s="287"/>
      <c r="K56" s="486"/>
      <c r="L56" s="467"/>
      <c r="M56" s="467"/>
      <c r="N56" s="467"/>
      <c r="O56" s="487"/>
      <c r="P56" s="486"/>
      <c r="Q56" s="467"/>
      <c r="R56" s="467"/>
      <c r="S56" s="467">
        <v>5</v>
      </c>
      <c r="T56" s="487"/>
      <c r="U56" s="486"/>
      <c r="V56" s="467"/>
      <c r="W56" s="467"/>
      <c r="X56" s="487"/>
      <c r="Z56" s="486"/>
      <c r="AA56" s="467"/>
      <c r="AB56" s="467"/>
      <c r="AC56" s="487"/>
      <c r="AE56" s="486"/>
      <c r="AF56" s="467"/>
      <c r="AG56" s="467"/>
      <c r="AH56" s="487"/>
      <c r="AJ56" s="486"/>
      <c r="AK56" s="467"/>
      <c r="AL56" s="467"/>
      <c r="AM56" s="487"/>
      <c r="AO56" s="486"/>
      <c r="AP56" s="467"/>
      <c r="AQ56" s="467"/>
      <c r="AR56" s="487"/>
    </row>
    <row r="57" spans="1:45" hidden="1" outlineLevel="1" x14ac:dyDescent="0.2">
      <c r="A57" s="478"/>
      <c r="B57" s="245"/>
      <c r="C57" s="270" t="s">
        <v>432</v>
      </c>
      <c r="D57" s="519" t="s">
        <v>469</v>
      </c>
      <c r="E57" s="500"/>
      <c r="F57" s="493"/>
      <c r="G57" s="271"/>
      <c r="H57" s="271"/>
      <c r="I57" s="271"/>
      <c r="J57" s="287"/>
      <c r="K57" s="486"/>
      <c r="L57" s="467"/>
      <c r="M57" s="467"/>
      <c r="N57" s="467"/>
      <c r="O57" s="487"/>
      <c r="P57" s="512"/>
      <c r="Q57" s="510"/>
      <c r="R57" s="510"/>
      <c r="S57" s="510"/>
      <c r="T57" s="511">
        <v>0.5</v>
      </c>
      <c r="U57" s="486"/>
      <c r="V57" s="467"/>
      <c r="W57" s="467"/>
      <c r="X57" s="487"/>
      <c r="Z57" s="486"/>
      <c r="AA57" s="467"/>
      <c r="AB57" s="467"/>
      <c r="AC57" s="487"/>
      <c r="AE57" s="486"/>
      <c r="AF57" s="467"/>
      <c r="AG57" s="467"/>
      <c r="AH57" s="487"/>
      <c r="AJ57" s="486"/>
      <c r="AK57" s="467"/>
      <c r="AL57" s="467"/>
      <c r="AM57" s="487"/>
      <c r="AO57" s="486"/>
      <c r="AP57" s="467"/>
      <c r="AQ57" s="467"/>
      <c r="AR57" s="487"/>
    </row>
    <row r="58" spans="1:45" ht="16" hidden="1" outlineLevel="1" thickBot="1" x14ac:dyDescent="0.25">
      <c r="A58" s="478"/>
      <c r="B58" s="245"/>
      <c r="C58" s="270" t="s">
        <v>433</v>
      </c>
      <c r="D58" s="520" t="s">
        <v>449</v>
      </c>
      <c r="E58" s="500"/>
      <c r="F58" s="493"/>
      <c r="G58" s="271"/>
      <c r="H58" s="271"/>
      <c r="I58" s="271"/>
      <c r="J58" s="287"/>
      <c r="K58" s="486"/>
      <c r="L58" s="467"/>
      <c r="M58" s="467"/>
      <c r="N58" s="467"/>
      <c r="O58" s="487"/>
      <c r="P58" s="497"/>
      <c r="Q58" s="485"/>
      <c r="R58" s="485"/>
      <c r="S58" s="485"/>
      <c r="T58" s="488">
        <v>0.1</v>
      </c>
      <c r="U58" s="486"/>
      <c r="V58" s="467"/>
      <c r="W58" s="467"/>
      <c r="X58" s="487"/>
      <c r="Z58" s="486"/>
      <c r="AA58" s="467"/>
      <c r="AB58" s="467"/>
      <c r="AC58" s="487"/>
      <c r="AE58" s="486"/>
      <c r="AF58" s="467"/>
      <c r="AG58" s="467"/>
      <c r="AH58" s="487"/>
      <c r="AJ58" s="486"/>
      <c r="AK58" s="467"/>
      <c r="AL58" s="467"/>
      <c r="AM58" s="487"/>
      <c r="AO58" s="486"/>
      <c r="AP58" s="467"/>
      <c r="AQ58" s="467"/>
      <c r="AR58" s="487"/>
    </row>
    <row r="59" spans="1:45" ht="16" collapsed="1" thickBot="1" x14ac:dyDescent="0.25">
      <c r="A59" s="475">
        <v>7</v>
      </c>
      <c r="B59" s="476" t="s">
        <v>46</v>
      </c>
      <c r="C59" s="476"/>
      <c r="D59" s="477" t="s">
        <v>470</v>
      </c>
      <c r="E59" s="499"/>
      <c r="F59" s="490">
        <f>+SUM(F60:F63)</f>
        <v>0</v>
      </c>
      <c r="G59" s="483">
        <f t="shared" ref="G59" si="86">+SUM(G60:G63)</f>
        <v>0</v>
      </c>
      <c r="H59" s="483">
        <f t="shared" ref="H59" si="87">+SUM(H60:H63)</f>
        <v>0.5</v>
      </c>
      <c r="I59" s="483">
        <f t="shared" ref="I59" si="88">+SUM(I60:I63)</f>
        <v>0</v>
      </c>
      <c r="J59" s="484">
        <f t="shared" ref="J59" si="89">+SUM(J60:J63)</f>
        <v>0</v>
      </c>
      <c r="K59" s="482">
        <f>+SUM(K60:K63)</f>
        <v>0</v>
      </c>
      <c r="L59" s="483">
        <f t="shared" ref="L59:O59" si="90">+SUM(L60:L63)</f>
        <v>0</v>
      </c>
      <c r="M59" s="483">
        <f t="shared" si="90"/>
        <v>0</v>
      </c>
      <c r="N59" s="483">
        <f t="shared" si="90"/>
        <v>0</v>
      </c>
      <c r="O59" s="484">
        <f t="shared" si="90"/>
        <v>0</v>
      </c>
      <c r="P59" s="482">
        <f>+SUM(P60:P63)</f>
        <v>0</v>
      </c>
      <c r="Q59" s="483">
        <f t="shared" ref="Q59:T59" si="91">+SUM(Q60:Q63)</f>
        <v>0</v>
      </c>
      <c r="R59" s="483">
        <f t="shared" si="91"/>
        <v>0</v>
      </c>
      <c r="S59" s="483">
        <f t="shared" si="91"/>
        <v>0</v>
      </c>
      <c r="T59" s="484">
        <f t="shared" si="91"/>
        <v>0</v>
      </c>
      <c r="U59" s="482">
        <f>+SUM(U60:U63)</f>
        <v>0</v>
      </c>
      <c r="V59" s="483">
        <f t="shared" ref="V59:Y59" si="92">+SUM(V60:V63)</f>
        <v>0</v>
      </c>
      <c r="W59" s="483">
        <f t="shared" si="92"/>
        <v>0</v>
      </c>
      <c r="X59" s="483">
        <f t="shared" si="92"/>
        <v>0</v>
      </c>
      <c r="Y59" s="484">
        <f t="shared" si="92"/>
        <v>0</v>
      </c>
      <c r="Z59" s="482">
        <f>+SUM(Z60:Z63)</f>
        <v>0</v>
      </c>
      <c r="AA59" s="483">
        <f t="shared" ref="AA59:AD59" si="93">+SUM(AA60:AA63)</f>
        <v>0</v>
      </c>
      <c r="AB59" s="483">
        <f t="shared" si="93"/>
        <v>0</v>
      </c>
      <c r="AC59" s="483">
        <f t="shared" si="93"/>
        <v>0</v>
      </c>
      <c r="AD59" s="484">
        <f t="shared" si="93"/>
        <v>0</v>
      </c>
      <c r="AE59" s="482">
        <f>+SUM(AE60:AE63)</f>
        <v>0</v>
      </c>
      <c r="AF59" s="483">
        <f t="shared" ref="AF59:AI59" si="94">+SUM(AF60:AF63)</f>
        <v>0</v>
      </c>
      <c r="AG59" s="483">
        <f t="shared" si="94"/>
        <v>0</v>
      </c>
      <c r="AH59" s="483">
        <f t="shared" si="94"/>
        <v>0</v>
      </c>
      <c r="AI59" s="484">
        <f t="shared" si="94"/>
        <v>0</v>
      </c>
      <c r="AJ59" s="482">
        <f>+SUM(AJ60:AJ63)</f>
        <v>0</v>
      </c>
      <c r="AK59" s="483">
        <f t="shared" ref="AK59:AN59" si="95">+SUM(AK60:AK63)</f>
        <v>0</v>
      </c>
      <c r="AL59" s="483">
        <f t="shared" si="95"/>
        <v>0</v>
      </c>
      <c r="AM59" s="483">
        <f t="shared" si="95"/>
        <v>0</v>
      </c>
      <c r="AN59" s="484">
        <f t="shared" si="95"/>
        <v>0</v>
      </c>
      <c r="AO59" s="482">
        <f>+SUM(AO60:AO63)</f>
        <v>0</v>
      </c>
      <c r="AP59" s="483">
        <f t="shared" ref="AP59:AS59" si="96">+SUM(AP60:AP63)</f>
        <v>0</v>
      </c>
      <c r="AQ59" s="483">
        <f t="shared" si="96"/>
        <v>0</v>
      </c>
      <c r="AR59" s="483">
        <f t="shared" si="96"/>
        <v>0</v>
      </c>
      <c r="AS59" s="484">
        <f t="shared" si="96"/>
        <v>0</v>
      </c>
    </row>
    <row r="60" spans="1:45" hidden="1" outlineLevel="1" x14ac:dyDescent="0.2">
      <c r="A60" s="478"/>
      <c r="B60" s="245"/>
      <c r="C60" s="270" t="s">
        <v>423</v>
      </c>
      <c r="D60" s="245" t="s">
        <v>471</v>
      </c>
      <c r="E60" s="500" t="s">
        <v>472</v>
      </c>
      <c r="F60" s="493"/>
      <c r="G60" s="271"/>
      <c r="H60" s="474">
        <v>0.5</v>
      </c>
      <c r="I60" s="271"/>
      <c r="J60" s="287"/>
      <c r="K60" s="486"/>
      <c r="L60" s="467"/>
      <c r="M60" s="467"/>
      <c r="N60" s="467"/>
      <c r="O60" s="487"/>
      <c r="P60" s="486"/>
      <c r="Q60" s="467"/>
      <c r="R60" s="467"/>
      <c r="S60" s="467"/>
      <c r="T60" s="487"/>
      <c r="U60" s="486"/>
      <c r="V60" s="467"/>
      <c r="W60" s="467"/>
      <c r="X60" s="467"/>
      <c r="Y60" s="487"/>
      <c r="Z60" s="486"/>
      <c r="AA60" s="467"/>
      <c r="AB60" s="467"/>
      <c r="AC60" s="467"/>
      <c r="AD60" s="487"/>
      <c r="AE60" s="486"/>
      <c r="AF60" s="467"/>
      <c r="AG60" s="467"/>
      <c r="AH60" s="467"/>
      <c r="AI60" s="487"/>
      <c r="AJ60" s="486"/>
      <c r="AK60" s="467"/>
      <c r="AL60" s="467"/>
      <c r="AM60" s="467"/>
      <c r="AN60" s="487"/>
      <c r="AO60" s="486"/>
      <c r="AP60" s="467"/>
      <c r="AQ60" s="467"/>
      <c r="AR60" s="467"/>
      <c r="AS60" s="487"/>
    </row>
    <row r="61" spans="1:45" hidden="1" outlineLevel="1" x14ac:dyDescent="0.2">
      <c r="A61" s="478"/>
      <c r="B61" s="245"/>
      <c r="C61" s="270" t="s">
        <v>425</v>
      </c>
      <c r="D61" s="245" t="s">
        <v>473</v>
      </c>
      <c r="E61" s="500"/>
      <c r="F61" s="493"/>
      <c r="G61" s="271"/>
      <c r="H61" s="271"/>
      <c r="I61" s="271"/>
      <c r="J61" s="287"/>
      <c r="K61" s="486"/>
      <c r="L61" s="467"/>
      <c r="M61" s="467"/>
      <c r="N61" s="467"/>
      <c r="O61" s="487"/>
      <c r="P61" s="486"/>
      <c r="Q61" s="467"/>
      <c r="R61" s="467"/>
      <c r="S61" s="467"/>
      <c r="T61" s="487"/>
      <c r="U61" s="486"/>
      <c r="V61" s="467"/>
      <c r="W61" s="467"/>
      <c r="X61" s="467"/>
      <c r="Y61" s="487"/>
      <c r="Z61" s="486"/>
      <c r="AA61" s="467"/>
      <c r="AB61" s="467"/>
      <c r="AC61" s="467"/>
      <c r="AD61" s="487"/>
      <c r="AE61" s="486"/>
      <c r="AF61" s="467"/>
      <c r="AG61" s="467"/>
      <c r="AH61" s="467"/>
      <c r="AI61" s="487"/>
      <c r="AJ61" s="486"/>
      <c r="AK61" s="467"/>
      <c r="AL61" s="467"/>
      <c r="AM61" s="467"/>
      <c r="AN61" s="487"/>
      <c r="AO61" s="486"/>
      <c r="AP61" s="467"/>
      <c r="AQ61" s="467"/>
      <c r="AR61" s="467"/>
      <c r="AS61" s="487"/>
    </row>
    <row r="62" spans="1:45" hidden="1" outlineLevel="1" x14ac:dyDescent="0.2">
      <c r="A62" s="478"/>
      <c r="B62" s="245"/>
      <c r="C62" s="270" t="s">
        <v>427</v>
      </c>
      <c r="D62" s="245"/>
      <c r="E62" s="500"/>
      <c r="F62" s="493"/>
      <c r="G62" s="271"/>
      <c r="H62" s="271"/>
      <c r="I62" s="271"/>
      <c r="J62" s="287"/>
      <c r="K62" s="486"/>
      <c r="L62" s="467"/>
      <c r="M62" s="467"/>
      <c r="N62" s="467"/>
      <c r="O62" s="487"/>
      <c r="P62" s="486"/>
      <c r="Q62" s="467"/>
      <c r="R62" s="467"/>
      <c r="S62" s="467"/>
      <c r="T62" s="487"/>
      <c r="U62" s="486"/>
      <c r="V62" s="467"/>
      <c r="W62" s="467"/>
      <c r="X62" s="467"/>
      <c r="Y62" s="487"/>
      <c r="Z62" s="486"/>
      <c r="AA62" s="467"/>
      <c r="AB62" s="467"/>
      <c r="AC62" s="467"/>
      <c r="AD62" s="487"/>
      <c r="AE62" s="486"/>
      <c r="AF62" s="467"/>
      <c r="AG62" s="467"/>
      <c r="AH62" s="467"/>
      <c r="AI62" s="487"/>
      <c r="AJ62" s="486"/>
      <c r="AK62" s="467"/>
      <c r="AL62" s="467"/>
      <c r="AM62" s="467"/>
      <c r="AN62" s="487"/>
      <c r="AO62" s="486"/>
      <c r="AP62" s="467"/>
      <c r="AQ62" s="467"/>
      <c r="AR62" s="467"/>
      <c r="AS62" s="487"/>
    </row>
    <row r="63" spans="1:45" ht="16" hidden="1" outlineLevel="1" thickBot="1" x14ac:dyDescent="0.25">
      <c r="A63" s="479"/>
      <c r="B63" s="468"/>
      <c r="C63" s="481" t="s">
        <v>429</v>
      </c>
      <c r="D63" s="468"/>
      <c r="E63" s="469"/>
      <c r="F63" s="494"/>
      <c r="G63" s="468"/>
      <c r="H63" s="468"/>
      <c r="I63" s="468"/>
      <c r="J63" s="469"/>
      <c r="K63" s="486"/>
      <c r="L63" s="467"/>
      <c r="M63" s="467"/>
      <c r="N63" s="467"/>
      <c r="O63" s="487"/>
      <c r="P63" s="486"/>
      <c r="Q63" s="467"/>
      <c r="R63" s="467"/>
      <c r="S63" s="467"/>
      <c r="T63" s="487"/>
      <c r="U63" s="486"/>
      <c r="V63" s="467"/>
      <c r="W63" s="467"/>
      <c r="X63" s="467"/>
      <c r="Y63" s="487"/>
      <c r="Z63" s="486"/>
      <c r="AA63" s="467"/>
      <c r="AB63" s="467"/>
      <c r="AC63" s="467"/>
      <c r="AD63" s="487"/>
      <c r="AE63" s="486"/>
      <c r="AF63" s="467"/>
      <c r="AG63" s="467"/>
      <c r="AH63" s="467"/>
      <c r="AI63" s="487"/>
      <c r="AJ63" s="486"/>
      <c r="AK63" s="467"/>
      <c r="AL63" s="467"/>
      <c r="AM63" s="467"/>
      <c r="AN63" s="487"/>
      <c r="AO63" s="486"/>
      <c r="AP63" s="467"/>
      <c r="AQ63" s="467"/>
      <c r="AR63" s="467"/>
      <c r="AS63" s="487"/>
    </row>
    <row r="64" spans="1:45" ht="16" collapsed="1" thickBot="1" x14ac:dyDescent="0.25">
      <c r="A64" s="475">
        <v>8</v>
      </c>
      <c r="B64" s="476" t="s">
        <v>46</v>
      </c>
      <c r="C64" s="476"/>
      <c r="D64" s="477" t="s">
        <v>474</v>
      </c>
      <c r="E64" s="499"/>
      <c r="F64" s="490">
        <f>+SUM(F65:F73)</f>
        <v>0</v>
      </c>
      <c r="G64" s="483">
        <f t="shared" ref="G64" si="97">+SUM(G65:G73)</f>
        <v>0</v>
      </c>
      <c r="H64" s="483">
        <f t="shared" ref="H64" si="98">+SUM(H65:H73)</f>
        <v>0</v>
      </c>
      <c r="I64" s="483">
        <f t="shared" ref="I64" si="99">+SUM(I65:I73)</f>
        <v>0</v>
      </c>
      <c r="J64" s="484">
        <f t="shared" ref="J64" si="100">+SUM(J65:J73)</f>
        <v>1</v>
      </c>
      <c r="K64" s="482">
        <f>+SUM(K65:K73)</f>
        <v>0</v>
      </c>
      <c r="L64" s="483">
        <f t="shared" ref="L64:O64" si="101">+SUM(L65:L73)</f>
        <v>4.5</v>
      </c>
      <c r="M64" s="483">
        <f t="shared" si="101"/>
        <v>0</v>
      </c>
      <c r="N64" s="483">
        <f t="shared" si="101"/>
        <v>0</v>
      </c>
      <c r="O64" s="484">
        <f t="shared" si="101"/>
        <v>0</v>
      </c>
      <c r="P64" s="482">
        <f>+SUM(P65:P73)</f>
        <v>0</v>
      </c>
      <c r="Q64" s="483">
        <f t="shared" ref="Q64:T64" si="102">+SUM(Q65:Q73)</f>
        <v>1</v>
      </c>
      <c r="R64" s="483">
        <f t="shared" si="102"/>
        <v>2</v>
      </c>
      <c r="S64" s="483">
        <f t="shared" si="102"/>
        <v>5.5</v>
      </c>
      <c r="T64" s="484">
        <f t="shared" si="102"/>
        <v>0.6</v>
      </c>
      <c r="U64" s="482">
        <f>+SUM(U65:U73)</f>
        <v>0</v>
      </c>
      <c r="V64" s="483">
        <f t="shared" ref="V64:Y64" si="103">+SUM(V65:V73)</f>
        <v>0</v>
      </c>
      <c r="W64" s="483">
        <f t="shared" si="103"/>
        <v>0</v>
      </c>
      <c r="X64" s="483">
        <f t="shared" si="103"/>
        <v>0</v>
      </c>
      <c r="Y64" s="484">
        <f t="shared" si="103"/>
        <v>0</v>
      </c>
      <c r="Z64" s="482">
        <f>+SUM(Z65:Z73)</f>
        <v>0</v>
      </c>
      <c r="AA64" s="483">
        <f t="shared" ref="AA64:AD64" si="104">+SUM(AA65:AA73)</f>
        <v>0</v>
      </c>
      <c r="AB64" s="483">
        <f t="shared" si="104"/>
        <v>0</v>
      </c>
      <c r="AC64" s="483">
        <f t="shared" si="104"/>
        <v>0</v>
      </c>
      <c r="AD64" s="484">
        <f t="shared" si="104"/>
        <v>0</v>
      </c>
      <c r="AE64" s="482">
        <f>+SUM(AE65:AE73)</f>
        <v>0</v>
      </c>
      <c r="AF64" s="483">
        <f t="shared" ref="AF64:AI64" si="105">+SUM(AF65:AF73)</f>
        <v>0</v>
      </c>
      <c r="AG64" s="483">
        <f t="shared" si="105"/>
        <v>0</v>
      </c>
      <c r="AH64" s="483">
        <f t="shared" si="105"/>
        <v>0</v>
      </c>
      <c r="AI64" s="484">
        <f t="shared" si="105"/>
        <v>0</v>
      </c>
      <c r="AJ64" s="482">
        <f>+SUM(AJ65:AJ73)</f>
        <v>0</v>
      </c>
      <c r="AK64" s="483">
        <f t="shared" ref="AK64:AN64" si="106">+SUM(AK65:AK73)</f>
        <v>0</v>
      </c>
      <c r="AL64" s="483">
        <f t="shared" si="106"/>
        <v>0</v>
      </c>
      <c r="AM64" s="483">
        <f t="shared" si="106"/>
        <v>0</v>
      </c>
      <c r="AN64" s="484">
        <f t="shared" si="106"/>
        <v>0</v>
      </c>
      <c r="AO64" s="482">
        <f>+SUM(AO65:AO73)</f>
        <v>0</v>
      </c>
      <c r="AP64" s="483">
        <f t="shared" ref="AP64:AS64" si="107">+SUM(AP65:AP73)</f>
        <v>0</v>
      </c>
      <c r="AQ64" s="483">
        <f t="shared" si="107"/>
        <v>0</v>
      </c>
      <c r="AR64" s="483">
        <f t="shared" si="107"/>
        <v>0</v>
      </c>
      <c r="AS64" s="484">
        <f t="shared" si="107"/>
        <v>0</v>
      </c>
    </row>
    <row r="65" spans="1:45" hidden="1" outlineLevel="1" x14ac:dyDescent="0.2">
      <c r="A65" s="478"/>
      <c r="B65" s="245"/>
      <c r="C65" s="270" t="s">
        <v>423</v>
      </c>
      <c r="D65" s="245" t="s">
        <v>475</v>
      </c>
      <c r="E65" s="500"/>
      <c r="F65" s="493"/>
      <c r="G65" s="271"/>
      <c r="H65" s="271"/>
      <c r="I65" s="271"/>
      <c r="J65" s="287">
        <v>1</v>
      </c>
      <c r="K65" s="478"/>
      <c r="L65" s="271">
        <v>0</v>
      </c>
      <c r="M65" s="271"/>
      <c r="N65" s="271"/>
      <c r="O65" s="287"/>
      <c r="P65" s="478"/>
      <c r="Q65" s="271"/>
      <c r="R65" s="271"/>
      <c r="S65" s="271"/>
      <c r="T65" s="287"/>
      <c r="U65" s="478"/>
      <c r="V65" s="271"/>
      <c r="W65" s="271"/>
      <c r="X65" s="271"/>
      <c r="Y65" s="287"/>
      <c r="Z65" s="478"/>
      <c r="AA65" s="271"/>
      <c r="AB65" s="271"/>
      <c r="AC65" s="271"/>
      <c r="AD65" s="287"/>
      <c r="AE65" s="478"/>
      <c r="AF65" s="271"/>
      <c r="AG65" s="271"/>
      <c r="AH65" s="271"/>
      <c r="AI65" s="287"/>
      <c r="AJ65" s="478"/>
      <c r="AK65" s="271"/>
      <c r="AL65" s="271"/>
      <c r="AM65" s="271"/>
      <c r="AN65" s="287"/>
      <c r="AO65" s="478"/>
      <c r="AP65" s="271"/>
      <c r="AQ65" s="271"/>
      <c r="AR65" s="271"/>
      <c r="AS65" s="287"/>
    </row>
    <row r="66" spans="1:45" hidden="1" outlineLevel="1" x14ac:dyDescent="0.2">
      <c r="A66" s="478"/>
      <c r="B66" s="245"/>
      <c r="C66" s="270" t="s">
        <v>425</v>
      </c>
      <c r="D66" s="245" t="s">
        <v>476</v>
      </c>
      <c r="E66" s="500"/>
      <c r="F66" s="493"/>
      <c r="G66" s="271"/>
      <c r="H66" s="271"/>
      <c r="I66" s="271"/>
      <c r="J66" s="287"/>
      <c r="K66" s="478"/>
      <c r="L66" s="271">
        <v>4</v>
      </c>
      <c r="M66" s="271"/>
      <c r="N66" s="271"/>
      <c r="O66" s="287"/>
      <c r="P66" s="478"/>
      <c r="Q66" s="271"/>
      <c r="R66" s="271"/>
      <c r="S66" s="271"/>
      <c r="T66" s="287"/>
      <c r="U66" s="478"/>
      <c r="V66" s="271"/>
      <c r="W66" s="271"/>
      <c r="X66" s="271"/>
      <c r="Y66" s="287"/>
      <c r="Z66" s="478"/>
      <c r="AA66" s="271"/>
      <c r="AB66" s="271"/>
      <c r="AC66" s="271"/>
      <c r="AD66" s="287"/>
      <c r="AE66" s="478"/>
      <c r="AF66" s="271"/>
      <c r="AG66" s="271"/>
      <c r="AH66" s="271"/>
      <c r="AI66" s="287"/>
      <c r="AJ66" s="478"/>
      <c r="AK66" s="271"/>
      <c r="AL66" s="271"/>
      <c r="AM66" s="271"/>
      <c r="AN66" s="287"/>
      <c r="AO66" s="478"/>
      <c r="AP66" s="271"/>
      <c r="AQ66" s="271"/>
      <c r="AR66" s="271"/>
      <c r="AS66" s="287"/>
    </row>
    <row r="67" spans="1:45" hidden="1" outlineLevel="1" x14ac:dyDescent="0.2">
      <c r="A67" s="478"/>
      <c r="B67" s="245"/>
      <c r="C67" s="270" t="s">
        <v>427</v>
      </c>
      <c r="D67" s="245" t="s">
        <v>477</v>
      </c>
      <c r="E67" s="500"/>
      <c r="F67" s="493"/>
      <c r="G67" s="271"/>
      <c r="H67" s="271"/>
      <c r="I67" s="271"/>
      <c r="J67" s="287"/>
      <c r="K67" s="478"/>
      <c r="L67" s="271">
        <v>0.5</v>
      </c>
      <c r="M67" s="271"/>
      <c r="N67" s="271"/>
      <c r="O67" s="287"/>
      <c r="P67" s="478"/>
      <c r="Q67" s="271"/>
      <c r="R67" s="271"/>
      <c r="S67" s="271"/>
      <c r="T67" s="287"/>
      <c r="U67" s="478"/>
      <c r="V67" s="271"/>
      <c r="W67" s="271"/>
      <c r="X67" s="271"/>
      <c r="Y67" s="287"/>
      <c r="Z67" s="478"/>
      <c r="AA67" s="271"/>
      <c r="AB67" s="271"/>
      <c r="AC67" s="271"/>
      <c r="AD67" s="287"/>
      <c r="AE67" s="478"/>
      <c r="AF67" s="271"/>
      <c r="AG67" s="271"/>
      <c r="AH67" s="271"/>
      <c r="AI67" s="287"/>
      <c r="AJ67" s="478"/>
      <c r="AK67" s="271"/>
      <c r="AL67" s="271"/>
      <c r="AM67" s="271"/>
      <c r="AN67" s="287"/>
      <c r="AO67" s="478"/>
      <c r="AP67" s="271"/>
      <c r="AQ67" s="271"/>
      <c r="AR67" s="271"/>
      <c r="AS67" s="287"/>
    </row>
    <row r="68" spans="1:45" hidden="1" outlineLevel="1" x14ac:dyDescent="0.2">
      <c r="A68" s="505"/>
      <c r="B68" s="506"/>
      <c r="C68" s="270" t="s">
        <v>429</v>
      </c>
      <c r="D68" s="519" t="s">
        <v>446</v>
      </c>
      <c r="E68" s="508"/>
      <c r="F68" s="513"/>
      <c r="G68" s="514"/>
      <c r="H68" s="514"/>
      <c r="I68" s="514"/>
      <c r="J68" s="518"/>
      <c r="K68" s="505"/>
      <c r="L68" s="514"/>
      <c r="M68" s="514"/>
      <c r="N68" s="514"/>
      <c r="O68" s="518"/>
      <c r="P68" s="505"/>
      <c r="Q68" s="467">
        <v>1</v>
      </c>
      <c r="R68" s="467"/>
      <c r="S68" s="467"/>
      <c r="T68" s="487"/>
      <c r="U68" s="505"/>
      <c r="V68" s="514"/>
      <c r="W68" s="514"/>
      <c r="X68" s="514"/>
      <c r="Y68" s="518"/>
      <c r="Z68" s="505"/>
      <c r="AA68" s="514"/>
      <c r="AB68" s="514"/>
      <c r="AC68" s="514"/>
      <c r="AD68" s="518"/>
      <c r="AE68" s="505"/>
      <c r="AF68" s="514"/>
      <c r="AG68" s="514"/>
      <c r="AH68" s="514"/>
      <c r="AI68" s="518"/>
      <c r="AJ68" s="505"/>
      <c r="AK68" s="514"/>
      <c r="AL68" s="514"/>
      <c r="AM68" s="514"/>
      <c r="AN68" s="518"/>
      <c r="AO68" s="505"/>
      <c r="AP68" s="514"/>
      <c r="AQ68" s="514"/>
      <c r="AR68" s="514"/>
      <c r="AS68" s="518"/>
    </row>
    <row r="69" spans="1:45" hidden="1" outlineLevel="1" x14ac:dyDescent="0.2">
      <c r="A69" s="505"/>
      <c r="B69" s="506"/>
      <c r="C69" s="270" t="s">
        <v>431</v>
      </c>
      <c r="D69" s="519" t="s">
        <v>447</v>
      </c>
      <c r="E69" s="508"/>
      <c r="F69" s="513"/>
      <c r="G69" s="514"/>
      <c r="H69" s="514"/>
      <c r="I69" s="514"/>
      <c r="J69" s="518"/>
      <c r="K69" s="505"/>
      <c r="L69" s="514"/>
      <c r="M69" s="514"/>
      <c r="N69" s="514"/>
      <c r="O69" s="518"/>
      <c r="P69" s="505"/>
      <c r="Q69" s="467"/>
      <c r="R69" s="467">
        <v>2</v>
      </c>
      <c r="S69" s="467"/>
      <c r="T69" s="487"/>
      <c r="U69" s="505"/>
      <c r="V69" s="514"/>
      <c r="W69" s="514"/>
      <c r="X69" s="514"/>
      <c r="Y69" s="518"/>
      <c r="Z69" s="505"/>
      <c r="AA69" s="514"/>
      <c r="AB69" s="514"/>
      <c r="AC69" s="514"/>
      <c r="AD69" s="518"/>
      <c r="AE69" s="505"/>
      <c r="AF69" s="514"/>
      <c r="AG69" s="514"/>
      <c r="AH69" s="514"/>
      <c r="AI69" s="518"/>
      <c r="AJ69" s="505"/>
      <c r="AK69" s="514"/>
      <c r="AL69" s="514"/>
      <c r="AM69" s="514"/>
      <c r="AN69" s="518"/>
      <c r="AO69" s="505"/>
      <c r="AP69" s="514"/>
      <c r="AQ69" s="514"/>
      <c r="AR69" s="514"/>
      <c r="AS69" s="518"/>
    </row>
    <row r="70" spans="1:45" hidden="1" outlineLevel="1" x14ac:dyDescent="0.2">
      <c r="A70" s="505"/>
      <c r="B70" s="506"/>
      <c r="C70" s="270" t="s">
        <v>432</v>
      </c>
      <c r="D70" s="519" t="s">
        <v>469</v>
      </c>
      <c r="E70" s="508"/>
      <c r="F70" s="513"/>
      <c r="G70" s="514"/>
      <c r="H70" s="514"/>
      <c r="I70" s="514"/>
      <c r="J70" s="518"/>
      <c r="K70" s="505"/>
      <c r="L70" s="514"/>
      <c r="M70" s="514"/>
      <c r="N70" s="514"/>
      <c r="O70" s="518"/>
      <c r="P70" s="505"/>
      <c r="Q70" s="467"/>
      <c r="R70" s="467"/>
      <c r="S70" s="467">
        <v>0.5</v>
      </c>
      <c r="T70" s="487"/>
      <c r="U70" s="505"/>
      <c r="V70" s="514"/>
      <c r="W70" s="514"/>
      <c r="X70" s="514"/>
      <c r="Y70" s="518"/>
      <c r="Z70" s="505"/>
      <c r="AA70" s="514"/>
      <c r="AB70" s="514"/>
      <c r="AC70" s="514"/>
      <c r="AD70" s="518"/>
      <c r="AE70" s="505"/>
      <c r="AF70" s="514"/>
      <c r="AG70" s="514"/>
      <c r="AH70" s="514"/>
      <c r="AI70" s="518"/>
      <c r="AJ70" s="505"/>
      <c r="AK70" s="514"/>
      <c r="AL70" s="514"/>
      <c r="AM70" s="514"/>
      <c r="AN70" s="518"/>
      <c r="AO70" s="505"/>
      <c r="AP70" s="514"/>
      <c r="AQ70" s="514"/>
      <c r="AR70" s="514"/>
      <c r="AS70" s="518"/>
    </row>
    <row r="71" spans="1:45" hidden="1" outlineLevel="1" x14ac:dyDescent="0.2">
      <c r="A71" s="505"/>
      <c r="B71" s="506"/>
      <c r="C71" s="270" t="s">
        <v>433</v>
      </c>
      <c r="D71" s="519" t="s">
        <v>448</v>
      </c>
      <c r="E71" s="508"/>
      <c r="F71" s="513"/>
      <c r="G71" s="514"/>
      <c r="H71" s="514"/>
      <c r="I71" s="514"/>
      <c r="J71" s="518"/>
      <c r="K71" s="505"/>
      <c r="L71" s="514"/>
      <c r="M71" s="514"/>
      <c r="N71" s="514"/>
      <c r="O71" s="518"/>
      <c r="P71" s="505"/>
      <c r="Q71" s="467"/>
      <c r="R71" s="467"/>
      <c r="S71" s="467">
        <v>5</v>
      </c>
      <c r="T71" s="487"/>
      <c r="U71" s="505"/>
      <c r="V71" s="514"/>
      <c r="W71" s="514"/>
      <c r="X71" s="514"/>
      <c r="Z71" s="505"/>
      <c r="AA71" s="514"/>
      <c r="AB71" s="514"/>
      <c r="AC71" s="514"/>
      <c r="AE71" s="505"/>
      <c r="AF71" s="514"/>
      <c r="AG71" s="514"/>
      <c r="AH71" s="514"/>
      <c r="AJ71" s="505"/>
      <c r="AK71" s="514"/>
      <c r="AL71" s="514"/>
      <c r="AM71" s="514"/>
      <c r="AO71" s="505"/>
      <c r="AP71" s="514"/>
      <c r="AQ71" s="514"/>
      <c r="AR71" s="514"/>
    </row>
    <row r="72" spans="1:45" hidden="1" outlineLevel="1" x14ac:dyDescent="0.2">
      <c r="A72" s="505"/>
      <c r="B72" s="506"/>
      <c r="C72" s="270" t="s">
        <v>435</v>
      </c>
      <c r="D72" s="519" t="s">
        <v>469</v>
      </c>
      <c r="E72" s="508"/>
      <c r="F72" s="513"/>
      <c r="G72" s="514"/>
      <c r="H72" s="514"/>
      <c r="I72" s="514"/>
      <c r="J72" s="518"/>
      <c r="K72" s="505"/>
      <c r="L72" s="514"/>
      <c r="M72" s="514"/>
      <c r="N72" s="514"/>
      <c r="O72" s="518"/>
      <c r="P72" s="505"/>
      <c r="Q72" s="510"/>
      <c r="R72" s="510"/>
      <c r="S72" s="510"/>
      <c r="T72" s="511">
        <v>0.5</v>
      </c>
      <c r="U72" s="505"/>
      <c r="V72" s="514"/>
      <c r="W72" s="514"/>
      <c r="X72" s="514"/>
      <c r="Y72" s="518"/>
      <c r="Z72" s="505"/>
      <c r="AA72" s="514"/>
      <c r="AB72" s="514"/>
      <c r="AC72" s="514"/>
      <c r="AD72" s="518"/>
      <c r="AE72" s="505"/>
      <c r="AF72" s="514"/>
      <c r="AG72" s="514"/>
      <c r="AH72" s="514"/>
      <c r="AI72" s="518"/>
      <c r="AJ72" s="505"/>
      <c r="AK72" s="514"/>
      <c r="AL72" s="514"/>
      <c r="AM72" s="514"/>
      <c r="AN72" s="518"/>
      <c r="AO72" s="505"/>
      <c r="AP72" s="514"/>
      <c r="AQ72" s="514"/>
      <c r="AR72" s="514"/>
      <c r="AS72" s="518"/>
    </row>
    <row r="73" spans="1:45" ht="16" hidden="1" outlineLevel="1" thickBot="1" x14ac:dyDescent="0.25">
      <c r="A73" s="479"/>
      <c r="B73" s="468"/>
      <c r="C73" s="270" t="s">
        <v>478</v>
      </c>
      <c r="D73" s="520" t="s">
        <v>449</v>
      </c>
      <c r="E73" s="469"/>
      <c r="F73" s="494"/>
      <c r="G73" s="468"/>
      <c r="H73" s="468"/>
      <c r="I73" s="468"/>
      <c r="J73" s="469"/>
      <c r="K73" s="283"/>
      <c r="L73" s="468"/>
      <c r="M73" s="468"/>
      <c r="N73" s="468"/>
      <c r="O73" s="469"/>
      <c r="P73" s="283"/>
      <c r="Q73" s="485"/>
      <c r="R73" s="485"/>
      <c r="S73" s="485"/>
      <c r="T73" s="488">
        <v>0.1</v>
      </c>
      <c r="U73" s="283"/>
      <c r="V73" s="468"/>
      <c r="W73" s="468"/>
      <c r="X73" s="468"/>
      <c r="Y73" s="469"/>
      <c r="Z73" s="283"/>
      <c r="AA73" s="468"/>
      <c r="AB73" s="468"/>
      <c r="AC73" s="468"/>
      <c r="AD73" s="469"/>
      <c r="AE73" s="283"/>
      <c r="AF73" s="468"/>
      <c r="AG73" s="468"/>
      <c r="AH73" s="468"/>
      <c r="AI73" s="469"/>
      <c r="AJ73" s="283"/>
      <c r="AK73" s="468"/>
      <c r="AL73" s="468"/>
      <c r="AM73" s="468"/>
      <c r="AN73" s="469"/>
      <c r="AO73" s="283"/>
      <c r="AP73" s="468"/>
      <c r="AQ73" s="468"/>
      <c r="AR73" s="468"/>
      <c r="AS73" s="469"/>
    </row>
    <row r="74" spans="1:45" ht="16" collapsed="1" thickBot="1" x14ac:dyDescent="0.25">
      <c r="A74" s="475">
        <v>9</v>
      </c>
      <c r="B74" s="476" t="s">
        <v>46</v>
      </c>
      <c r="C74" s="476"/>
      <c r="D74" s="477" t="s">
        <v>479</v>
      </c>
      <c r="E74" s="499"/>
      <c r="F74" s="490">
        <f>+SUM(F75:F78)</f>
        <v>0</v>
      </c>
      <c r="G74" s="483">
        <f t="shared" ref="G74" si="108">+SUM(G75:G78)</f>
        <v>0</v>
      </c>
      <c r="H74" s="483">
        <f t="shared" ref="H74" si="109">+SUM(H75:H78)</f>
        <v>0</v>
      </c>
      <c r="I74" s="483">
        <f t="shared" ref="I74" si="110">+SUM(I75:I78)</f>
        <v>0</v>
      </c>
      <c r="J74" s="484">
        <f t="shared" ref="J74" si="111">+SUM(J75:J78)</f>
        <v>0</v>
      </c>
      <c r="K74" s="482">
        <f>+SUM(K75:K78)</f>
        <v>0</v>
      </c>
      <c r="L74" s="483">
        <f t="shared" ref="L74:O74" si="112">+SUM(L75:L78)</f>
        <v>0</v>
      </c>
      <c r="M74" s="483">
        <f t="shared" si="112"/>
        <v>2</v>
      </c>
      <c r="N74" s="483">
        <f t="shared" si="112"/>
        <v>0</v>
      </c>
      <c r="O74" s="484">
        <f t="shared" si="112"/>
        <v>0</v>
      </c>
      <c r="P74" s="482">
        <f>+SUM(P75:P78)</f>
        <v>0</v>
      </c>
      <c r="Q74" s="483">
        <f t="shared" ref="Q74:T74" si="113">+SUM(Q75:Q78)</f>
        <v>0</v>
      </c>
      <c r="R74" s="483">
        <f t="shared" si="113"/>
        <v>0</v>
      </c>
      <c r="S74" s="483">
        <f t="shared" si="113"/>
        <v>0</v>
      </c>
      <c r="T74" s="484">
        <f t="shared" si="113"/>
        <v>0</v>
      </c>
      <c r="U74" s="482">
        <f>+SUM(U75:U78)</f>
        <v>0</v>
      </c>
      <c r="V74" s="483">
        <f t="shared" ref="V74:Y74" si="114">+SUM(V75:V78)</f>
        <v>0</v>
      </c>
      <c r="W74" s="483">
        <f t="shared" si="114"/>
        <v>0</v>
      </c>
      <c r="X74" s="483">
        <f t="shared" si="114"/>
        <v>0</v>
      </c>
      <c r="Y74" s="484">
        <f t="shared" si="114"/>
        <v>0</v>
      </c>
      <c r="Z74" s="482">
        <f>+SUM(Z75:Z78)</f>
        <v>0</v>
      </c>
      <c r="AA74" s="483">
        <f t="shared" ref="AA74:AD74" si="115">+SUM(AA75:AA78)</f>
        <v>0</v>
      </c>
      <c r="AB74" s="483">
        <f t="shared" si="115"/>
        <v>0</v>
      </c>
      <c r="AC74" s="483">
        <f t="shared" si="115"/>
        <v>0</v>
      </c>
      <c r="AD74" s="484">
        <f t="shared" si="115"/>
        <v>0</v>
      </c>
      <c r="AE74" s="482">
        <f>+SUM(AE75:AE78)</f>
        <v>0</v>
      </c>
      <c r="AF74" s="483">
        <f t="shared" ref="AF74:AI74" si="116">+SUM(AF75:AF78)</f>
        <v>0</v>
      </c>
      <c r="AG74" s="483">
        <f t="shared" si="116"/>
        <v>0</v>
      </c>
      <c r="AH74" s="483">
        <f t="shared" si="116"/>
        <v>0</v>
      </c>
      <c r="AI74" s="484">
        <f t="shared" si="116"/>
        <v>0</v>
      </c>
      <c r="AJ74" s="482">
        <f>+SUM(AJ75:AJ78)</f>
        <v>0</v>
      </c>
      <c r="AK74" s="483">
        <f t="shared" ref="AK74:AN74" si="117">+SUM(AK75:AK78)</f>
        <v>0</v>
      </c>
      <c r="AL74" s="483">
        <f t="shared" si="117"/>
        <v>0</v>
      </c>
      <c r="AM74" s="483">
        <f t="shared" si="117"/>
        <v>0</v>
      </c>
      <c r="AN74" s="484">
        <f t="shared" si="117"/>
        <v>0</v>
      </c>
      <c r="AO74" s="482">
        <f>+SUM(AO75:AO78)</f>
        <v>0</v>
      </c>
      <c r="AP74" s="483">
        <f t="shared" ref="AP74:AS74" si="118">+SUM(AP75:AP78)</f>
        <v>0</v>
      </c>
      <c r="AQ74" s="483">
        <f t="shared" si="118"/>
        <v>0</v>
      </c>
      <c r="AR74" s="483">
        <f t="shared" si="118"/>
        <v>0</v>
      </c>
      <c r="AS74" s="484">
        <f t="shared" si="118"/>
        <v>0</v>
      </c>
    </row>
    <row r="75" spans="1:45" hidden="1" outlineLevel="1" x14ac:dyDescent="0.2">
      <c r="A75" s="478"/>
      <c r="B75" s="245"/>
      <c r="C75" s="270" t="s">
        <v>423</v>
      </c>
      <c r="D75" s="245" t="s">
        <v>475</v>
      </c>
      <c r="E75" s="500"/>
      <c r="F75" s="493"/>
      <c r="G75" s="271"/>
      <c r="H75" s="271"/>
      <c r="I75" s="271"/>
      <c r="J75" s="287"/>
      <c r="K75" s="478"/>
      <c r="L75" s="271"/>
      <c r="M75" s="271">
        <v>1</v>
      </c>
      <c r="N75" s="271"/>
      <c r="O75" s="287"/>
      <c r="P75" s="478"/>
      <c r="Q75" s="271"/>
      <c r="R75" s="271"/>
      <c r="S75" s="271"/>
      <c r="T75" s="287"/>
      <c r="U75" s="478"/>
      <c r="V75" s="271"/>
      <c r="W75" s="271"/>
      <c r="X75" s="271"/>
      <c r="Y75" s="287"/>
      <c r="Z75" s="478"/>
      <c r="AA75" s="271"/>
      <c r="AB75" s="271"/>
      <c r="AC75" s="271"/>
      <c r="AD75" s="287"/>
      <c r="AE75" s="478"/>
      <c r="AF75" s="271"/>
      <c r="AG75" s="271"/>
      <c r="AH75" s="271"/>
      <c r="AI75" s="287"/>
      <c r="AJ75" s="478"/>
      <c r="AK75" s="271"/>
      <c r="AL75" s="271"/>
      <c r="AM75" s="271"/>
      <c r="AN75" s="287"/>
      <c r="AO75" s="478"/>
      <c r="AP75" s="271"/>
      <c r="AQ75" s="271"/>
      <c r="AR75" s="271"/>
      <c r="AS75" s="287"/>
    </row>
    <row r="76" spans="1:45" hidden="1" outlineLevel="1" x14ac:dyDescent="0.2">
      <c r="A76" s="478"/>
      <c r="B76" s="245"/>
      <c r="C76" s="270" t="s">
        <v>425</v>
      </c>
      <c r="D76" s="245" t="s">
        <v>480</v>
      </c>
      <c r="E76" s="500"/>
      <c r="F76" s="493"/>
      <c r="G76" s="271"/>
      <c r="H76" s="271"/>
      <c r="I76" s="271"/>
      <c r="J76" s="287"/>
      <c r="K76" s="478"/>
      <c r="L76" s="271"/>
      <c r="M76" s="271">
        <v>1</v>
      </c>
      <c r="N76" s="271"/>
      <c r="O76" s="287"/>
      <c r="P76" s="478"/>
      <c r="Q76" s="271"/>
      <c r="R76" s="271"/>
      <c r="S76" s="271"/>
      <c r="T76" s="287"/>
      <c r="U76" s="478"/>
      <c r="V76" s="271"/>
      <c r="W76" s="271"/>
      <c r="X76" s="271"/>
      <c r="Y76" s="287"/>
      <c r="Z76" s="478"/>
      <c r="AA76" s="271"/>
      <c r="AB76" s="271"/>
      <c r="AC76" s="271"/>
      <c r="AD76" s="287"/>
      <c r="AE76" s="478"/>
      <c r="AF76" s="271"/>
      <c r="AG76" s="271"/>
      <c r="AH76" s="271"/>
      <c r="AI76" s="287"/>
      <c r="AJ76" s="478"/>
      <c r="AK76" s="271"/>
      <c r="AL76" s="271"/>
      <c r="AM76" s="271"/>
      <c r="AN76" s="287"/>
      <c r="AO76" s="478"/>
      <c r="AP76" s="271"/>
      <c r="AQ76" s="271"/>
      <c r="AR76" s="271"/>
      <c r="AS76" s="287"/>
    </row>
    <row r="77" spans="1:45" hidden="1" outlineLevel="1" x14ac:dyDescent="0.2">
      <c r="A77" s="478"/>
      <c r="B77" s="245"/>
      <c r="C77" s="270" t="s">
        <v>427</v>
      </c>
      <c r="D77" s="245"/>
      <c r="E77" s="500"/>
      <c r="F77" s="493"/>
      <c r="G77" s="271"/>
      <c r="H77" s="271"/>
      <c r="I77" s="271"/>
      <c r="J77" s="287"/>
      <c r="K77" s="478"/>
      <c r="L77" s="271"/>
      <c r="M77" s="271"/>
      <c r="N77" s="271"/>
      <c r="O77" s="287"/>
      <c r="P77" s="478"/>
      <c r="Q77" s="271"/>
      <c r="R77" s="271"/>
      <c r="S77" s="271"/>
      <c r="T77" s="287"/>
      <c r="U77" s="478"/>
      <c r="V77" s="271"/>
      <c r="W77" s="271"/>
      <c r="X77" s="271"/>
      <c r="Y77" s="287"/>
      <c r="Z77" s="478"/>
      <c r="AA77" s="271"/>
      <c r="AB77" s="271"/>
      <c r="AC77" s="271"/>
      <c r="AD77" s="287"/>
      <c r="AE77" s="478"/>
      <c r="AF77" s="271"/>
      <c r="AG77" s="271"/>
      <c r="AH77" s="271"/>
      <c r="AI77" s="287"/>
      <c r="AJ77" s="478"/>
      <c r="AK77" s="271"/>
      <c r="AL77" s="271"/>
      <c r="AM77" s="271"/>
      <c r="AN77" s="287"/>
      <c r="AO77" s="478"/>
      <c r="AP77" s="271"/>
      <c r="AQ77" s="271"/>
      <c r="AR77" s="271"/>
      <c r="AS77" s="287"/>
    </row>
    <row r="78" spans="1:45" ht="16" hidden="1" outlineLevel="1" thickBot="1" x14ac:dyDescent="0.25">
      <c r="A78" s="479"/>
      <c r="B78" s="468"/>
      <c r="C78" s="481" t="s">
        <v>429</v>
      </c>
      <c r="D78" s="468"/>
      <c r="E78" s="469"/>
      <c r="F78" s="494"/>
      <c r="G78" s="468"/>
      <c r="H78" s="468"/>
      <c r="I78" s="468"/>
      <c r="J78" s="469"/>
      <c r="K78" s="283"/>
      <c r="L78" s="468"/>
      <c r="M78" s="468"/>
      <c r="N78" s="468"/>
      <c r="O78" s="469"/>
      <c r="P78" s="283"/>
      <c r="Q78" s="468"/>
      <c r="R78" s="468"/>
      <c r="S78" s="468"/>
      <c r="T78" s="469"/>
      <c r="U78" s="283"/>
      <c r="V78" s="468"/>
      <c r="W78" s="468"/>
      <c r="X78" s="468"/>
      <c r="Y78" s="469"/>
      <c r="Z78" s="283"/>
      <c r="AA78" s="468"/>
      <c r="AB78" s="468"/>
      <c r="AC78" s="468"/>
      <c r="AD78" s="469"/>
      <c r="AE78" s="283"/>
      <c r="AF78" s="468"/>
      <c r="AG78" s="468"/>
      <c r="AH78" s="468"/>
      <c r="AI78" s="469"/>
      <c r="AJ78" s="283"/>
      <c r="AK78" s="468"/>
      <c r="AL78" s="468"/>
      <c r="AM78" s="468"/>
      <c r="AN78" s="469"/>
      <c r="AO78" s="283"/>
      <c r="AP78" s="468"/>
      <c r="AQ78" s="468"/>
      <c r="AR78" s="468"/>
      <c r="AS78" s="469"/>
    </row>
    <row r="79" spans="1:45" ht="16" collapsed="1" thickBot="1" x14ac:dyDescent="0.25">
      <c r="A79" s="475">
        <v>10</v>
      </c>
      <c r="B79" s="476" t="s">
        <v>43</v>
      </c>
      <c r="C79" s="476"/>
      <c r="D79" s="477" t="s">
        <v>481</v>
      </c>
      <c r="E79" s="499"/>
      <c r="F79" s="490">
        <f>+SUM(F80:F83)</f>
        <v>0</v>
      </c>
      <c r="G79" s="483">
        <f t="shared" ref="G79" si="119">+SUM(G80:G83)</f>
        <v>0</v>
      </c>
      <c r="H79" s="483">
        <f t="shared" ref="H79" si="120">+SUM(H80:H83)</f>
        <v>3.5</v>
      </c>
      <c r="I79" s="483">
        <f t="shared" ref="I79" si="121">+SUM(I80:I83)</f>
        <v>0</v>
      </c>
      <c r="J79" s="484">
        <f t="shared" ref="J79" si="122">+SUM(J80:J83)</f>
        <v>0</v>
      </c>
      <c r="K79" s="482">
        <f>+SUM(K80:K83)</f>
        <v>0</v>
      </c>
      <c r="L79" s="483">
        <f t="shared" ref="L79:O79" si="123">+SUM(L80:L83)</f>
        <v>0</v>
      </c>
      <c r="M79" s="483">
        <f t="shared" si="123"/>
        <v>0</v>
      </c>
      <c r="N79" s="483">
        <f t="shared" si="123"/>
        <v>0</v>
      </c>
      <c r="O79" s="484">
        <f t="shared" si="123"/>
        <v>0</v>
      </c>
      <c r="P79" s="482">
        <f>+SUM(P80:P83)</f>
        <v>0</v>
      </c>
      <c r="Q79" s="483">
        <f t="shared" ref="Q79:T79" si="124">+SUM(Q80:Q83)</f>
        <v>0</v>
      </c>
      <c r="R79" s="483">
        <f t="shared" si="124"/>
        <v>0</v>
      </c>
      <c r="S79" s="483">
        <f t="shared" si="124"/>
        <v>0</v>
      </c>
      <c r="T79" s="484">
        <f t="shared" si="124"/>
        <v>0</v>
      </c>
      <c r="U79" s="482">
        <f>+SUM(U80:U83)</f>
        <v>0</v>
      </c>
      <c r="V79" s="483">
        <f t="shared" ref="V79:Y79" si="125">+SUM(V80:V83)</f>
        <v>0</v>
      </c>
      <c r="W79" s="483">
        <f t="shared" si="125"/>
        <v>0</v>
      </c>
      <c r="X79" s="483">
        <f t="shared" si="125"/>
        <v>0</v>
      </c>
      <c r="Y79" s="484">
        <f t="shared" si="125"/>
        <v>0</v>
      </c>
      <c r="Z79" s="482">
        <f>+SUM(Z80:Z83)</f>
        <v>0</v>
      </c>
      <c r="AA79" s="483">
        <f t="shared" ref="AA79:AD79" si="126">+SUM(AA80:AA83)</f>
        <v>0</v>
      </c>
      <c r="AB79" s="483">
        <f t="shared" si="126"/>
        <v>0</v>
      </c>
      <c r="AC79" s="483">
        <f t="shared" si="126"/>
        <v>0</v>
      </c>
      <c r="AD79" s="484">
        <f t="shared" si="126"/>
        <v>0</v>
      </c>
      <c r="AE79" s="482">
        <f>+SUM(AE80:AE83)</f>
        <v>0</v>
      </c>
      <c r="AF79" s="483">
        <f t="shared" ref="AF79:AI79" si="127">+SUM(AF80:AF83)</f>
        <v>0</v>
      </c>
      <c r="AG79" s="483">
        <f t="shared" si="127"/>
        <v>0</v>
      </c>
      <c r="AH79" s="483">
        <f t="shared" si="127"/>
        <v>0</v>
      </c>
      <c r="AI79" s="484">
        <f t="shared" si="127"/>
        <v>0</v>
      </c>
      <c r="AJ79" s="482">
        <f>+SUM(AJ80:AJ83)</f>
        <v>0</v>
      </c>
      <c r="AK79" s="483">
        <f t="shared" ref="AK79:AN79" si="128">+SUM(AK80:AK83)</f>
        <v>0</v>
      </c>
      <c r="AL79" s="483">
        <f t="shared" si="128"/>
        <v>0</v>
      </c>
      <c r="AM79" s="483">
        <f t="shared" si="128"/>
        <v>0</v>
      </c>
      <c r="AN79" s="484">
        <f t="shared" si="128"/>
        <v>0</v>
      </c>
      <c r="AO79" s="482">
        <f>+SUM(AO80:AO83)</f>
        <v>0</v>
      </c>
      <c r="AP79" s="483">
        <f t="shared" ref="AP79:AS79" si="129">+SUM(AP80:AP83)</f>
        <v>0</v>
      </c>
      <c r="AQ79" s="483">
        <f t="shared" si="129"/>
        <v>0</v>
      </c>
      <c r="AR79" s="483">
        <f t="shared" si="129"/>
        <v>0</v>
      </c>
      <c r="AS79" s="484">
        <f t="shared" si="129"/>
        <v>0</v>
      </c>
    </row>
    <row r="80" spans="1:45" hidden="1" outlineLevel="1" x14ac:dyDescent="0.2">
      <c r="A80" s="478"/>
      <c r="B80" s="245"/>
      <c r="C80" s="270" t="s">
        <v>423</v>
      </c>
      <c r="D80" s="245" t="s">
        <v>482</v>
      </c>
      <c r="E80" s="500"/>
      <c r="F80" s="493"/>
      <c r="G80" s="474">
        <v>0</v>
      </c>
      <c r="H80" s="271">
        <v>3</v>
      </c>
      <c r="I80" s="271"/>
      <c r="J80" s="287"/>
      <c r="K80" s="486"/>
      <c r="L80" s="467"/>
      <c r="M80" s="467"/>
      <c r="N80" s="467"/>
      <c r="O80" s="487"/>
      <c r="P80" s="486"/>
      <c r="Q80" s="467"/>
      <c r="R80" s="467"/>
      <c r="S80" s="467"/>
      <c r="T80" s="487"/>
      <c r="U80" s="486"/>
      <c r="V80" s="467"/>
      <c r="W80" s="467"/>
      <c r="X80" s="467"/>
      <c r="Y80" s="487"/>
      <c r="Z80" s="486"/>
      <c r="AA80" s="467"/>
      <c r="AB80" s="467"/>
      <c r="AC80" s="467"/>
      <c r="AD80" s="487"/>
      <c r="AE80" s="486"/>
      <c r="AF80" s="467"/>
      <c r="AG80" s="467"/>
      <c r="AH80" s="467"/>
      <c r="AI80" s="487"/>
      <c r="AJ80" s="486"/>
      <c r="AK80" s="467"/>
      <c r="AL80" s="467"/>
      <c r="AM80" s="467"/>
      <c r="AN80" s="487"/>
      <c r="AO80" s="486"/>
      <c r="AP80" s="467"/>
      <c r="AQ80" s="467"/>
      <c r="AR80" s="467"/>
      <c r="AS80" s="487"/>
    </row>
    <row r="81" spans="1:45" hidden="1" outlineLevel="1" x14ac:dyDescent="0.2">
      <c r="A81" s="478"/>
      <c r="B81" s="245"/>
      <c r="C81" s="270" t="s">
        <v>425</v>
      </c>
      <c r="D81" s="245" t="s">
        <v>483</v>
      </c>
      <c r="E81" s="500"/>
      <c r="F81" s="493"/>
      <c r="G81" s="271"/>
      <c r="H81" s="271">
        <v>0.5</v>
      </c>
      <c r="I81" s="271"/>
      <c r="J81" s="287"/>
      <c r="K81" s="486"/>
      <c r="L81" s="467"/>
      <c r="M81" s="467"/>
      <c r="N81" s="467"/>
      <c r="O81" s="487"/>
      <c r="P81" s="486"/>
      <c r="Q81" s="467"/>
      <c r="R81" s="467"/>
      <c r="S81" s="467"/>
      <c r="T81" s="487"/>
      <c r="U81" s="486"/>
      <c r="V81" s="467"/>
      <c r="W81" s="467"/>
      <c r="X81" s="467"/>
      <c r="Y81" s="487"/>
      <c r="Z81" s="486"/>
      <c r="AA81" s="467"/>
      <c r="AB81" s="467"/>
      <c r="AC81" s="467"/>
      <c r="AD81" s="487"/>
      <c r="AE81" s="486"/>
      <c r="AF81" s="467"/>
      <c r="AG81" s="467"/>
      <c r="AH81" s="467"/>
      <c r="AI81" s="487"/>
      <c r="AJ81" s="486"/>
      <c r="AK81" s="467"/>
      <c r="AL81" s="467"/>
      <c r="AM81" s="467"/>
      <c r="AN81" s="487"/>
      <c r="AO81" s="486"/>
      <c r="AP81" s="467"/>
      <c r="AQ81" s="467"/>
      <c r="AR81" s="467"/>
      <c r="AS81" s="487"/>
    </row>
    <row r="82" spans="1:45" hidden="1" outlineLevel="1" x14ac:dyDescent="0.2">
      <c r="A82" s="478"/>
      <c r="B82" s="245"/>
      <c r="C82" s="270" t="s">
        <v>427</v>
      </c>
      <c r="D82" s="245"/>
      <c r="E82" s="500"/>
      <c r="F82" s="493"/>
      <c r="G82" s="271"/>
      <c r="H82" s="271"/>
      <c r="I82" s="271"/>
      <c r="J82" s="287"/>
      <c r="K82" s="486"/>
      <c r="L82" s="467"/>
      <c r="M82" s="467"/>
      <c r="N82" s="467"/>
      <c r="O82" s="487"/>
      <c r="P82" s="486"/>
      <c r="Q82" s="467"/>
      <c r="R82" s="467"/>
      <c r="S82" s="467"/>
      <c r="T82" s="487"/>
      <c r="U82" s="486"/>
      <c r="V82" s="467"/>
      <c r="W82" s="467"/>
      <c r="X82" s="467"/>
      <c r="Y82" s="487"/>
      <c r="Z82" s="486"/>
      <c r="AA82" s="467"/>
      <c r="AB82" s="467"/>
      <c r="AC82" s="467"/>
      <c r="AD82" s="487"/>
      <c r="AE82" s="486"/>
      <c r="AF82" s="467"/>
      <c r="AG82" s="467"/>
      <c r="AH82" s="467"/>
      <c r="AI82" s="487"/>
      <c r="AJ82" s="486"/>
      <c r="AK82" s="467"/>
      <c r="AL82" s="467"/>
      <c r="AM82" s="467"/>
      <c r="AN82" s="487"/>
      <c r="AO82" s="486"/>
      <c r="AP82" s="467"/>
      <c r="AQ82" s="467"/>
      <c r="AR82" s="467"/>
      <c r="AS82" s="487"/>
    </row>
    <row r="83" spans="1:45" ht="16" hidden="1" outlineLevel="1" thickBot="1" x14ac:dyDescent="0.25">
      <c r="A83" s="479"/>
      <c r="B83" s="468"/>
      <c r="C83" s="481" t="s">
        <v>429</v>
      </c>
      <c r="D83" s="468"/>
      <c r="E83" s="469"/>
      <c r="F83" s="494"/>
      <c r="G83" s="468"/>
      <c r="H83" s="468"/>
      <c r="I83" s="468"/>
      <c r="J83" s="469"/>
      <c r="K83" s="486"/>
      <c r="L83" s="467"/>
      <c r="M83" s="467"/>
      <c r="N83" s="467"/>
      <c r="O83" s="487"/>
      <c r="P83" s="486"/>
      <c r="Q83" s="467"/>
      <c r="R83" s="467"/>
      <c r="S83" s="467"/>
      <c r="T83" s="487"/>
      <c r="U83" s="486"/>
      <c r="V83" s="467"/>
      <c r="W83" s="467"/>
      <c r="X83" s="467"/>
      <c r="Y83" s="487"/>
      <c r="Z83" s="486"/>
      <c r="AA83" s="467"/>
      <c r="AB83" s="467"/>
      <c r="AC83" s="467"/>
      <c r="AD83" s="487"/>
      <c r="AE83" s="486"/>
      <c r="AF83" s="467"/>
      <c r="AG83" s="467"/>
      <c r="AH83" s="467"/>
      <c r="AI83" s="487"/>
      <c r="AJ83" s="486"/>
      <c r="AK83" s="467"/>
      <c r="AL83" s="467"/>
      <c r="AM83" s="467"/>
      <c r="AN83" s="487"/>
      <c r="AO83" s="486"/>
      <c r="AP83" s="467"/>
      <c r="AQ83" s="467"/>
      <c r="AR83" s="467"/>
      <c r="AS83" s="487"/>
    </row>
    <row r="84" spans="1:45" ht="16" collapsed="1" thickBot="1" x14ac:dyDescent="0.25">
      <c r="A84" s="475">
        <v>11</v>
      </c>
      <c r="B84" s="476" t="s">
        <v>43</v>
      </c>
      <c r="C84" s="476"/>
      <c r="D84" s="477" t="s">
        <v>484</v>
      </c>
      <c r="E84" s="499"/>
      <c r="F84" s="490">
        <f>+SUM(F85:F88)</f>
        <v>0</v>
      </c>
      <c r="G84" s="483">
        <f t="shared" ref="G84" si="130">+SUM(G85:G88)</f>
        <v>0</v>
      </c>
      <c r="H84" s="483">
        <f t="shared" ref="H84" si="131">+SUM(H85:H88)</f>
        <v>1.5</v>
      </c>
      <c r="I84" s="483">
        <f t="shared" ref="I84" si="132">+SUM(I85:I88)</f>
        <v>0</v>
      </c>
      <c r="J84" s="484">
        <f t="shared" ref="J84" si="133">+SUM(J85:J88)</f>
        <v>0</v>
      </c>
      <c r="K84" s="482">
        <f>+SUM(K85:K88)</f>
        <v>0</v>
      </c>
      <c r="L84" s="483">
        <f t="shared" ref="L84:O84" si="134">+SUM(L85:L88)</f>
        <v>2.5</v>
      </c>
      <c r="M84" s="483">
        <f t="shared" si="134"/>
        <v>4</v>
      </c>
      <c r="N84" s="483">
        <f t="shared" si="134"/>
        <v>0</v>
      </c>
      <c r="O84" s="484">
        <f t="shared" si="134"/>
        <v>0</v>
      </c>
      <c r="P84" s="482">
        <f>+SUM(P85:P88)</f>
        <v>0</v>
      </c>
      <c r="Q84" s="483">
        <f t="shared" ref="Q84:T84" si="135">+SUM(Q85:Q88)</f>
        <v>0</v>
      </c>
      <c r="R84" s="483">
        <f t="shared" si="135"/>
        <v>4</v>
      </c>
      <c r="S84" s="483">
        <f t="shared" si="135"/>
        <v>0</v>
      </c>
      <c r="T84" s="484">
        <f t="shared" si="135"/>
        <v>0</v>
      </c>
      <c r="U84" s="482">
        <f>+SUM(U85:U88)</f>
        <v>0</v>
      </c>
      <c r="V84" s="483">
        <f t="shared" ref="V84:Y84" si="136">+SUM(V85:V88)</f>
        <v>0</v>
      </c>
      <c r="W84" s="483">
        <f t="shared" si="136"/>
        <v>4</v>
      </c>
      <c r="X84" s="483">
        <f t="shared" si="136"/>
        <v>0</v>
      </c>
      <c r="Y84" s="484">
        <f t="shared" si="136"/>
        <v>0</v>
      </c>
      <c r="Z84" s="482">
        <f>+SUM(Z85:Z88)</f>
        <v>0</v>
      </c>
      <c r="AA84" s="483">
        <f t="shared" ref="AA84:AD84" si="137">+SUM(AA85:AA88)</f>
        <v>0</v>
      </c>
      <c r="AB84" s="483">
        <f t="shared" si="137"/>
        <v>4</v>
      </c>
      <c r="AC84" s="483">
        <f t="shared" si="137"/>
        <v>0</v>
      </c>
      <c r="AD84" s="484">
        <f t="shared" si="137"/>
        <v>0</v>
      </c>
      <c r="AE84" s="482">
        <f>+SUM(AE85:AE88)</f>
        <v>0</v>
      </c>
      <c r="AF84" s="483">
        <f t="shared" ref="AF84:AI84" si="138">+SUM(AF85:AF88)</f>
        <v>0</v>
      </c>
      <c r="AG84" s="483">
        <f t="shared" si="138"/>
        <v>4</v>
      </c>
      <c r="AH84" s="483">
        <f t="shared" si="138"/>
        <v>0</v>
      </c>
      <c r="AI84" s="484">
        <f t="shared" si="138"/>
        <v>0</v>
      </c>
      <c r="AJ84" s="482">
        <f>+SUM(AJ85:AJ88)</f>
        <v>0</v>
      </c>
      <c r="AK84" s="483">
        <f t="shared" ref="AK84:AN84" si="139">+SUM(AK85:AK88)</f>
        <v>0</v>
      </c>
      <c r="AL84" s="483">
        <f t="shared" si="139"/>
        <v>4</v>
      </c>
      <c r="AM84" s="483">
        <f t="shared" si="139"/>
        <v>0</v>
      </c>
      <c r="AN84" s="484">
        <f t="shared" si="139"/>
        <v>0</v>
      </c>
      <c r="AO84" s="482">
        <f>+SUM(AO85:AO88)</f>
        <v>0</v>
      </c>
      <c r="AP84" s="483">
        <f t="shared" ref="AP84:AS84" si="140">+SUM(AP85:AP88)</f>
        <v>0</v>
      </c>
      <c r="AQ84" s="483">
        <f t="shared" si="140"/>
        <v>4</v>
      </c>
      <c r="AR84" s="483">
        <f t="shared" si="140"/>
        <v>0</v>
      </c>
      <c r="AS84" s="484">
        <f t="shared" si="140"/>
        <v>0</v>
      </c>
    </row>
    <row r="85" spans="1:45" hidden="1" outlineLevel="1" x14ac:dyDescent="0.2">
      <c r="A85" s="478"/>
      <c r="B85" s="245"/>
      <c r="C85" s="270" t="s">
        <v>423</v>
      </c>
      <c r="D85" s="245" t="s">
        <v>485</v>
      </c>
      <c r="E85" s="500"/>
      <c r="F85" s="493"/>
      <c r="G85" s="271"/>
      <c r="H85" s="474">
        <v>1.5</v>
      </c>
      <c r="I85" s="271"/>
      <c r="J85" s="287"/>
      <c r="K85" s="486"/>
      <c r="L85" s="467"/>
      <c r="M85" s="467"/>
      <c r="N85" s="467"/>
      <c r="O85" s="487"/>
      <c r="P85" s="486"/>
      <c r="Q85" s="467"/>
      <c r="R85" s="467"/>
      <c r="S85" s="467"/>
      <c r="T85" s="487"/>
      <c r="U85" s="486"/>
      <c r="V85" s="467"/>
      <c r="W85" s="467"/>
      <c r="X85" s="467"/>
      <c r="Y85" s="487"/>
      <c r="Z85" s="486"/>
      <c r="AA85" s="467"/>
      <c r="AB85" s="467"/>
      <c r="AC85" s="467"/>
      <c r="AD85" s="487"/>
      <c r="AE85" s="486"/>
      <c r="AF85" s="467"/>
      <c r="AG85" s="467"/>
      <c r="AH85" s="467"/>
      <c r="AI85" s="487"/>
      <c r="AJ85" s="486"/>
      <c r="AK85" s="467"/>
      <c r="AL85" s="467"/>
      <c r="AM85" s="467"/>
      <c r="AN85" s="487"/>
      <c r="AO85" s="486"/>
      <c r="AP85" s="467"/>
      <c r="AQ85" s="467"/>
      <c r="AR85" s="467"/>
      <c r="AS85" s="487"/>
    </row>
    <row r="86" spans="1:45" hidden="1" outlineLevel="1" x14ac:dyDescent="0.2">
      <c r="A86" s="478"/>
      <c r="B86" s="245"/>
      <c r="C86" s="270" t="s">
        <v>425</v>
      </c>
      <c r="D86" s="519" t="s">
        <v>486</v>
      </c>
      <c r="E86" s="500"/>
      <c r="F86" s="493"/>
      <c r="G86" s="271"/>
      <c r="H86" s="474">
        <v>0</v>
      </c>
      <c r="I86" s="271">
        <v>0</v>
      </c>
      <c r="J86" s="287"/>
      <c r="K86" s="486"/>
      <c r="L86" s="467">
        <v>0.5</v>
      </c>
      <c r="M86" s="467"/>
      <c r="N86" s="467"/>
      <c r="O86" s="487"/>
      <c r="P86" s="486"/>
      <c r="Q86" s="467"/>
      <c r="R86" s="467"/>
      <c r="S86" s="467"/>
      <c r="T86" s="487"/>
      <c r="U86" s="486"/>
      <c r="V86" s="467"/>
      <c r="W86" s="467"/>
      <c r="X86" s="467"/>
      <c r="Y86" s="487"/>
      <c r="Z86" s="486"/>
      <c r="AA86" s="467"/>
      <c r="AB86" s="467"/>
      <c r="AC86" s="467"/>
      <c r="AD86" s="487"/>
      <c r="AE86" s="486"/>
      <c r="AF86" s="467"/>
      <c r="AG86" s="467"/>
      <c r="AH86" s="467"/>
      <c r="AI86" s="487"/>
      <c r="AJ86" s="486"/>
      <c r="AK86" s="467"/>
      <c r="AL86" s="467"/>
      <c r="AM86" s="467"/>
      <c r="AN86" s="487"/>
      <c r="AO86" s="486"/>
      <c r="AP86" s="467"/>
      <c r="AQ86" s="467"/>
      <c r="AR86" s="467"/>
      <c r="AS86" s="487"/>
    </row>
    <row r="87" spans="1:45" hidden="1" outlineLevel="1" x14ac:dyDescent="0.2">
      <c r="A87" s="478"/>
      <c r="B87" s="245"/>
      <c r="C87" s="270" t="s">
        <v>427</v>
      </c>
      <c r="D87" s="519" t="s">
        <v>487</v>
      </c>
      <c r="E87" s="500" t="s">
        <v>488</v>
      </c>
      <c r="F87" s="493"/>
      <c r="G87" s="271"/>
      <c r="H87" s="474">
        <v>0</v>
      </c>
      <c r="I87" s="271">
        <v>0</v>
      </c>
      <c r="J87" s="287"/>
      <c r="K87" s="486"/>
      <c r="L87" s="467">
        <v>2</v>
      </c>
      <c r="M87" s="467"/>
      <c r="N87" s="467"/>
      <c r="O87" s="487"/>
      <c r="P87" s="486"/>
      <c r="Q87" s="467"/>
      <c r="R87" s="467"/>
      <c r="S87" s="467"/>
      <c r="T87" s="487"/>
      <c r="U87" s="486"/>
      <c r="V87" s="467"/>
      <c r="W87" s="467"/>
      <c r="X87" s="467"/>
      <c r="Y87" s="487"/>
      <c r="Z87" s="486"/>
      <c r="AA87" s="467"/>
      <c r="AB87" s="467"/>
      <c r="AC87" s="467"/>
      <c r="AD87" s="487"/>
      <c r="AE87" s="486"/>
      <c r="AF87" s="467"/>
      <c r="AG87" s="467"/>
      <c r="AH87" s="467"/>
      <c r="AI87" s="487"/>
      <c r="AJ87" s="486"/>
      <c r="AK87" s="467"/>
      <c r="AL87" s="467"/>
      <c r="AM87" s="467"/>
      <c r="AN87" s="487"/>
      <c r="AO87" s="486"/>
      <c r="AP87" s="467"/>
      <c r="AQ87" s="467"/>
      <c r="AR87" s="467"/>
      <c r="AS87" s="487"/>
    </row>
    <row r="88" spans="1:45" ht="16" hidden="1" outlineLevel="1" thickBot="1" x14ac:dyDescent="0.25">
      <c r="A88" s="479"/>
      <c r="B88" s="468"/>
      <c r="C88" s="481" t="s">
        <v>429</v>
      </c>
      <c r="D88" s="468" t="s">
        <v>489</v>
      </c>
      <c r="E88" s="469"/>
      <c r="F88" s="494"/>
      <c r="G88" s="468"/>
      <c r="H88" s="468"/>
      <c r="I88" s="468"/>
      <c r="J88" s="469"/>
      <c r="K88" s="486"/>
      <c r="L88" s="467"/>
      <c r="M88" s="467">
        <v>4</v>
      </c>
      <c r="N88" s="467"/>
      <c r="O88" s="487"/>
      <c r="P88" s="486"/>
      <c r="Q88" s="467"/>
      <c r="R88" s="467">
        <v>4</v>
      </c>
      <c r="S88" s="467"/>
      <c r="T88" s="487"/>
      <c r="U88" s="486"/>
      <c r="V88" s="467"/>
      <c r="W88" s="467">
        <v>4</v>
      </c>
      <c r="X88" s="467"/>
      <c r="Y88" s="487"/>
      <c r="Z88" s="486"/>
      <c r="AA88" s="467"/>
      <c r="AB88" s="467">
        <v>4</v>
      </c>
      <c r="AC88" s="467"/>
      <c r="AD88" s="487"/>
      <c r="AE88" s="486"/>
      <c r="AF88" s="467"/>
      <c r="AG88" s="467">
        <v>4</v>
      </c>
      <c r="AH88" s="467"/>
      <c r="AI88" s="487"/>
      <c r="AJ88" s="486"/>
      <c r="AK88" s="467"/>
      <c r="AL88" s="467">
        <v>4</v>
      </c>
      <c r="AM88" s="467"/>
      <c r="AN88" s="487"/>
      <c r="AO88" s="486"/>
      <c r="AP88" s="467"/>
      <c r="AQ88" s="467">
        <v>4</v>
      </c>
      <c r="AR88" s="467"/>
      <c r="AS88" s="487"/>
    </row>
    <row r="89" spans="1:45" ht="16" collapsed="1" thickBot="1" x14ac:dyDescent="0.25">
      <c r="A89" s="475">
        <v>12</v>
      </c>
      <c r="B89" s="476" t="s">
        <v>46</v>
      </c>
      <c r="C89" s="476"/>
      <c r="D89" s="477" t="s">
        <v>490</v>
      </c>
      <c r="E89" s="499"/>
      <c r="F89" s="490">
        <f>+SUM(F90:F93)</f>
        <v>0</v>
      </c>
      <c r="G89" s="483">
        <f t="shared" ref="G89" si="141">+SUM(G90:G93)</f>
        <v>0</v>
      </c>
      <c r="H89" s="483">
        <f t="shared" ref="H89" si="142">+SUM(H90:H93)</f>
        <v>0</v>
      </c>
      <c r="I89" s="483">
        <f t="shared" ref="I89" si="143">+SUM(I90:I93)</f>
        <v>0</v>
      </c>
      <c r="J89" s="484">
        <f t="shared" ref="J89" si="144">+SUM(J90:J93)</f>
        <v>0</v>
      </c>
      <c r="K89" s="482">
        <f>+SUM(K90:K93)</f>
        <v>0</v>
      </c>
      <c r="L89" s="483">
        <f t="shared" ref="L89:O89" si="145">+SUM(L90:L93)</f>
        <v>3</v>
      </c>
      <c r="M89" s="483">
        <f t="shared" si="145"/>
        <v>0</v>
      </c>
      <c r="N89" s="483">
        <f t="shared" si="145"/>
        <v>0</v>
      </c>
      <c r="O89" s="484">
        <f t="shared" si="145"/>
        <v>0</v>
      </c>
      <c r="P89" s="482">
        <f>+SUM(P90:P93)</f>
        <v>0</v>
      </c>
      <c r="Q89" s="483">
        <f t="shared" ref="Q89:T89" si="146">+SUM(Q90:Q93)</f>
        <v>0</v>
      </c>
      <c r="R89" s="483">
        <f t="shared" si="146"/>
        <v>0</v>
      </c>
      <c r="S89" s="483">
        <f t="shared" si="146"/>
        <v>0</v>
      </c>
      <c r="T89" s="484">
        <f t="shared" si="146"/>
        <v>0</v>
      </c>
      <c r="U89" s="482">
        <f>+SUM(U90:U93)</f>
        <v>0</v>
      </c>
      <c r="V89" s="483">
        <f t="shared" ref="V89:Y89" si="147">+SUM(V90:V93)</f>
        <v>0</v>
      </c>
      <c r="W89" s="483">
        <f t="shared" si="147"/>
        <v>0</v>
      </c>
      <c r="X89" s="483">
        <f t="shared" si="147"/>
        <v>0</v>
      </c>
      <c r="Y89" s="484">
        <f t="shared" si="147"/>
        <v>0</v>
      </c>
      <c r="Z89" s="482">
        <f>+SUM(Z90:Z93)</f>
        <v>0</v>
      </c>
      <c r="AA89" s="483">
        <f t="shared" ref="AA89:AD89" si="148">+SUM(AA90:AA93)</f>
        <v>0</v>
      </c>
      <c r="AB89" s="483">
        <f t="shared" si="148"/>
        <v>0</v>
      </c>
      <c r="AC89" s="483">
        <f t="shared" si="148"/>
        <v>0</v>
      </c>
      <c r="AD89" s="484">
        <f t="shared" si="148"/>
        <v>0</v>
      </c>
      <c r="AE89" s="482">
        <f>+SUM(AE90:AE93)</f>
        <v>0</v>
      </c>
      <c r="AF89" s="483">
        <f t="shared" ref="AF89:AI89" si="149">+SUM(AF90:AF93)</f>
        <v>0</v>
      </c>
      <c r="AG89" s="483">
        <f t="shared" si="149"/>
        <v>0</v>
      </c>
      <c r="AH89" s="483">
        <f t="shared" si="149"/>
        <v>0</v>
      </c>
      <c r="AI89" s="484">
        <f t="shared" si="149"/>
        <v>0</v>
      </c>
      <c r="AJ89" s="482">
        <f>+SUM(AJ90:AJ93)</f>
        <v>0</v>
      </c>
      <c r="AK89" s="483">
        <f t="shared" ref="AK89:AN89" si="150">+SUM(AK90:AK93)</f>
        <v>0</v>
      </c>
      <c r="AL89" s="483">
        <f t="shared" si="150"/>
        <v>0</v>
      </c>
      <c r="AM89" s="483">
        <f t="shared" si="150"/>
        <v>0</v>
      </c>
      <c r="AN89" s="484">
        <f t="shared" si="150"/>
        <v>0</v>
      </c>
      <c r="AO89" s="482">
        <f>+SUM(AO90:AO93)</f>
        <v>0</v>
      </c>
      <c r="AP89" s="483">
        <f t="shared" ref="AP89:AS89" si="151">+SUM(AP90:AP93)</f>
        <v>0</v>
      </c>
      <c r="AQ89" s="483">
        <f t="shared" si="151"/>
        <v>0</v>
      </c>
      <c r="AR89" s="483">
        <f t="shared" si="151"/>
        <v>0</v>
      </c>
      <c r="AS89" s="484">
        <f t="shared" si="151"/>
        <v>0</v>
      </c>
    </row>
    <row r="90" spans="1:45" hidden="1" outlineLevel="1" x14ac:dyDescent="0.2">
      <c r="A90" s="478"/>
      <c r="B90" s="245"/>
      <c r="C90" s="270" t="s">
        <v>423</v>
      </c>
      <c r="D90" s="245" t="s">
        <v>491</v>
      </c>
      <c r="E90" s="500" t="s">
        <v>492</v>
      </c>
      <c r="F90" s="493"/>
      <c r="G90" s="271"/>
      <c r="H90" s="271"/>
      <c r="I90" s="271"/>
      <c r="J90" s="287"/>
      <c r="K90" s="478"/>
      <c r="L90" s="271">
        <v>3</v>
      </c>
      <c r="M90" s="271"/>
      <c r="N90" s="271"/>
      <c r="O90" s="287"/>
      <c r="P90" s="478"/>
      <c r="Q90" s="271"/>
      <c r="R90" s="271"/>
      <c r="S90" s="271"/>
      <c r="T90" s="287"/>
      <c r="U90" s="478"/>
      <c r="V90" s="271"/>
      <c r="W90" s="271"/>
      <c r="X90" s="271"/>
      <c r="Y90" s="287"/>
      <c r="Z90" s="478"/>
      <c r="AA90" s="271"/>
      <c r="AB90" s="271"/>
      <c r="AC90" s="271"/>
      <c r="AD90" s="287"/>
      <c r="AE90" s="478"/>
      <c r="AF90" s="271"/>
      <c r="AG90" s="271"/>
      <c r="AH90" s="271"/>
      <c r="AI90" s="287"/>
      <c r="AJ90" s="478"/>
      <c r="AK90" s="271"/>
      <c r="AL90" s="271"/>
      <c r="AM90" s="271"/>
      <c r="AN90" s="287"/>
      <c r="AO90" s="478"/>
      <c r="AP90" s="271"/>
      <c r="AQ90" s="271"/>
      <c r="AR90" s="271"/>
      <c r="AS90" s="287"/>
    </row>
    <row r="91" spans="1:45" hidden="1" outlineLevel="1" x14ac:dyDescent="0.2">
      <c r="A91" s="478"/>
      <c r="B91" s="245"/>
      <c r="C91" s="270" t="s">
        <v>425</v>
      </c>
      <c r="D91" s="245"/>
      <c r="E91" s="500"/>
      <c r="F91" s="493"/>
      <c r="G91" s="271"/>
      <c r="H91" s="271"/>
      <c r="I91" s="271"/>
      <c r="J91" s="287"/>
      <c r="K91" s="478"/>
      <c r="L91" s="271"/>
      <c r="M91" s="271"/>
      <c r="N91" s="271"/>
      <c r="O91" s="287"/>
      <c r="P91" s="478"/>
      <c r="Q91" s="271"/>
      <c r="R91" s="271"/>
      <c r="S91" s="271"/>
      <c r="T91" s="287"/>
      <c r="U91" s="478"/>
      <c r="V91" s="271"/>
      <c r="W91" s="271"/>
      <c r="X91" s="271"/>
      <c r="Y91" s="287"/>
      <c r="Z91" s="478"/>
      <c r="AA91" s="271"/>
      <c r="AB91" s="271"/>
      <c r="AC91" s="271"/>
      <c r="AD91" s="287"/>
      <c r="AE91" s="478"/>
      <c r="AF91" s="271"/>
      <c r="AG91" s="271"/>
      <c r="AH91" s="271"/>
      <c r="AI91" s="287"/>
      <c r="AJ91" s="478"/>
      <c r="AK91" s="271"/>
      <c r="AL91" s="271"/>
      <c r="AM91" s="271"/>
      <c r="AN91" s="287"/>
      <c r="AO91" s="478"/>
      <c r="AP91" s="271"/>
      <c r="AQ91" s="271"/>
      <c r="AR91" s="271"/>
      <c r="AS91" s="287"/>
    </row>
    <row r="92" spans="1:45" hidden="1" outlineLevel="1" x14ac:dyDescent="0.2">
      <c r="A92" s="478"/>
      <c r="B92" s="245"/>
      <c r="C92" s="270" t="s">
        <v>427</v>
      </c>
      <c r="D92" s="245"/>
      <c r="E92" s="500"/>
      <c r="F92" s="493"/>
      <c r="G92" s="271"/>
      <c r="H92" s="271"/>
      <c r="I92" s="271"/>
      <c r="J92" s="287"/>
      <c r="K92" s="478"/>
      <c r="L92" s="271"/>
      <c r="M92" s="271"/>
      <c r="N92" s="271"/>
      <c r="O92" s="287"/>
      <c r="P92" s="478"/>
      <c r="Q92" s="271"/>
      <c r="R92" s="271"/>
      <c r="S92" s="271"/>
      <c r="T92" s="287"/>
      <c r="U92" s="478"/>
      <c r="V92" s="271"/>
      <c r="W92" s="271"/>
      <c r="X92" s="271"/>
      <c r="Y92" s="287"/>
      <c r="Z92" s="478"/>
      <c r="AA92" s="271"/>
      <c r="AB92" s="271"/>
      <c r="AC92" s="271"/>
      <c r="AD92" s="287"/>
      <c r="AE92" s="478"/>
      <c r="AF92" s="271"/>
      <c r="AG92" s="271"/>
      <c r="AH92" s="271"/>
      <c r="AI92" s="287"/>
      <c r="AJ92" s="478"/>
      <c r="AK92" s="271"/>
      <c r="AL92" s="271"/>
      <c r="AM92" s="271"/>
      <c r="AN92" s="287"/>
      <c r="AO92" s="478"/>
      <c r="AP92" s="271"/>
      <c r="AQ92" s="271"/>
      <c r="AR92" s="271"/>
      <c r="AS92" s="287"/>
    </row>
    <row r="93" spans="1:45" ht="16" hidden="1" outlineLevel="1" thickBot="1" x14ac:dyDescent="0.25">
      <c r="A93" s="479"/>
      <c r="B93" s="468"/>
      <c r="C93" s="481" t="s">
        <v>429</v>
      </c>
      <c r="D93" s="468"/>
      <c r="E93" s="469"/>
      <c r="F93" s="494"/>
      <c r="G93" s="468"/>
      <c r="H93" s="468"/>
      <c r="I93" s="468"/>
      <c r="J93" s="469"/>
      <c r="K93" s="283"/>
      <c r="L93" s="468"/>
      <c r="M93" s="468"/>
      <c r="N93" s="468"/>
      <c r="O93" s="469"/>
      <c r="P93" s="283"/>
      <c r="Q93" s="468"/>
      <c r="R93" s="468"/>
      <c r="S93" s="468"/>
      <c r="T93" s="469"/>
      <c r="U93" s="283"/>
      <c r="V93" s="468"/>
      <c r="W93" s="468"/>
      <c r="X93" s="468"/>
      <c r="Y93" s="469"/>
      <c r="Z93" s="283"/>
      <c r="AA93" s="468"/>
      <c r="AB93" s="468"/>
      <c r="AC93" s="468"/>
      <c r="AD93" s="469"/>
      <c r="AE93" s="283"/>
      <c r="AF93" s="468"/>
      <c r="AG93" s="468"/>
      <c r="AH93" s="468"/>
      <c r="AI93" s="469"/>
      <c r="AJ93" s="283"/>
      <c r="AK93" s="468"/>
      <c r="AL93" s="468"/>
      <c r="AM93" s="468"/>
      <c r="AN93" s="469"/>
      <c r="AO93" s="283"/>
      <c r="AP93" s="468"/>
      <c r="AQ93" s="468"/>
      <c r="AR93" s="468"/>
      <c r="AS93" s="469"/>
    </row>
    <row r="94" spans="1:45" ht="16" collapsed="1" thickBot="1" x14ac:dyDescent="0.25">
      <c r="A94" s="475">
        <v>13</v>
      </c>
      <c r="B94" s="476" t="s">
        <v>46</v>
      </c>
      <c r="C94" s="476"/>
      <c r="D94" s="477" t="s">
        <v>493</v>
      </c>
      <c r="E94" s="499"/>
      <c r="F94" s="490">
        <f>+SUM(F95:F98)</f>
        <v>0</v>
      </c>
      <c r="G94" s="483">
        <f t="shared" ref="G94" si="152">+SUM(G95:G98)</f>
        <v>0</v>
      </c>
      <c r="H94" s="483">
        <f t="shared" ref="H94" si="153">+SUM(H95:H98)</f>
        <v>0</v>
      </c>
      <c r="I94" s="483">
        <f t="shared" ref="I94" si="154">+SUM(I95:I98)</f>
        <v>0</v>
      </c>
      <c r="J94" s="484">
        <f t="shared" ref="J94" si="155">+SUM(J95:J98)</f>
        <v>0</v>
      </c>
      <c r="K94" s="482">
        <f>+SUM(K95:K98)</f>
        <v>0</v>
      </c>
      <c r="L94" s="483">
        <f t="shared" ref="L94:O94" si="156">+SUM(L95:L98)</f>
        <v>0</v>
      </c>
      <c r="M94" s="483">
        <f t="shared" si="156"/>
        <v>0</v>
      </c>
      <c r="N94" s="483">
        <f t="shared" si="156"/>
        <v>0</v>
      </c>
      <c r="O94" s="484">
        <f t="shared" si="156"/>
        <v>0</v>
      </c>
      <c r="P94" s="482">
        <f>+SUM(P95:P98)</f>
        <v>0</v>
      </c>
      <c r="Q94" s="483">
        <f t="shared" ref="Q94:T94" si="157">+SUM(Q95:Q98)</f>
        <v>0</v>
      </c>
      <c r="R94" s="483">
        <f t="shared" si="157"/>
        <v>0</v>
      </c>
      <c r="S94" s="483">
        <f t="shared" si="157"/>
        <v>0</v>
      </c>
      <c r="T94" s="484">
        <f t="shared" si="157"/>
        <v>0</v>
      </c>
      <c r="U94" s="482">
        <f>+SUM(U95:U98)</f>
        <v>0</v>
      </c>
      <c r="V94" s="483">
        <f t="shared" ref="V94:Y94" si="158">+SUM(V95:V98)</f>
        <v>0</v>
      </c>
      <c r="W94" s="483">
        <f t="shared" si="158"/>
        <v>0</v>
      </c>
      <c r="X94" s="483">
        <f t="shared" si="158"/>
        <v>0</v>
      </c>
      <c r="Y94" s="484">
        <f t="shared" si="158"/>
        <v>0</v>
      </c>
      <c r="Z94" s="482">
        <f>+SUM(Z95:Z98)</f>
        <v>0</v>
      </c>
      <c r="AA94" s="483">
        <f t="shared" ref="AA94:AD94" si="159">+SUM(AA95:AA98)</f>
        <v>0</v>
      </c>
      <c r="AB94" s="483">
        <f t="shared" si="159"/>
        <v>0</v>
      </c>
      <c r="AC94" s="483">
        <f t="shared" si="159"/>
        <v>0</v>
      </c>
      <c r="AD94" s="484">
        <f t="shared" si="159"/>
        <v>0</v>
      </c>
      <c r="AE94" s="482">
        <f>+SUM(AE95:AE98)</f>
        <v>0</v>
      </c>
      <c r="AF94" s="483">
        <f t="shared" ref="AF94:AI94" si="160">+SUM(AF95:AF98)</f>
        <v>0</v>
      </c>
      <c r="AG94" s="483">
        <f t="shared" si="160"/>
        <v>0</v>
      </c>
      <c r="AH94" s="483">
        <f t="shared" si="160"/>
        <v>0</v>
      </c>
      <c r="AI94" s="484">
        <f t="shared" si="160"/>
        <v>0</v>
      </c>
      <c r="AJ94" s="482">
        <f>+SUM(AJ95:AJ98)</f>
        <v>0</v>
      </c>
      <c r="AK94" s="483">
        <f t="shared" ref="AK94:AN94" si="161">+SUM(AK95:AK98)</f>
        <v>0</v>
      </c>
      <c r="AL94" s="483">
        <f t="shared" si="161"/>
        <v>0</v>
      </c>
      <c r="AM94" s="483">
        <f t="shared" si="161"/>
        <v>0</v>
      </c>
      <c r="AN94" s="484">
        <f t="shared" si="161"/>
        <v>0</v>
      </c>
      <c r="AO94" s="482">
        <f>+SUM(AO95:AO98)</f>
        <v>0</v>
      </c>
      <c r="AP94" s="483">
        <f t="shared" ref="AP94:AS94" si="162">+SUM(AP95:AP98)</f>
        <v>0</v>
      </c>
      <c r="AQ94" s="483">
        <f t="shared" si="162"/>
        <v>0</v>
      </c>
      <c r="AR94" s="483">
        <f t="shared" si="162"/>
        <v>0</v>
      </c>
      <c r="AS94" s="484">
        <f t="shared" si="162"/>
        <v>0</v>
      </c>
    </row>
    <row r="95" spans="1:45" hidden="1" outlineLevel="1" x14ac:dyDescent="0.2">
      <c r="A95" s="478"/>
      <c r="B95" s="245"/>
      <c r="C95" s="270" t="s">
        <v>423</v>
      </c>
      <c r="D95" s="519" t="s">
        <v>494</v>
      </c>
      <c r="E95" s="527" t="s">
        <v>495</v>
      </c>
      <c r="F95" s="498">
        <v>0</v>
      </c>
      <c r="G95" s="271"/>
      <c r="H95" s="271"/>
      <c r="I95" s="271"/>
      <c r="J95" s="287"/>
      <c r="K95" s="486"/>
      <c r="L95" s="467"/>
      <c r="M95" s="467"/>
      <c r="N95" s="467"/>
      <c r="O95" s="487"/>
      <c r="P95" s="486"/>
      <c r="Q95" s="467"/>
      <c r="R95" s="467"/>
      <c r="S95" s="467"/>
      <c r="T95" s="487"/>
      <c r="U95" s="486"/>
      <c r="V95" s="467"/>
      <c r="W95" s="467"/>
      <c r="X95" s="467"/>
      <c r="Y95" s="487"/>
      <c r="Z95" s="486"/>
      <c r="AA95" s="467"/>
      <c r="AB95" s="467"/>
      <c r="AC95" s="467"/>
      <c r="AD95" s="487"/>
      <c r="AE95" s="486"/>
      <c r="AF95" s="467"/>
      <c r="AG95" s="467"/>
      <c r="AH95" s="467"/>
      <c r="AI95" s="487"/>
      <c r="AJ95" s="486"/>
      <c r="AK95" s="467"/>
      <c r="AL95" s="467"/>
      <c r="AM95" s="467"/>
      <c r="AN95" s="487"/>
      <c r="AO95" s="486"/>
      <c r="AP95" s="467"/>
      <c r="AQ95" s="467"/>
      <c r="AR95" s="467"/>
      <c r="AS95" s="487"/>
    </row>
    <row r="96" spans="1:45" hidden="1" outlineLevel="1" x14ac:dyDescent="0.2">
      <c r="A96" s="478"/>
      <c r="B96" s="245"/>
      <c r="C96" s="270" t="s">
        <v>425</v>
      </c>
      <c r="D96" s="245"/>
      <c r="E96" s="500"/>
      <c r="F96" s="493"/>
      <c r="G96" s="271"/>
      <c r="H96" s="271"/>
      <c r="I96" s="474">
        <v>0</v>
      </c>
      <c r="J96" s="287"/>
      <c r="K96" s="486"/>
      <c r="L96" s="467"/>
      <c r="M96" s="467"/>
      <c r="N96" s="467"/>
      <c r="O96" s="487"/>
      <c r="P96" s="486"/>
      <c r="Q96" s="467"/>
      <c r="R96" s="467"/>
      <c r="S96" s="467"/>
      <c r="T96" s="487"/>
      <c r="U96" s="486"/>
      <c r="V96" s="467"/>
      <c r="W96" s="467"/>
      <c r="X96" s="467"/>
      <c r="Y96" s="487"/>
      <c r="Z96" s="486"/>
      <c r="AA96" s="467"/>
      <c r="AB96" s="467"/>
      <c r="AC96" s="467"/>
      <c r="AD96" s="487"/>
      <c r="AE96" s="486"/>
      <c r="AF96" s="467"/>
      <c r="AG96" s="467"/>
      <c r="AH96" s="467"/>
      <c r="AI96" s="487"/>
      <c r="AJ96" s="486"/>
      <c r="AK96" s="467"/>
      <c r="AL96" s="467"/>
      <c r="AM96" s="467"/>
      <c r="AN96" s="487"/>
      <c r="AO96" s="486"/>
      <c r="AP96" s="467"/>
      <c r="AQ96" s="467"/>
      <c r="AR96" s="467"/>
      <c r="AS96" s="487"/>
    </row>
    <row r="97" spans="1:45" hidden="1" outlineLevel="1" x14ac:dyDescent="0.2">
      <c r="A97" s="478"/>
      <c r="B97" s="245"/>
      <c r="C97" s="270" t="s">
        <v>427</v>
      </c>
      <c r="E97" s="500"/>
      <c r="F97" s="493"/>
      <c r="G97" s="271"/>
      <c r="H97" s="271"/>
      <c r="I97" s="271"/>
      <c r="J97" s="287"/>
      <c r="K97" s="486"/>
      <c r="L97" s="467"/>
      <c r="M97" s="467"/>
      <c r="N97" s="467"/>
      <c r="O97" s="487"/>
      <c r="P97" s="486"/>
      <c r="Q97" s="467"/>
      <c r="R97" s="467"/>
      <c r="S97" s="467"/>
      <c r="T97" s="487"/>
      <c r="U97" s="486"/>
      <c r="V97" s="467"/>
      <c r="W97" s="467"/>
      <c r="X97" s="467"/>
      <c r="Y97" s="487"/>
      <c r="Z97" s="486"/>
      <c r="AA97" s="467"/>
      <c r="AB97" s="467"/>
      <c r="AC97" s="467"/>
      <c r="AD97" s="487"/>
      <c r="AE97" s="486"/>
      <c r="AF97" s="467"/>
      <c r="AG97" s="467"/>
      <c r="AH97" s="467"/>
      <c r="AI97" s="487"/>
      <c r="AJ97" s="486"/>
      <c r="AK97" s="467"/>
      <c r="AL97" s="467"/>
      <c r="AM97" s="467"/>
      <c r="AN97" s="487"/>
      <c r="AO97" s="486"/>
      <c r="AP97" s="467"/>
      <c r="AQ97" s="467"/>
      <c r="AR97" s="467"/>
      <c r="AS97" s="487"/>
    </row>
    <row r="98" spans="1:45" ht="16" hidden="1" outlineLevel="1" thickBot="1" x14ac:dyDescent="0.25">
      <c r="A98" s="479"/>
      <c r="B98" s="468"/>
      <c r="C98" s="481" t="s">
        <v>429</v>
      </c>
      <c r="D98" s="468"/>
      <c r="E98" s="469"/>
      <c r="F98" s="494"/>
      <c r="G98" s="468"/>
      <c r="H98" s="468"/>
      <c r="I98" s="468"/>
      <c r="J98" s="469"/>
      <c r="K98" s="486"/>
      <c r="L98" s="467"/>
      <c r="M98" s="467"/>
      <c r="N98" s="467"/>
      <c r="O98" s="487"/>
      <c r="P98" s="486"/>
      <c r="Q98" s="467"/>
      <c r="R98" s="467"/>
      <c r="S98" s="467"/>
      <c r="T98" s="487"/>
      <c r="U98" s="486"/>
      <c r="V98" s="467"/>
      <c r="W98" s="467"/>
      <c r="X98" s="467"/>
      <c r="Y98" s="487"/>
      <c r="Z98" s="486"/>
      <c r="AA98" s="467"/>
      <c r="AB98" s="467"/>
      <c r="AC98" s="467"/>
      <c r="AD98" s="487"/>
      <c r="AE98" s="486"/>
      <c r="AF98" s="467"/>
      <c r="AG98" s="467"/>
      <c r="AH98" s="467"/>
      <c r="AI98" s="487"/>
      <c r="AJ98" s="486"/>
      <c r="AK98" s="467"/>
      <c r="AL98" s="467"/>
      <c r="AM98" s="467"/>
      <c r="AN98" s="487"/>
      <c r="AO98" s="486"/>
      <c r="AP98" s="467"/>
      <c r="AQ98" s="467"/>
      <c r="AR98" s="467"/>
      <c r="AS98" s="487"/>
    </row>
    <row r="99" spans="1:45" ht="16" collapsed="1" thickBot="1" x14ac:dyDescent="0.25">
      <c r="A99" s="475">
        <v>15</v>
      </c>
      <c r="B99" s="476" t="s">
        <v>45</v>
      </c>
      <c r="C99" s="476"/>
      <c r="D99" s="477" t="s">
        <v>195</v>
      </c>
      <c r="E99" s="499"/>
      <c r="F99" s="490">
        <f>+SUM(F100:F105)</f>
        <v>0</v>
      </c>
      <c r="G99" s="483">
        <f t="shared" ref="G99:J99" si="163">+SUM(G100:G105)</f>
        <v>0</v>
      </c>
      <c r="H99" s="483">
        <f t="shared" si="163"/>
        <v>0</v>
      </c>
      <c r="I99" s="483">
        <f t="shared" si="163"/>
        <v>0</v>
      </c>
      <c r="J99" s="484">
        <f t="shared" si="163"/>
        <v>0</v>
      </c>
      <c r="K99" s="482">
        <f>+SUM(K100:K105)</f>
        <v>0</v>
      </c>
      <c r="L99" s="483">
        <f t="shared" ref="L99:O99" si="164">+SUM(L100:L105)</f>
        <v>0</v>
      </c>
      <c r="M99" s="483">
        <f t="shared" si="164"/>
        <v>0</v>
      </c>
      <c r="N99" s="483">
        <f t="shared" si="164"/>
        <v>0</v>
      </c>
      <c r="O99" s="484">
        <f t="shared" si="164"/>
        <v>2</v>
      </c>
      <c r="P99" s="482">
        <f>+SUM(P100:P105)</f>
        <v>0</v>
      </c>
      <c r="Q99" s="483">
        <f t="shared" ref="Q99:T99" si="165">+SUM(Q100:Q105)</f>
        <v>0</v>
      </c>
      <c r="R99" s="483">
        <f t="shared" si="165"/>
        <v>0</v>
      </c>
      <c r="S99" s="483">
        <f t="shared" si="165"/>
        <v>0</v>
      </c>
      <c r="T99" s="484">
        <f t="shared" si="165"/>
        <v>0</v>
      </c>
      <c r="U99" s="482">
        <f>+SUM(U100:U105)</f>
        <v>0</v>
      </c>
      <c r="V99" s="483">
        <f t="shared" ref="V99:Y99" si="166">+SUM(V100:V105)</f>
        <v>0</v>
      </c>
      <c r="W99" s="483">
        <f t="shared" si="166"/>
        <v>0</v>
      </c>
      <c r="X99" s="483">
        <f t="shared" si="166"/>
        <v>0</v>
      </c>
      <c r="Y99" s="484">
        <f t="shared" si="166"/>
        <v>0</v>
      </c>
      <c r="Z99" s="482">
        <f>+SUM(Z100:Z105)</f>
        <v>0</v>
      </c>
      <c r="AA99" s="483">
        <f t="shared" ref="AA99:AD99" si="167">+SUM(AA100:AA105)</f>
        <v>0</v>
      </c>
      <c r="AB99" s="483">
        <f t="shared" si="167"/>
        <v>0</v>
      </c>
      <c r="AC99" s="483">
        <f t="shared" si="167"/>
        <v>0</v>
      </c>
      <c r="AD99" s="484">
        <f t="shared" si="167"/>
        <v>0</v>
      </c>
      <c r="AE99" s="482">
        <f>+SUM(AE100:AE105)</f>
        <v>0</v>
      </c>
      <c r="AF99" s="483">
        <f t="shared" ref="AF99:AI99" si="168">+SUM(AF100:AF105)</f>
        <v>0</v>
      </c>
      <c r="AG99" s="483">
        <f t="shared" si="168"/>
        <v>0</v>
      </c>
      <c r="AH99" s="483">
        <f t="shared" si="168"/>
        <v>0</v>
      </c>
      <c r="AI99" s="484">
        <f t="shared" si="168"/>
        <v>0</v>
      </c>
      <c r="AJ99" s="482">
        <f>+SUM(AJ100:AJ105)</f>
        <v>0</v>
      </c>
      <c r="AK99" s="483">
        <f t="shared" ref="AK99:AN99" si="169">+SUM(AK100:AK105)</f>
        <v>0</v>
      </c>
      <c r="AL99" s="483">
        <f t="shared" si="169"/>
        <v>0</v>
      </c>
      <c r="AM99" s="483">
        <f t="shared" si="169"/>
        <v>0</v>
      </c>
      <c r="AN99" s="484">
        <f t="shared" si="169"/>
        <v>0</v>
      </c>
      <c r="AO99" s="482">
        <f>+SUM(AO100:AO105)</f>
        <v>0</v>
      </c>
      <c r="AP99" s="483">
        <f t="shared" ref="AP99:AS99" si="170">+SUM(AP100:AP105)</f>
        <v>0</v>
      </c>
      <c r="AQ99" s="483">
        <f t="shared" si="170"/>
        <v>0</v>
      </c>
      <c r="AR99" s="483">
        <f t="shared" si="170"/>
        <v>0</v>
      </c>
      <c r="AS99" s="484">
        <f t="shared" si="170"/>
        <v>0</v>
      </c>
    </row>
    <row r="100" spans="1:45" hidden="1" outlineLevel="1" x14ac:dyDescent="0.2">
      <c r="A100" s="478"/>
      <c r="B100" s="245"/>
      <c r="C100" s="270" t="s">
        <v>423</v>
      </c>
      <c r="D100" s="245" t="s">
        <v>496</v>
      </c>
      <c r="E100" s="500" t="s">
        <v>497</v>
      </c>
      <c r="F100" s="493"/>
      <c r="G100" s="271"/>
      <c r="H100" s="271"/>
      <c r="I100" s="271"/>
      <c r="J100" s="287"/>
      <c r="K100" s="486"/>
      <c r="L100" s="467"/>
      <c r="M100" s="467"/>
      <c r="N100" s="467"/>
      <c r="O100" s="487">
        <v>1</v>
      </c>
      <c r="P100" s="486"/>
      <c r="Q100" s="467"/>
      <c r="R100" s="467"/>
      <c r="S100" s="467"/>
      <c r="T100" s="487"/>
      <c r="U100" s="486"/>
      <c r="V100" s="467"/>
      <c r="W100" s="467"/>
      <c r="X100" s="467"/>
      <c r="Y100" s="487"/>
      <c r="Z100" s="486"/>
      <c r="AA100" s="467"/>
      <c r="AB100" s="467"/>
      <c r="AC100" s="467"/>
      <c r="AD100" s="487"/>
      <c r="AE100" s="486"/>
      <c r="AF100" s="467"/>
      <c r="AG100" s="467"/>
      <c r="AH100" s="467"/>
      <c r="AI100" s="487"/>
      <c r="AJ100" s="486"/>
      <c r="AK100" s="467"/>
      <c r="AL100" s="467"/>
      <c r="AM100" s="467"/>
      <c r="AN100" s="487"/>
      <c r="AO100" s="486"/>
      <c r="AP100" s="467"/>
      <c r="AQ100" s="467"/>
      <c r="AR100" s="467"/>
      <c r="AS100" s="487"/>
    </row>
    <row r="101" spans="1:45" hidden="1" outlineLevel="1" x14ac:dyDescent="0.2">
      <c r="A101" s="478"/>
      <c r="B101" s="245"/>
      <c r="C101" s="270" t="s">
        <v>425</v>
      </c>
      <c r="D101" s="245" t="s">
        <v>498</v>
      </c>
      <c r="E101" s="500" t="s">
        <v>497</v>
      </c>
      <c r="F101" s="493"/>
      <c r="G101" s="271"/>
      <c r="H101" s="271"/>
      <c r="I101" s="271"/>
      <c r="J101" s="287"/>
      <c r="K101" s="486"/>
      <c r="L101" s="467"/>
      <c r="M101" s="467"/>
      <c r="N101" s="467"/>
      <c r="O101" s="487">
        <v>1</v>
      </c>
      <c r="P101" s="486"/>
      <c r="Q101" s="467"/>
      <c r="R101" s="467"/>
      <c r="S101" s="467"/>
      <c r="T101" s="487"/>
      <c r="U101" s="486"/>
      <c r="V101" s="467"/>
      <c r="W101" s="467"/>
      <c r="X101" s="467"/>
      <c r="Y101" s="487"/>
      <c r="Z101" s="486"/>
      <c r="AA101" s="467"/>
      <c r="AB101" s="467"/>
      <c r="AC101" s="467"/>
      <c r="AD101" s="487"/>
      <c r="AE101" s="486"/>
      <c r="AF101" s="467"/>
      <c r="AG101" s="467"/>
      <c r="AH101" s="467"/>
      <c r="AI101" s="487"/>
      <c r="AJ101" s="486"/>
      <c r="AK101" s="467"/>
      <c r="AL101" s="467"/>
      <c r="AM101" s="467"/>
      <c r="AN101" s="487"/>
      <c r="AO101" s="486"/>
      <c r="AP101" s="467"/>
      <c r="AQ101" s="467"/>
      <c r="AR101" s="467"/>
      <c r="AS101" s="487"/>
    </row>
    <row r="102" spans="1:45" hidden="1" outlineLevel="1" x14ac:dyDescent="0.2">
      <c r="A102" s="478"/>
      <c r="B102" s="245"/>
      <c r="C102" s="270" t="s">
        <v>427</v>
      </c>
      <c r="D102" s="245"/>
      <c r="E102" s="500"/>
      <c r="F102" s="493"/>
      <c r="G102" s="271"/>
      <c r="H102" s="271"/>
      <c r="I102" s="271"/>
      <c r="J102" s="287"/>
      <c r="K102" s="486"/>
      <c r="L102" s="467"/>
      <c r="M102" s="467"/>
      <c r="N102" s="467"/>
      <c r="O102" s="487"/>
      <c r="P102" s="486"/>
      <c r="Q102" s="467"/>
      <c r="R102" s="467"/>
      <c r="S102" s="467"/>
      <c r="T102" s="487"/>
      <c r="U102" s="486"/>
      <c r="V102" s="467"/>
      <c r="W102" s="467"/>
      <c r="X102" s="467"/>
      <c r="Y102" s="487"/>
      <c r="Z102" s="486"/>
      <c r="AA102" s="467"/>
      <c r="AB102" s="467"/>
      <c r="AC102" s="467"/>
      <c r="AD102" s="487"/>
      <c r="AE102" s="486"/>
      <c r="AF102" s="467"/>
      <c r="AG102" s="467"/>
      <c r="AH102" s="467"/>
      <c r="AI102" s="487"/>
      <c r="AJ102" s="486"/>
      <c r="AK102" s="467"/>
      <c r="AL102" s="467"/>
      <c r="AM102" s="467"/>
      <c r="AN102" s="487"/>
      <c r="AO102" s="486"/>
      <c r="AP102" s="467"/>
      <c r="AQ102" s="467"/>
      <c r="AR102" s="467"/>
      <c r="AS102" s="487"/>
    </row>
    <row r="103" spans="1:45" hidden="1" outlineLevel="1" x14ac:dyDescent="0.2">
      <c r="A103" s="478"/>
      <c r="B103" s="245"/>
      <c r="C103" s="270" t="s">
        <v>429</v>
      </c>
      <c r="D103" s="245"/>
      <c r="E103" s="500"/>
      <c r="F103" s="493"/>
      <c r="G103" s="271"/>
      <c r="H103" s="271"/>
      <c r="I103" s="271"/>
      <c r="J103" s="287"/>
      <c r="K103" s="486"/>
      <c r="L103" s="467"/>
      <c r="M103" s="467"/>
      <c r="N103" s="467"/>
      <c r="O103" s="487"/>
      <c r="P103" s="486"/>
      <c r="Q103" s="467"/>
      <c r="R103" s="467"/>
      <c r="S103" s="467"/>
      <c r="T103" s="487"/>
      <c r="U103" s="486"/>
      <c r="V103" s="467"/>
      <c r="W103" s="467"/>
      <c r="X103" s="467"/>
      <c r="Y103" s="487"/>
      <c r="Z103" s="486"/>
      <c r="AA103" s="467"/>
      <c r="AB103" s="467"/>
      <c r="AC103" s="467"/>
      <c r="AD103" s="487"/>
      <c r="AE103" s="486"/>
      <c r="AF103" s="467"/>
      <c r="AG103" s="467"/>
      <c r="AH103" s="467"/>
      <c r="AI103" s="487"/>
      <c r="AJ103" s="486"/>
      <c r="AK103" s="467"/>
      <c r="AL103" s="467"/>
      <c r="AM103" s="467"/>
      <c r="AN103" s="487"/>
      <c r="AO103" s="486"/>
      <c r="AP103" s="467"/>
      <c r="AQ103" s="467"/>
      <c r="AR103" s="467"/>
      <c r="AS103" s="487"/>
    </row>
    <row r="104" spans="1:45" hidden="1" outlineLevel="1" x14ac:dyDescent="0.2">
      <c r="A104" s="478"/>
      <c r="B104" s="245"/>
      <c r="C104" s="270" t="s">
        <v>431</v>
      </c>
      <c r="D104" s="245"/>
      <c r="E104" s="500"/>
      <c r="F104" s="493"/>
      <c r="G104" s="271"/>
      <c r="H104" s="271"/>
      <c r="I104" s="271"/>
      <c r="J104" s="287"/>
      <c r="K104" s="486"/>
      <c r="L104" s="467"/>
      <c r="M104" s="467"/>
      <c r="N104" s="467"/>
      <c r="O104" s="487"/>
      <c r="P104" s="486"/>
      <c r="Q104" s="467"/>
      <c r="R104" s="467"/>
      <c r="S104" s="467"/>
      <c r="T104" s="487"/>
      <c r="U104" s="486"/>
      <c r="V104" s="467"/>
      <c r="W104" s="467"/>
      <c r="X104" s="467"/>
      <c r="Y104" s="487"/>
      <c r="Z104" s="486"/>
      <c r="AA104" s="467"/>
      <c r="AB104" s="467"/>
      <c r="AC104" s="467"/>
      <c r="AD104" s="487"/>
      <c r="AE104" s="486"/>
      <c r="AF104" s="467"/>
      <c r="AG104" s="467"/>
      <c r="AH104" s="467"/>
      <c r="AI104" s="487"/>
      <c r="AJ104" s="486"/>
      <c r="AK104" s="467"/>
      <c r="AL104" s="467"/>
      <c r="AM104" s="467"/>
      <c r="AN104" s="487"/>
      <c r="AO104" s="486"/>
      <c r="AP104" s="467"/>
      <c r="AQ104" s="467"/>
      <c r="AR104" s="467"/>
      <c r="AS104" s="487"/>
    </row>
    <row r="105" spans="1:45" ht="16" hidden="1" outlineLevel="1" thickBot="1" x14ac:dyDescent="0.25">
      <c r="A105" s="479"/>
      <c r="B105" s="468"/>
      <c r="C105" s="270" t="s">
        <v>432</v>
      </c>
      <c r="D105" s="468"/>
      <c r="E105" s="469"/>
      <c r="F105" s="494"/>
      <c r="G105" s="468"/>
      <c r="H105" s="468"/>
      <c r="I105" s="468"/>
      <c r="J105" s="469"/>
      <c r="K105" s="486"/>
      <c r="L105" s="467"/>
      <c r="M105" s="467"/>
      <c r="N105" s="467"/>
      <c r="O105" s="487"/>
      <c r="P105" s="486"/>
      <c r="Q105" s="467"/>
      <c r="R105" s="467"/>
      <c r="S105" s="467"/>
      <c r="T105" s="487"/>
      <c r="U105" s="486"/>
      <c r="V105" s="467"/>
      <c r="W105" s="467"/>
      <c r="X105" s="467"/>
      <c r="Y105" s="487"/>
      <c r="Z105" s="486"/>
      <c r="AA105" s="467"/>
      <c r="AB105" s="467"/>
      <c r="AC105" s="467"/>
      <c r="AD105" s="487"/>
      <c r="AE105" s="486"/>
      <c r="AF105" s="467"/>
      <c r="AG105" s="467"/>
      <c r="AH105" s="467"/>
      <c r="AI105" s="487"/>
      <c r="AJ105" s="486"/>
      <c r="AK105" s="467"/>
      <c r="AL105" s="467"/>
      <c r="AM105" s="467"/>
      <c r="AN105" s="487"/>
      <c r="AO105" s="486"/>
      <c r="AP105" s="467"/>
      <c r="AQ105" s="467"/>
      <c r="AR105" s="467"/>
      <c r="AS105" s="487"/>
    </row>
    <row r="106" spans="1:45" ht="16" collapsed="1" thickBot="1" x14ac:dyDescent="0.25">
      <c r="A106" s="475">
        <v>14</v>
      </c>
      <c r="B106" s="476" t="s">
        <v>45</v>
      </c>
      <c r="C106" s="476"/>
      <c r="D106" s="477" t="s">
        <v>499</v>
      </c>
      <c r="E106" s="499"/>
      <c r="F106" s="490">
        <f>+SUM(F107:F112)</f>
        <v>0</v>
      </c>
      <c r="G106" s="483">
        <f t="shared" ref="G106" si="171">+SUM(G107:G112)</f>
        <v>2</v>
      </c>
      <c r="H106" s="483">
        <f t="shared" ref="H106" si="172">+SUM(H107:H112)</f>
        <v>0</v>
      </c>
      <c r="I106" s="483">
        <f t="shared" ref="I106" si="173">+SUM(I107:I112)</f>
        <v>1</v>
      </c>
      <c r="J106" s="484">
        <f t="shared" ref="J106" si="174">+SUM(J107:J112)</f>
        <v>0</v>
      </c>
      <c r="K106" s="482">
        <f>+SUM(K107:K112)</f>
        <v>0</v>
      </c>
      <c r="L106" s="483">
        <f t="shared" ref="L106:O106" si="175">+SUM(L107:L112)</f>
        <v>3</v>
      </c>
      <c r="M106" s="483">
        <f t="shared" si="175"/>
        <v>0</v>
      </c>
      <c r="N106" s="483">
        <f t="shared" si="175"/>
        <v>0</v>
      </c>
      <c r="O106" s="484">
        <f t="shared" si="175"/>
        <v>0</v>
      </c>
      <c r="P106" s="482">
        <f>+SUM(P107:P112)</f>
        <v>0</v>
      </c>
      <c r="Q106" s="483">
        <f t="shared" ref="Q106:T106" si="176">+SUM(Q107:Q112)</f>
        <v>0</v>
      </c>
      <c r="R106" s="483">
        <f t="shared" si="176"/>
        <v>0</v>
      </c>
      <c r="S106" s="483">
        <f t="shared" si="176"/>
        <v>0</v>
      </c>
      <c r="T106" s="484">
        <f t="shared" si="176"/>
        <v>0</v>
      </c>
      <c r="U106" s="482">
        <f>+SUM(U107:U112)</f>
        <v>0</v>
      </c>
      <c r="V106" s="483">
        <f t="shared" ref="V106:Y106" si="177">+SUM(V107:V112)</f>
        <v>0</v>
      </c>
      <c r="W106" s="483">
        <f t="shared" si="177"/>
        <v>0</v>
      </c>
      <c r="X106" s="483">
        <f t="shared" si="177"/>
        <v>0</v>
      </c>
      <c r="Y106" s="484">
        <f t="shared" si="177"/>
        <v>0</v>
      </c>
      <c r="Z106" s="482">
        <f>+SUM(Z107:Z112)</f>
        <v>0</v>
      </c>
      <c r="AA106" s="483">
        <f t="shared" ref="AA106:AD106" si="178">+SUM(AA107:AA112)</f>
        <v>0</v>
      </c>
      <c r="AB106" s="483">
        <f t="shared" si="178"/>
        <v>0</v>
      </c>
      <c r="AC106" s="483">
        <f t="shared" si="178"/>
        <v>0</v>
      </c>
      <c r="AD106" s="484">
        <f t="shared" si="178"/>
        <v>0</v>
      </c>
      <c r="AE106" s="482">
        <f>+SUM(AE107:AE112)</f>
        <v>0</v>
      </c>
      <c r="AF106" s="483">
        <f t="shared" ref="AF106:AI106" si="179">+SUM(AF107:AF112)</f>
        <v>0</v>
      </c>
      <c r="AG106" s="483">
        <f t="shared" si="179"/>
        <v>0</v>
      </c>
      <c r="AH106" s="483">
        <f t="shared" si="179"/>
        <v>0</v>
      </c>
      <c r="AI106" s="484">
        <f t="shared" si="179"/>
        <v>0</v>
      </c>
      <c r="AJ106" s="482">
        <f>+SUM(AJ107:AJ112)</f>
        <v>0</v>
      </c>
      <c r="AK106" s="483">
        <f t="shared" ref="AK106:AN106" si="180">+SUM(AK107:AK112)</f>
        <v>0</v>
      </c>
      <c r="AL106" s="483">
        <f t="shared" si="180"/>
        <v>0</v>
      </c>
      <c r="AM106" s="483">
        <f t="shared" si="180"/>
        <v>0</v>
      </c>
      <c r="AN106" s="484">
        <f t="shared" si="180"/>
        <v>0</v>
      </c>
      <c r="AO106" s="482">
        <f>+SUM(AO107:AO112)</f>
        <v>0</v>
      </c>
      <c r="AP106" s="483">
        <f t="shared" ref="AP106:AS106" si="181">+SUM(AP107:AP112)</f>
        <v>0</v>
      </c>
      <c r="AQ106" s="483">
        <f t="shared" si="181"/>
        <v>0</v>
      </c>
      <c r="AR106" s="483">
        <f t="shared" si="181"/>
        <v>0</v>
      </c>
      <c r="AS106" s="484">
        <f t="shared" si="181"/>
        <v>0</v>
      </c>
    </row>
    <row r="107" spans="1:45" hidden="1" outlineLevel="1" x14ac:dyDescent="0.2">
      <c r="A107" s="478"/>
      <c r="B107" s="245"/>
      <c r="C107" s="270" t="s">
        <v>423</v>
      </c>
      <c r="D107" s="245" t="s">
        <v>500</v>
      </c>
      <c r="E107" s="500"/>
      <c r="F107" s="493"/>
      <c r="G107" s="474">
        <v>2</v>
      </c>
      <c r="H107" s="271"/>
      <c r="I107" s="271"/>
      <c r="J107" s="287"/>
      <c r="K107" s="486"/>
      <c r="L107" s="467"/>
      <c r="M107" s="467"/>
      <c r="N107" s="467"/>
      <c r="O107" s="487"/>
      <c r="P107" s="486"/>
      <c r="Q107" s="467"/>
      <c r="R107" s="467"/>
      <c r="S107" s="467"/>
      <c r="T107" s="487"/>
      <c r="U107" s="486"/>
      <c r="V107" s="467"/>
      <c r="W107" s="467"/>
      <c r="X107" s="467"/>
      <c r="Y107" s="487"/>
      <c r="Z107" s="486"/>
      <c r="AA107" s="467"/>
      <c r="AB107" s="467"/>
      <c r="AC107" s="467"/>
      <c r="AD107" s="487"/>
      <c r="AE107" s="486"/>
      <c r="AF107" s="467"/>
      <c r="AG107" s="467"/>
      <c r="AH107" s="467"/>
      <c r="AI107" s="487"/>
      <c r="AJ107" s="486"/>
      <c r="AK107" s="467"/>
      <c r="AL107" s="467"/>
      <c r="AM107" s="467"/>
      <c r="AN107" s="487"/>
      <c r="AO107" s="486"/>
      <c r="AP107" s="467"/>
      <c r="AQ107" s="467"/>
      <c r="AR107" s="467"/>
      <c r="AS107" s="487"/>
    </row>
    <row r="108" spans="1:45" hidden="1" outlineLevel="1" x14ac:dyDescent="0.2">
      <c r="A108" s="478"/>
      <c r="B108" s="245"/>
      <c r="C108" s="270" t="s">
        <v>425</v>
      </c>
      <c r="D108" s="245" t="s">
        <v>501</v>
      </c>
      <c r="E108" s="500" t="s">
        <v>502</v>
      </c>
      <c r="F108" s="493"/>
      <c r="G108" s="271"/>
      <c r="H108" s="271"/>
      <c r="I108" s="271">
        <v>0.5</v>
      </c>
      <c r="J108" s="287"/>
      <c r="K108" s="486"/>
      <c r="L108" s="467"/>
      <c r="M108" s="467"/>
      <c r="N108" s="467"/>
      <c r="O108" s="487"/>
      <c r="P108" s="486"/>
      <c r="Q108" s="467"/>
      <c r="R108" s="467"/>
      <c r="S108" s="467"/>
      <c r="T108" s="487"/>
      <c r="U108" s="486"/>
      <c r="V108" s="467"/>
      <c r="W108" s="467"/>
      <c r="X108" s="467"/>
      <c r="Y108" s="487"/>
      <c r="Z108" s="486"/>
      <c r="AA108" s="467"/>
      <c r="AB108" s="467"/>
      <c r="AC108" s="467"/>
      <c r="AD108" s="487"/>
      <c r="AE108" s="486"/>
      <c r="AF108" s="467"/>
      <c r="AG108" s="467"/>
      <c r="AH108" s="467"/>
      <c r="AI108" s="487"/>
      <c r="AJ108" s="486"/>
      <c r="AK108" s="467"/>
      <c r="AL108" s="467"/>
      <c r="AM108" s="467"/>
      <c r="AN108" s="487"/>
      <c r="AO108" s="486"/>
      <c r="AP108" s="467"/>
      <c r="AQ108" s="467"/>
      <c r="AR108" s="467"/>
      <c r="AS108" s="487"/>
    </row>
    <row r="109" spans="1:45" hidden="1" outlineLevel="1" x14ac:dyDescent="0.2">
      <c r="A109" s="478"/>
      <c r="B109" s="245"/>
      <c r="C109" s="270" t="s">
        <v>427</v>
      </c>
      <c r="D109" s="519" t="s">
        <v>503</v>
      </c>
      <c r="E109" s="500"/>
      <c r="F109" s="493"/>
      <c r="G109" s="271"/>
      <c r="H109" s="271"/>
      <c r="I109" s="271"/>
      <c r="J109" s="287"/>
      <c r="K109" s="486"/>
      <c r="L109" s="467">
        <v>3</v>
      </c>
      <c r="M109" s="467"/>
      <c r="N109" s="467"/>
      <c r="O109" s="487"/>
      <c r="P109" s="486"/>
      <c r="Q109" s="467"/>
      <c r="R109" s="467"/>
      <c r="S109" s="467"/>
      <c r="T109" s="487"/>
      <c r="U109" s="486"/>
      <c r="V109" s="467"/>
      <c r="W109" s="467"/>
      <c r="X109" s="467"/>
      <c r="Y109" s="487"/>
      <c r="Z109" s="486"/>
      <c r="AA109" s="467"/>
      <c r="AB109" s="467"/>
      <c r="AC109" s="467"/>
      <c r="AD109" s="487"/>
      <c r="AE109" s="486"/>
      <c r="AF109" s="467"/>
      <c r="AG109" s="467"/>
      <c r="AH109" s="467"/>
      <c r="AI109" s="487"/>
      <c r="AJ109" s="486"/>
      <c r="AK109" s="467"/>
      <c r="AL109" s="467"/>
      <c r="AM109" s="467"/>
      <c r="AN109" s="487"/>
      <c r="AO109" s="486"/>
      <c r="AP109" s="467"/>
      <c r="AQ109" s="467"/>
      <c r="AR109" s="467"/>
      <c r="AS109" s="487"/>
    </row>
    <row r="110" spans="1:45" hidden="1" outlineLevel="1" x14ac:dyDescent="0.2">
      <c r="A110" s="478"/>
      <c r="B110" s="245"/>
      <c r="C110" s="270" t="s">
        <v>429</v>
      </c>
      <c r="D110" s="245" t="s">
        <v>504</v>
      </c>
      <c r="E110" s="500"/>
      <c r="F110" s="493"/>
      <c r="G110" s="271"/>
      <c r="H110" s="271"/>
      <c r="I110" s="271">
        <v>0.5</v>
      </c>
      <c r="J110" s="287"/>
      <c r="K110" s="486"/>
      <c r="L110" s="467"/>
      <c r="M110" s="467"/>
      <c r="N110" s="467"/>
      <c r="O110" s="487"/>
      <c r="P110" s="486"/>
      <c r="Q110" s="467"/>
      <c r="R110" s="467"/>
      <c r="S110" s="467"/>
      <c r="T110" s="487"/>
      <c r="U110" s="486"/>
      <c r="V110" s="467"/>
      <c r="W110" s="467"/>
      <c r="X110" s="467"/>
      <c r="Y110" s="487"/>
      <c r="Z110" s="486"/>
      <c r="AA110" s="467"/>
      <c r="AB110" s="467"/>
      <c r="AC110" s="467"/>
      <c r="AD110" s="487"/>
      <c r="AE110" s="486"/>
      <c r="AF110" s="467"/>
      <c r="AG110" s="467"/>
      <c r="AH110" s="467"/>
      <c r="AI110" s="487"/>
      <c r="AJ110" s="486"/>
      <c r="AK110" s="467"/>
      <c r="AL110" s="467"/>
      <c r="AM110" s="467"/>
      <c r="AN110" s="487"/>
      <c r="AO110" s="486"/>
      <c r="AP110" s="467"/>
      <c r="AQ110" s="467"/>
      <c r="AR110" s="467"/>
      <c r="AS110" s="487"/>
    </row>
    <row r="111" spans="1:45" hidden="1" outlineLevel="1" x14ac:dyDescent="0.2">
      <c r="A111" s="478"/>
      <c r="B111" s="245"/>
      <c r="C111" s="270" t="s">
        <v>431</v>
      </c>
      <c r="D111" s="245"/>
      <c r="E111" s="500"/>
      <c r="F111" s="493"/>
      <c r="G111" s="271"/>
      <c r="H111" s="271"/>
      <c r="I111" s="271"/>
      <c r="J111" s="287"/>
      <c r="K111" s="486"/>
      <c r="L111" s="467"/>
      <c r="M111" s="467"/>
      <c r="N111" s="467"/>
      <c r="O111" s="487"/>
      <c r="P111" s="486"/>
      <c r="Q111" s="467"/>
      <c r="R111" s="467"/>
      <c r="S111" s="467"/>
      <c r="T111" s="487"/>
      <c r="U111" s="486"/>
      <c r="V111" s="467"/>
      <c r="W111" s="467"/>
      <c r="X111" s="467"/>
      <c r="Y111" s="487"/>
      <c r="Z111" s="486"/>
      <c r="AA111" s="467"/>
      <c r="AB111" s="467"/>
      <c r="AC111" s="467"/>
      <c r="AD111" s="487"/>
      <c r="AE111" s="486"/>
      <c r="AF111" s="467"/>
      <c r="AG111" s="467"/>
      <c r="AH111" s="467"/>
      <c r="AI111" s="487"/>
      <c r="AJ111" s="486"/>
      <c r="AK111" s="467"/>
      <c r="AL111" s="467"/>
      <c r="AM111" s="467"/>
      <c r="AN111" s="487"/>
      <c r="AO111" s="486"/>
      <c r="AP111" s="467"/>
      <c r="AQ111" s="467"/>
      <c r="AR111" s="467"/>
      <c r="AS111" s="487"/>
    </row>
    <row r="112" spans="1:45" ht="16" hidden="1" outlineLevel="1" thickBot="1" x14ac:dyDescent="0.25">
      <c r="A112" s="479"/>
      <c r="B112" s="468"/>
      <c r="C112" s="270" t="s">
        <v>432</v>
      </c>
      <c r="D112" s="468"/>
      <c r="E112" s="469"/>
      <c r="F112" s="494"/>
      <c r="G112" s="468"/>
      <c r="H112" s="468"/>
      <c r="I112" s="468"/>
      <c r="J112" s="469"/>
      <c r="K112" s="486"/>
      <c r="L112" s="467"/>
      <c r="M112" s="467"/>
      <c r="N112" s="467"/>
      <c r="O112" s="487"/>
      <c r="P112" s="486"/>
      <c r="Q112" s="467"/>
      <c r="R112" s="467"/>
      <c r="S112" s="467"/>
      <c r="T112" s="487"/>
      <c r="U112" s="486"/>
      <c r="V112" s="467"/>
      <c r="W112" s="467"/>
      <c r="X112" s="467"/>
      <c r="Y112" s="487"/>
      <c r="Z112" s="486"/>
      <c r="AA112" s="467"/>
      <c r="AB112" s="467"/>
      <c r="AC112" s="467"/>
      <c r="AD112" s="487"/>
      <c r="AE112" s="486"/>
      <c r="AF112" s="467"/>
      <c r="AG112" s="467"/>
      <c r="AH112" s="467"/>
      <c r="AI112" s="487"/>
      <c r="AJ112" s="486"/>
      <c r="AK112" s="467"/>
      <c r="AL112" s="467"/>
      <c r="AM112" s="467"/>
      <c r="AN112" s="487"/>
      <c r="AO112" s="486"/>
      <c r="AP112" s="467"/>
      <c r="AQ112" s="467"/>
      <c r="AR112" s="467"/>
      <c r="AS112" s="487"/>
    </row>
    <row r="113" spans="1:45" ht="16" collapsed="1" thickBot="1" x14ac:dyDescent="0.25">
      <c r="A113" s="475">
        <v>15</v>
      </c>
      <c r="B113" s="476" t="s">
        <v>45</v>
      </c>
      <c r="C113" s="476"/>
      <c r="D113" s="477" t="s">
        <v>505</v>
      </c>
      <c r="E113" s="499"/>
      <c r="F113" s="490">
        <f>+SUM(F114:F117)</f>
        <v>0</v>
      </c>
      <c r="G113" s="483">
        <f t="shared" ref="G113" si="182">+SUM(G114:G117)</f>
        <v>0</v>
      </c>
      <c r="H113" s="483">
        <f t="shared" ref="H113" si="183">+SUM(H114:H117)</f>
        <v>0</v>
      </c>
      <c r="I113" s="483">
        <f t="shared" ref="I113" si="184">+SUM(I114:I117)</f>
        <v>0</v>
      </c>
      <c r="J113" s="484">
        <f t="shared" ref="J113" si="185">+SUM(J114:J117)</f>
        <v>0</v>
      </c>
      <c r="K113" s="482">
        <f>+SUM(K114:K117)</f>
        <v>0</v>
      </c>
      <c r="L113" s="483">
        <f t="shared" ref="L113:O113" si="186">+SUM(L114:L117)</f>
        <v>0</v>
      </c>
      <c r="M113" s="483">
        <f t="shared" si="186"/>
        <v>0</v>
      </c>
      <c r="N113" s="483">
        <f t="shared" si="186"/>
        <v>0</v>
      </c>
      <c r="O113" s="484">
        <f t="shared" si="186"/>
        <v>0</v>
      </c>
      <c r="P113" s="482">
        <f>+SUM(P114:P117)</f>
        <v>0</v>
      </c>
      <c r="Q113" s="483">
        <f t="shared" ref="Q113:T113" si="187">+SUM(Q114:Q117)</f>
        <v>0</v>
      </c>
      <c r="R113" s="483">
        <f t="shared" si="187"/>
        <v>0</v>
      </c>
      <c r="S113" s="483">
        <f t="shared" si="187"/>
        <v>0</v>
      </c>
      <c r="T113" s="484">
        <f t="shared" si="187"/>
        <v>0</v>
      </c>
      <c r="U113" s="482">
        <f>+SUM(U114:U117)</f>
        <v>0</v>
      </c>
      <c r="V113" s="483">
        <f t="shared" ref="V113:Y113" si="188">+SUM(V114:V117)</f>
        <v>0</v>
      </c>
      <c r="W113" s="483">
        <f t="shared" si="188"/>
        <v>0</v>
      </c>
      <c r="X113" s="483">
        <f t="shared" si="188"/>
        <v>0</v>
      </c>
      <c r="Y113" s="484">
        <f t="shared" si="188"/>
        <v>0</v>
      </c>
      <c r="Z113" s="482">
        <f>+SUM(Z114:Z117)</f>
        <v>0</v>
      </c>
      <c r="AA113" s="483">
        <f t="shared" ref="AA113:AD113" si="189">+SUM(AA114:AA117)</f>
        <v>0</v>
      </c>
      <c r="AB113" s="483">
        <f t="shared" si="189"/>
        <v>0</v>
      </c>
      <c r="AC113" s="483">
        <f t="shared" si="189"/>
        <v>0</v>
      </c>
      <c r="AD113" s="484">
        <f t="shared" si="189"/>
        <v>0</v>
      </c>
      <c r="AE113" s="482">
        <f>+SUM(AE114:AE117)</f>
        <v>0</v>
      </c>
      <c r="AF113" s="483">
        <f t="shared" ref="AF113:AI113" si="190">+SUM(AF114:AF117)</f>
        <v>0</v>
      </c>
      <c r="AG113" s="483">
        <f t="shared" si="190"/>
        <v>0</v>
      </c>
      <c r="AH113" s="483">
        <f t="shared" si="190"/>
        <v>0</v>
      </c>
      <c r="AI113" s="484">
        <f t="shared" si="190"/>
        <v>0</v>
      </c>
      <c r="AJ113" s="482">
        <f>+SUM(AJ114:AJ117)</f>
        <v>0</v>
      </c>
      <c r="AK113" s="483">
        <f t="shared" ref="AK113:AN113" si="191">+SUM(AK114:AK117)</f>
        <v>0</v>
      </c>
      <c r="AL113" s="483">
        <f t="shared" si="191"/>
        <v>0</v>
      </c>
      <c r="AM113" s="483">
        <f t="shared" si="191"/>
        <v>0</v>
      </c>
      <c r="AN113" s="484">
        <f t="shared" si="191"/>
        <v>0</v>
      </c>
      <c r="AO113" s="482">
        <f>+SUM(AO114:AO117)</f>
        <v>0</v>
      </c>
      <c r="AP113" s="483">
        <f t="shared" ref="AP113:AS113" si="192">+SUM(AP114:AP117)</f>
        <v>0</v>
      </c>
      <c r="AQ113" s="483">
        <f t="shared" si="192"/>
        <v>0</v>
      </c>
      <c r="AR113" s="483">
        <f t="shared" si="192"/>
        <v>0</v>
      </c>
      <c r="AS113" s="484">
        <f t="shared" si="192"/>
        <v>0</v>
      </c>
    </row>
    <row r="114" spans="1:45" hidden="1" outlineLevel="1" x14ac:dyDescent="0.2">
      <c r="A114" s="478"/>
      <c r="B114" s="245"/>
      <c r="C114" s="270" t="s">
        <v>423</v>
      </c>
      <c r="D114" s="245"/>
      <c r="E114" s="500"/>
      <c r="F114" s="493"/>
      <c r="G114" s="271"/>
      <c r="H114" s="271"/>
      <c r="I114" s="271"/>
      <c r="J114" s="287"/>
      <c r="K114" s="486"/>
      <c r="L114" s="467"/>
      <c r="M114" s="467"/>
      <c r="N114" s="467"/>
      <c r="O114" s="487"/>
      <c r="P114" s="486"/>
      <c r="Q114" s="467"/>
      <c r="R114" s="467"/>
      <c r="S114" s="467"/>
      <c r="T114" s="487"/>
      <c r="U114" s="486"/>
      <c r="V114" s="467"/>
      <c r="W114" s="467"/>
      <c r="X114" s="467"/>
      <c r="Y114" s="487"/>
      <c r="Z114" s="486"/>
      <c r="AA114" s="467"/>
      <c r="AB114" s="467"/>
      <c r="AC114" s="467"/>
      <c r="AD114" s="487"/>
      <c r="AE114" s="486"/>
      <c r="AF114" s="467"/>
      <c r="AG114" s="467"/>
      <c r="AH114" s="467"/>
      <c r="AI114" s="487"/>
      <c r="AJ114" s="486"/>
      <c r="AK114" s="467"/>
      <c r="AL114" s="467"/>
      <c r="AM114" s="467"/>
      <c r="AN114" s="487"/>
      <c r="AO114" s="486"/>
      <c r="AP114" s="467"/>
      <c r="AQ114" s="467"/>
      <c r="AR114" s="467"/>
      <c r="AS114" s="487"/>
    </row>
    <row r="115" spans="1:45" hidden="1" outlineLevel="1" x14ac:dyDescent="0.2">
      <c r="A115" s="478"/>
      <c r="B115" s="245"/>
      <c r="C115" s="270" t="s">
        <v>425</v>
      </c>
      <c r="D115" s="245"/>
      <c r="E115" s="500"/>
      <c r="F115" s="493"/>
      <c r="G115" s="271"/>
      <c r="H115" s="271"/>
      <c r="I115" s="271"/>
      <c r="J115" s="287"/>
      <c r="K115" s="486"/>
      <c r="L115" s="467"/>
      <c r="M115" s="467"/>
      <c r="N115" s="467"/>
      <c r="O115" s="487"/>
      <c r="P115" s="486"/>
      <c r="Q115" s="467"/>
      <c r="R115" s="467"/>
      <c r="S115" s="467"/>
      <c r="T115" s="487"/>
      <c r="U115" s="486"/>
      <c r="V115" s="467"/>
      <c r="W115" s="467"/>
      <c r="X115" s="467"/>
      <c r="Y115" s="487"/>
      <c r="Z115" s="486"/>
      <c r="AA115" s="467"/>
      <c r="AB115" s="467"/>
      <c r="AC115" s="467"/>
      <c r="AD115" s="487"/>
      <c r="AE115" s="486"/>
      <c r="AF115" s="467"/>
      <c r="AG115" s="467"/>
      <c r="AH115" s="467"/>
      <c r="AI115" s="487"/>
      <c r="AJ115" s="486"/>
      <c r="AK115" s="467"/>
      <c r="AL115" s="467"/>
      <c r="AM115" s="467"/>
      <c r="AN115" s="487"/>
      <c r="AO115" s="486"/>
      <c r="AP115" s="467"/>
      <c r="AQ115" s="467"/>
      <c r="AR115" s="467"/>
      <c r="AS115" s="487"/>
    </row>
    <row r="116" spans="1:45" hidden="1" outlineLevel="1" x14ac:dyDescent="0.2">
      <c r="A116" s="478"/>
      <c r="B116" s="245"/>
      <c r="C116" s="270" t="s">
        <v>427</v>
      </c>
      <c r="D116" s="245"/>
      <c r="E116" s="500"/>
      <c r="F116" s="493"/>
      <c r="G116" s="271"/>
      <c r="H116" s="271"/>
      <c r="I116" s="271"/>
      <c r="J116" s="287"/>
      <c r="K116" s="486"/>
      <c r="L116" s="467"/>
      <c r="M116" s="467"/>
      <c r="N116" s="467"/>
      <c r="O116" s="487"/>
      <c r="P116" s="486"/>
      <c r="Q116" s="467"/>
      <c r="R116" s="467"/>
      <c r="S116" s="467"/>
      <c r="T116" s="487"/>
      <c r="U116" s="486"/>
      <c r="V116" s="467"/>
      <c r="W116" s="467"/>
      <c r="X116" s="467"/>
      <c r="Y116" s="487"/>
      <c r="Z116" s="486"/>
      <c r="AA116" s="467"/>
      <c r="AB116" s="467"/>
      <c r="AC116" s="467"/>
      <c r="AD116" s="487"/>
      <c r="AE116" s="486"/>
      <c r="AF116" s="467"/>
      <c r="AG116" s="467"/>
      <c r="AH116" s="467"/>
      <c r="AI116" s="487"/>
      <c r="AJ116" s="486"/>
      <c r="AK116" s="467"/>
      <c r="AL116" s="467"/>
      <c r="AM116" s="467"/>
      <c r="AN116" s="487"/>
      <c r="AO116" s="486"/>
      <c r="AP116" s="467"/>
      <c r="AQ116" s="467"/>
      <c r="AR116" s="467"/>
      <c r="AS116" s="487"/>
    </row>
    <row r="117" spans="1:45" ht="16" hidden="1" outlineLevel="1" thickBot="1" x14ac:dyDescent="0.25">
      <c r="A117" s="479"/>
      <c r="B117" s="468"/>
      <c r="C117" s="481" t="s">
        <v>429</v>
      </c>
      <c r="D117" s="468"/>
      <c r="E117" s="469"/>
      <c r="F117" s="494"/>
      <c r="G117" s="468"/>
      <c r="H117" s="468"/>
      <c r="I117" s="468"/>
      <c r="J117" s="469"/>
      <c r="K117" s="486"/>
      <c r="L117" s="467"/>
      <c r="M117" s="467"/>
      <c r="N117" s="467"/>
      <c r="O117" s="487"/>
      <c r="P117" s="486"/>
      <c r="Q117" s="467"/>
      <c r="R117" s="467"/>
      <c r="S117" s="467"/>
      <c r="T117" s="487"/>
      <c r="U117" s="486"/>
      <c r="V117" s="467"/>
      <c r="W117" s="467"/>
      <c r="X117" s="467"/>
      <c r="Y117" s="487"/>
      <c r="Z117" s="486"/>
      <c r="AA117" s="467"/>
      <c r="AB117" s="467"/>
      <c r="AC117" s="467"/>
      <c r="AD117" s="487"/>
      <c r="AE117" s="486"/>
      <c r="AF117" s="467"/>
      <c r="AG117" s="467"/>
      <c r="AH117" s="467"/>
      <c r="AI117" s="487"/>
      <c r="AJ117" s="486"/>
      <c r="AK117" s="467"/>
      <c r="AL117" s="467"/>
      <c r="AM117" s="467"/>
      <c r="AN117" s="487"/>
      <c r="AO117" s="486"/>
      <c r="AP117" s="467"/>
      <c r="AQ117" s="467"/>
      <c r="AR117" s="467"/>
      <c r="AS117" s="487"/>
    </row>
    <row r="118" spans="1:45" ht="16" collapsed="1" thickBot="1" x14ac:dyDescent="0.25">
      <c r="A118" s="475">
        <v>16</v>
      </c>
      <c r="B118" s="476" t="s">
        <v>43</v>
      </c>
      <c r="C118" s="476"/>
      <c r="D118" s="477" t="s">
        <v>506</v>
      </c>
      <c r="E118" s="499"/>
      <c r="F118" s="490">
        <f>+SUM(F119:F123)</f>
        <v>1</v>
      </c>
      <c r="G118" s="483">
        <f t="shared" ref="G118" si="193">+SUM(G119:G123)</f>
        <v>1</v>
      </c>
      <c r="H118" s="483">
        <f t="shared" ref="H118" si="194">+SUM(H119:H123)</f>
        <v>0</v>
      </c>
      <c r="I118" s="483">
        <f t="shared" ref="I118" si="195">+SUM(I119:I123)</f>
        <v>2</v>
      </c>
      <c r="J118" s="484">
        <f t="shared" ref="J118" si="196">+SUM(J119:J123)</f>
        <v>2</v>
      </c>
      <c r="K118" s="482">
        <f>+SUM(K119:K123)</f>
        <v>0</v>
      </c>
      <c r="L118" s="483">
        <f t="shared" ref="L118:O118" si="197">+SUM(L119:L123)</f>
        <v>0</v>
      </c>
      <c r="M118" s="483">
        <f t="shared" si="197"/>
        <v>1</v>
      </c>
      <c r="N118" s="483">
        <f t="shared" si="197"/>
        <v>0</v>
      </c>
      <c r="O118" s="484">
        <f t="shared" si="197"/>
        <v>0</v>
      </c>
      <c r="P118" s="482">
        <f>+SUM(P119:P123)</f>
        <v>0</v>
      </c>
      <c r="Q118" s="483">
        <f t="shared" ref="Q118:T118" si="198">+SUM(Q119:Q123)</f>
        <v>0</v>
      </c>
      <c r="R118" s="483">
        <f t="shared" si="198"/>
        <v>1</v>
      </c>
      <c r="S118" s="483">
        <f t="shared" si="198"/>
        <v>0</v>
      </c>
      <c r="T118" s="484">
        <f t="shared" si="198"/>
        <v>1</v>
      </c>
      <c r="U118" s="482">
        <f>+SUM(U119:U123)</f>
        <v>0</v>
      </c>
      <c r="V118" s="483">
        <f t="shared" ref="V118:Y118" si="199">+SUM(V119:V123)</f>
        <v>0</v>
      </c>
      <c r="W118" s="483">
        <f t="shared" si="199"/>
        <v>1</v>
      </c>
      <c r="X118" s="483">
        <f t="shared" si="199"/>
        <v>0</v>
      </c>
      <c r="Y118" s="484">
        <f t="shared" si="199"/>
        <v>0</v>
      </c>
      <c r="Z118" s="482">
        <f>+SUM(Z119:Z123)</f>
        <v>0</v>
      </c>
      <c r="AA118" s="483">
        <f t="shared" ref="AA118:AD118" si="200">+SUM(AA119:AA123)</f>
        <v>0</v>
      </c>
      <c r="AB118" s="483">
        <f t="shared" si="200"/>
        <v>1</v>
      </c>
      <c r="AC118" s="483">
        <f t="shared" si="200"/>
        <v>0</v>
      </c>
      <c r="AD118" s="484">
        <f t="shared" si="200"/>
        <v>0</v>
      </c>
      <c r="AE118" s="482">
        <f>+SUM(AE119:AE123)</f>
        <v>0</v>
      </c>
      <c r="AF118" s="483">
        <f t="shared" ref="AF118:AI118" si="201">+SUM(AF119:AF123)</f>
        <v>0</v>
      </c>
      <c r="AG118" s="483">
        <f t="shared" si="201"/>
        <v>1</v>
      </c>
      <c r="AH118" s="483">
        <f t="shared" si="201"/>
        <v>0</v>
      </c>
      <c r="AI118" s="484">
        <f t="shared" si="201"/>
        <v>0</v>
      </c>
      <c r="AJ118" s="482">
        <f>+SUM(AJ119:AJ123)</f>
        <v>0</v>
      </c>
      <c r="AK118" s="483">
        <f t="shared" ref="AK118:AN118" si="202">+SUM(AK119:AK123)</f>
        <v>0</v>
      </c>
      <c r="AL118" s="483">
        <f t="shared" si="202"/>
        <v>1</v>
      </c>
      <c r="AM118" s="483">
        <f t="shared" si="202"/>
        <v>0</v>
      </c>
      <c r="AN118" s="484">
        <f t="shared" si="202"/>
        <v>0</v>
      </c>
      <c r="AO118" s="482">
        <f>+SUM(AO119:AO123)</f>
        <v>0</v>
      </c>
      <c r="AP118" s="483">
        <f t="shared" ref="AP118:AS118" si="203">+SUM(AP119:AP123)</f>
        <v>0</v>
      </c>
      <c r="AQ118" s="483">
        <f t="shared" si="203"/>
        <v>1</v>
      </c>
      <c r="AR118" s="483">
        <f t="shared" si="203"/>
        <v>0</v>
      </c>
      <c r="AS118" s="484">
        <f t="shared" si="203"/>
        <v>0</v>
      </c>
    </row>
    <row r="119" spans="1:45" hidden="1" outlineLevel="1" x14ac:dyDescent="0.2">
      <c r="A119" s="478"/>
      <c r="B119" s="245"/>
      <c r="C119" s="270" t="s">
        <v>423</v>
      </c>
      <c r="D119" s="245" t="s">
        <v>507</v>
      </c>
      <c r="E119" s="500"/>
      <c r="F119" s="498">
        <v>1</v>
      </c>
      <c r="G119" s="271"/>
      <c r="H119" s="271"/>
      <c r="I119" s="271"/>
      <c r="J119" s="287"/>
      <c r="K119" s="486"/>
      <c r="L119" s="467"/>
      <c r="M119" s="467"/>
      <c r="N119" s="467"/>
      <c r="O119" s="487"/>
      <c r="P119" s="486"/>
      <c r="Q119" s="467"/>
      <c r="R119" s="467"/>
      <c r="S119" s="467"/>
      <c r="T119" s="487"/>
      <c r="U119" s="486"/>
      <c r="V119" s="467"/>
      <c r="W119" s="467"/>
      <c r="X119" s="467"/>
      <c r="Y119" s="487"/>
      <c r="Z119" s="486"/>
      <c r="AA119" s="467"/>
      <c r="AB119" s="467"/>
      <c r="AC119" s="467"/>
      <c r="AD119" s="487"/>
      <c r="AE119" s="486"/>
      <c r="AF119" s="467"/>
      <c r="AG119" s="467"/>
      <c r="AH119" s="467"/>
      <c r="AI119" s="487"/>
      <c r="AJ119" s="486"/>
      <c r="AK119" s="467"/>
      <c r="AL119" s="467"/>
      <c r="AM119" s="467"/>
      <c r="AN119" s="487"/>
      <c r="AO119" s="486"/>
      <c r="AP119" s="467"/>
      <c r="AQ119" s="467"/>
      <c r="AR119" s="467"/>
      <c r="AS119" s="487"/>
    </row>
    <row r="120" spans="1:45" hidden="1" outlineLevel="1" x14ac:dyDescent="0.2">
      <c r="A120" s="478"/>
      <c r="B120" s="245"/>
      <c r="C120" s="270" t="s">
        <v>425</v>
      </c>
      <c r="D120" s="245" t="s">
        <v>508</v>
      </c>
      <c r="E120" s="500"/>
      <c r="F120" s="493"/>
      <c r="G120" s="474">
        <v>1</v>
      </c>
      <c r="H120" s="271"/>
      <c r="I120" s="271"/>
      <c r="J120" s="287"/>
      <c r="K120" s="486"/>
      <c r="L120" s="467"/>
      <c r="M120" s="467"/>
      <c r="N120" s="467"/>
      <c r="O120" s="487"/>
      <c r="P120" s="486"/>
      <c r="Q120" s="467"/>
      <c r="R120" s="467"/>
      <c r="S120" s="467"/>
      <c r="T120" s="487"/>
      <c r="U120" s="486"/>
      <c r="V120" s="467"/>
      <c r="W120" s="467"/>
      <c r="X120" s="467"/>
      <c r="Y120" s="487"/>
      <c r="Z120" s="486"/>
      <c r="AA120" s="467"/>
      <c r="AB120" s="467"/>
      <c r="AC120" s="467"/>
      <c r="AD120" s="487"/>
      <c r="AE120" s="486"/>
      <c r="AF120" s="467"/>
      <c r="AG120" s="467"/>
      <c r="AH120" s="467"/>
      <c r="AI120" s="487"/>
      <c r="AJ120" s="486"/>
      <c r="AK120" s="467"/>
      <c r="AL120" s="467"/>
      <c r="AM120" s="467"/>
      <c r="AN120" s="487"/>
      <c r="AO120" s="486"/>
      <c r="AP120" s="467"/>
      <c r="AQ120" s="467"/>
      <c r="AR120" s="467"/>
      <c r="AS120" s="487"/>
    </row>
    <row r="121" spans="1:45" hidden="1" outlineLevel="1" x14ac:dyDescent="0.2">
      <c r="A121" s="478"/>
      <c r="B121" s="245"/>
      <c r="C121" s="270" t="s">
        <v>427</v>
      </c>
      <c r="D121" s="245" t="s">
        <v>509</v>
      </c>
      <c r="E121" s="500"/>
      <c r="F121" s="493"/>
      <c r="G121" s="474">
        <v>0</v>
      </c>
      <c r="H121" s="271"/>
      <c r="I121" s="271">
        <v>2</v>
      </c>
      <c r="J121" s="287"/>
      <c r="K121" s="486"/>
      <c r="L121" s="467"/>
      <c r="M121" s="467"/>
      <c r="N121" s="467"/>
      <c r="O121" s="487"/>
      <c r="P121" s="486"/>
      <c r="Q121" s="467"/>
      <c r="R121" s="467"/>
      <c r="S121" s="467"/>
      <c r="T121" s="487"/>
      <c r="U121" s="486"/>
      <c r="V121" s="467"/>
      <c r="W121" s="467"/>
      <c r="X121" s="467"/>
      <c r="Y121" s="487"/>
      <c r="Z121" s="486"/>
      <c r="AA121" s="467"/>
      <c r="AB121" s="467"/>
      <c r="AC121" s="467"/>
      <c r="AD121" s="487"/>
      <c r="AE121" s="486"/>
      <c r="AF121" s="467"/>
      <c r="AG121" s="467"/>
      <c r="AH121" s="467"/>
      <c r="AI121" s="487"/>
      <c r="AJ121" s="486"/>
      <c r="AK121" s="467"/>
      <c r="AL121" s="467"/>
      <c r="AM121" s="467"/>
      <c r="AN121" s="487"/>
      <c r="AO121" s="486"/>
      <c r="AP121" s="467"/>
      <c r="AQ121" s="467"/>
      <c r="AR121" s="467"/>
      <c r="AS121" s="487"/>
    </row>
    <row r="122" spans="1:45" hidden="1" outlineLevel="1" x14ac:dyDescent="0.2">
      <c r="A122" s="505"/>
      <c r="B122" s="506"/>
      <c r="C122" s="507"/>
      <c r="D122" s="506" t="s">
        <v>510</v>
      </c>
      <c r="E122" s="508"/>
      <c r="F122" s="513"/>
      <c r="G122" s="528"/>
      <c r="H122" s="514"/>
      <c r="I122" s="514"/>
      <c r="J122" s="518"/>
      <c r="K122" s="512"/>
      <c r="L122" s="510"/>
      <c r="M122" s="510"/>
      <c r="N122" s="510"/>
      <c r="O122" s="511"/>
      <c r="P122" s="512"/>
      <c r="Q122" s="510"/>
      <c r="R122" s="510"/>
      <c r="S122" s="510"/>
      <c r="T122" s="511">
        <v>1</v>
      </c>
      <c r="U122" s="512"/>
      <c r="V122" s="510"/>
      <c r="W122" s="510"/>
      <c r="X122" s="510"/>
      <c r="Y122" s="511"/>
      <c r="Z122" s="512"/>
      <c r="AA122" s="510"/>
      <c r="AB122" s="510"/>
      <c r="AC122" s="510"/>
      <c r="AD122" s="511"/>
      <c r="AE122" s="512"/>
      <c r="AF122" s="510"/>
      <c r="AG122" s="510"/>
      <c r="AH122" s="510"/>
      <c r="AI122" s="511"/>
      <c r="AJ122" s="512"/>
      <c r="AK122" s="510"/>
      <c r="AL122" s="510"/>
      <c r="AM122" s="510"/>
      <c r="AN122" s="511"/>
      <c r="AO122" s="512"/>
      <c r="AP122" s="510"/>
      <c r="AQ122" s="510"/>
      <c r="AR122" s="510"/>
      <c r="AS122" s="511"/>
    </row>
    <row r="123" spans="1:45" ht="16" hidden="1" outlineLevel="1" thickBot="1" x14ac:dyDescent="0.25">
      <c r="A123" s="505"/>
      <c r="B123" s="506"/>
      <c r="C123" s="507" t="s">
        <v>429</v>
      </c>
      <c r="D123" s="506" t="s">
        <v>511</v>
      </c>
      <c r="E123" s="508"/>
      <c r="F123" s="521"/>
      <c r="G123" s="506"/>
      <c r="H123" s="506"/>
      <c r="I123" s="506"/>
      <c r="J123" s="508">
        <v>2</v>
      </c>
      <c r="K123" s="512"/>
      <c r="L123" s="510"/>
      <c r="M123" s="510">
        <v>1</v>
      </c>
      <c r="N123" s="510"/>
      <c r="O123" s="511"/>
      <c r="P123" s="512"/>
      <c r="Q123" s="510"/>
      <c r="R123" s="510">
        <v>1</v>
      </c>
      <c r="S123" s="510"/>
      <c r="T123" s="511"/>
      <c r="U123" s="512"/>
      <c r="V123" s="510"/>
      <c r="W123" s="510">
        <v>1</v>
      </c>
      <c r="X123" s="510"/>
      <c r="Y123" s="511"/>
      <c r="Z123" s="512"/>
      <c r="AA123" s="510"/>
      <c r="AB123" s="510">
        <v>1</v>
      </c>
      <c r="AC123" s="510"/>
      <c r="AD123" s="511"/>
      <c r="AE123" s="512"/>
      <c r="AF123" s="510"/>
      <c r="AG123" s="510">
        <v>1</v>
      </c>
      <c r="AH123" s="510"/>
      <c r="AI123" s="511"/>
      <c r="AJ123" s="512"/>
      <c r="AK123" s="510"/>
      <c r="AL123" s="510">
        <v>1</v>
      </c>
      <c r="AM123" s="510"/>
      <c r="AN123" s="511"/>
      <c r="AO123" s="512"/>
      <c r="AP123" s="510"/>
      <c r="AQ123" s="510">
        <v>1</v>
      </c>
      <c r="AR123" s="510"/>
      <c r="AS123" s="511"/>
    </row>
    <row r="124" spans="1:45" ht="16" collapsed="1" thickBot="1" x14ac:dyDescent="0.25">
      <c r="A124" s="475">
        <v>17</v>
      </c>
      <c r="B124" s="476" t="s">
        <v>43</v>
      </c>
      <c r="C124" s="476"/>
      <c r="D124" s="477" t="s">
        <v>512</v>
      </c>
      <c r="E124" s="499"/>
      <c r="F124" s="482">
        <f>+SUM(F125:F136)</f>
        <v>0</v>
      </c>
      <c r="G124" s="483">
        <f t="shared" ref="G124:J124" si="204">+SUM(G125:G136)</f>
        <v>3</v>
      </c>
      <c r="H124" s="483">
        <f t="shared" si="204"/>
        <v>0</v>
      </c>
      <c r="I124" s="483">
        <f t="shared" si="204"/>
        <v>2.5</v>
      </c>
      <c r="J124" s="484">
        <f t="shared" si="204"/>
        <v>0</v>
      </c>
      <c r="K124" s="482">
        <f>+SUM(K125:K136)</f>
        <v>1</v>
      </c>
      <c r="L124" s="483">
        <f t="shared" ref="L124" si="205">+SUM(L125:L136)</f>
        <v>3</v>
      </c>
      <c r="M124" s="483">
        <f t="shared" ref="M124" si="206">+SUM(M125:M136)</f>
        <v>0</v>
      </c>
      <c r="N124" s="483">
        <f t="shared" ref="N124" si="207">+SUM(N125:N136)</f>
        <v>1</v>
      </c>
      <c r="O124" s="484">
        <f t="shared" ref="O124" si="208">+SUM(O125:O136)</f>
        <v>1</v>
      </c>
      <c r="P124" s="482">
        <f>+SUM(P125:P136)</f>
        <v>0</v>
      </c>
      <c r="Q124" s="483">
        <f t="shared" ref="Q124" si="209">+SUM(Q125:Q136)</f>
        <v>0</v>
      </c>
      <c r="R124" s="483">
        <f t="shared" ref="R124" si="210">+SUM(R125:R136)</f>
        <v>0</v>
      </c>
      <c r="S124" s="483">
        <f t="shared" ref="S124" si="211">+SUM(S125:S136)</f>
        <v>0</v>
      </c>
      <c r="T124" s="484">
        <f t="shared" ref="T124" si="212">+SUM(T125:T136)</f>
        <v>0</v>
      </c>
      <c r="U124" s="482">
        <f>+SUM(U125:U136)</f>
        <v>0</v>
      </c>
      <c r="V124" s="483">
        <f t="shared" ref="V124" si="213">+SUM(V125:V136)</f>
        <v>0</v>
      </c>
      <c r="W124" s="483">
        <f t="shared" ref="W124" si="214">+SUM(W125:W136)</f>
        <v>0</v>
      </c>
      <c r="X124" s="483">
        <f t="shared" ref="X124" si="215">+SUM(X125:X136)</f>
        <v>0</v>
      </c>
      <c r="Y124" s="484">
        <f t="shared" ref="Y124" si="216">+SUM(Y125:Y136)</f>
        <v>0</v>
      </c>
      <c r="Z124" s="482">
        <f>+SUM(Z125:Z136)</f>
        <v>0</v>
      </c>
      <c r="AA124" s="483">
        <f t="shared" ref="AA124:AD124" si="217">+SUM(AA125:AA136)</f>
        <v>0</v>
      </c>
      <c r="AB124" s="483">
        <f t="shared" si="217"/>
        <v>0</v>
      </c>
      <c r="AC124" s="483">
        <f t="shared" si="217"/>
        <v>0</v>
      </c>
      <c r="AD124" s="484">
        <f t="shared" si="217"/>
        <v>0</v>
      </c>
      <c r="AE124" s="482">
        <f>+SUM(AE125:AE136)</f>
        <v>0</v>
      </c>
      <c r="AF124" s="483">
        <f t="shared" ref="AF124:AI124" si="218">+SUM(AF125:AF136)</f>
        <v>0</v>
      </c>
      <c r="AG124" s="483">
        <f t="shared" si="218"/>
        <v>0</v>
      </c>
      <c r="AH124" s="483">
        <f t="shared" si="218"/>
        <v>0</v>
      </c>
      <c r="AI124" s="484">
        <f t="shared" si="218"/>
        <v>0</v>
      </c>
      <c r="AJ124" s="482">
        <f>+SUM(AJ125:AJ136)</f>
        <v>0</v>
      </c>
      <c r="AK124" s="483">
        <f t="shared" ref="AK124:AN124" si="219">+SUM(AK125:AK136)</f>
        <v>0</v>
      </c>
      <c r="AL124" s="483">
        <f t="shared" si="219"/>
        <v>0</v>
      </c>
      <c r="AM124" s="483">
        <f t="shared" si="219"/>
        <v>0</v>
      </c>
      <c r="AN124" s="484">
        <f t="shared" si="219"/>
        <v>0</v>
      </c>
      <c r="AO124" s="482">
        <f>+SUM(AO125:AO136)</f>
        <v>0</v>
      </c>
      <c r="AP124" s="483">
        <f t="shared" ref="AP124:AS124" si="220">+SUM(AP125:AP136)</f>
        <v>0</v>
      </c>
      <c r="AQ124" s="483">
        <f t="shared" si="220"/>
        <v>0</v>
      </c>
      <c r="AR124" s="483">
        <f t="shared" si="220"/>
        <v>0</v>
      </c>
      <c r="AS124" s="484">
        <f t="shared" si="220"/>
        <v>0</v>
      </c>
    </row>
    <row r="125" spans="1:45" hidden="1" outlineLevel="1" x14ac:dyDescent="0.2">
      <c r="A125" s="478"/>
      <c r="B125" s="245"/>
      <c r="C125" s="270" t="s">
        <v>423</v>
      </c>
      <c r="D125" s="245" t="s">
        <v>513</v>
      </c>
      <c r="E125" s="500"/>
      <c r="F125" s="478"/>
      <c r="G125" s="271"/>
      <c r="H125" s="271"/>
      <c r="I125" s="474">
        <v>1.5</v>
      </c>
      <c r="J125" s="287"/>
      <c r="K125" s="486"/>
      <c r="L125" s="467"/>
      <c r="M125" s="467"/>
      <c r="N125" s="467"/>
      <c r="O125" s="487"/>
      <c r="P125" s="486"/>
      <c r="Q125" s="467"/>
      <c r="R125" s="467"/>
      <c r="S125" s="467"/>
      <c r="T125" s="487"/>
      <c r="U125" s="486"/>
      <c r="V125" s="467"/>
      <c r="W125" s="467"/>
      <c r="X125" s="467"/>
      <c r="Y125" s="487"/>
      <c r="Z125" s="486"/>
      <c r="AA125" s="467"/>
      <c r="AB125" s="467"/>
      <c r="AC125" s="467"/>
      <c r="AD125" s="487"/>
      <c r="AE125" s="486"/>
      <c r="AF125" s="467"/>
      <c r="AG125" s="467"/>
      <c r="AH125" s="467"/>
      <c r="AI125" s="487"/>
      <c r="AJ125" s="486"/>
      <c r="AK125" s="467"/>
      <c r="AL125" s="467"/>
      <c r="AM125" s="467"/>
      <c r="AN125" s="487"/>
      <c r="AO125" s="486"/>
      <c r="AP125" s="467"/>
      <c r="AQ125" s="467"/>
      <c r="AR125" s="467"/>
      <c r="AS125" s="487"/>
    </row>
    <row r="126" spans="1:45" hidden="1" outlineLevel="1" x14ac:dyDescent="0.2">
      <c r="A126" s="478"/>
      <c r="B126" s="245"/>
      <c r="C126" s="270" t="s">
        <v>425</v>
      </c>
      <c r="D126" s="245" t="s">
        <v>514</v>
      </c>
      <c r="E126" s="500"/>
      <c r="F126" s="478"/>
      <c r="G126" s="271"/>
      <c r="H126" s="271"/>
      <c r="I126" s="474">
        <v>1</v>
      </c>
      <c r="J126" s="287"/>
      <c r="K126" s="486"/>
      <c r="L126" s="467"/>
      <c r="M126" s="467"/>
      <c r="N126" s="467"/>
      <c r="O126" s="487"/>
      <c r="P126" s="486"/>
      <c r="Q126" s="467"/>
      <c r="R126" s="467"/>
      <c r="S126" s="467"/>
      <c r="T126" s="487"/>
      <c r="U126" s="486"/>
      <c r="V126" s="467"/>
      <c r="W126" s="467"/>
      <c r="X126" s="467"/>
      <c r="Y126" s="487"/>
      <c r="Z126" s="486"/>
      <c r="AA126" s="467"/>
      <c r="AB126" s="467"/>
      <c r="AC126" s="467"/>
      <c r="AD126" s="487"/>
      <c r="AE126" s="486"/>
      <c r="AF126" s="467"/>
      <c r="AG126" s="467"/>
      <c r="AH126" s="467"/>
      <c r="AI126" s="487"/>
      <c r="AJ126" s="486"/>
      <c r="AK126" s="467"/>
      <c r="AL126" s="467"/>
      <c r="AM126" s="467"/>
      <c r="AN126" s="487"/>
      <c r="AO126" s="486"/>
      <c r="AP126" s="467"/>
      <c r="AQ126" s="467"/>
      <c r="AR126" s="467"/>
      <c r="AS126" s="487"/>
    </row>
    <row r="127" spans="1:45" hidden="1" outlineLevel="1" x14ac:dyDescent="0.2">
      <c r="A127" s="478"/>
      <c r="B127" s="245"/>
      <c r="C127" s="270" t="s">
        <v>427</v>
      </c>
      <c r="D127" s="245" t="s">
        <v>515</v>
      </c>
      <c r="E127" s="500"/>
      <c r="F127" s="478"/>
      <c r="G127" s="474">
        <v>2</v>
      </c>
      <c r="H127" s="271"/>
      <c r="I127" s="271"/>
      <c r="J127" s="287"/>
      <c r="K127" s="486"/>
      <c r="L127" s="467"/>
      <c r="M127" s="467"/>
      <c r="N127" s="467">
        <v>1</v>
      </c>
      <c r="O127" s="487"/>
      <c r="P127" s="486"/>
      <c r="Q127" s="467"/>
      <c r="R127" s="467"/>
      <c r="S127" s="467"/>
      <c r="T127" s="487"/>
      <c r="U127" s="486"/>
      <c r="V127" s="467"/>
      <c r="W127" s="467"/>
      <c r="X127" s="467"/>
      <c r="Y127" s="487"/>
      <c r="Z127" s="486"/>
      <c r="AA127" s="467"/>
      <c r="AB127" s="467"/>
      <c r="AC127" s="467"/>
      <c r="AD127" s="487"/>
      <c r="AE127" s="486"/>
      <c r="AF127" s="467"/>
      <c r="AG127" s="467"/>
      <c r="AH127" s="467"/>
      <c r="AI127" s="487"/>
      <c r="AJ127" s="486"/>
      <c r="AK127" s="467"/>
      <c r="AL127" s="467"/>
      <c r="AM127" s="467"/>
      <c r="AN127" s="487"/>
      <c r="AO127" s="486"/>
      <c r="AP127" s="467"/>
      <c r="AQ127" s="467"/>
      <c r="AR127" s="467"/>
      <c r="AS127" s="487"/>
    </row>
    <row r="128" spans="1:45" hidden="1" outlineLevel="1" x14ac:dyDescent="0.2">
      <c r="A128" s="478"/>
      <c r="B128" s="245"/>
      <c r="C128" s="270" t="s">
        <v>429</v>
      </c>
      <c r="D128" s="245" t="s">
        <v>516</v>
      </c>
      <c r="E128" s="500"/>
      <c r="F128" s="282"/>
      <c r="G128" s="522">
        <v>1</v>
      </c>
      <c r="H128" s="245"/>
      <c r="I128" s="245"/>
      <c r="J128" s="500"/>
      <c r="K128" s="486"/>
      <c r="L128" s="467"/>
      <c r="M128" s="467"/>
      <c r="N128" s="467"/>
      <c r="O128" s="487"/>
      <c r="P128" s="486"/>
      <c r="Q128" s="467"/>
      <c r="R128" s="467"/>
      <c r="S128" s="467"/>
      <c r="T128" s="487"/>
      <c r="U128" s="486"/>
      <c r="V128" s="467"/>
      <c r="W128" s="467"/>
      <c r="X128" s="467"/>
      <c r="Y128" s="487"/>
      <c r="Z128" s="486"/>
      <c r="AA128" s="467"/>
      <c r="AB128" s="467"/>
      <c r="AC128" s="467"/>
      <c r="AD128" s="487"/>
      <c r="AE128" s="486"/>
      <c r="AF128" s="467"/>
      <c r="AG128" s="467"/>
      <c r="AH128" s="467"/>
      <c r="AI128" s="487"/>
      <c r="AJ128" s="486"/>
      <c r="AK128" s="467"/>
      <c r="AL128" s="467"/>
      <c r="AM128" s="467"/>
      <c r="AN128" s="487"/>
      <c r="AO128" s="486"/>
      <c r="AP128" s="467"/>
      <c r="AQ128" s="467"/>
      <c r="AR128" s="467"/>
      <c r="AS128" s="487"/>
    </row>
    <row r="129" spans="1:45" hidden="1" outlineLevel="1" x14ac:dyDescent="0.2">
      <c r="A129" s="282"/>
      <c r="B129" s="245"/>
      <c r="C129" s="270" t="s">
        <v>431</v>
      </c>
      <c r="D129" s="245" t="s">
        <v>517</v>
      </c>
      <c r="E129" s="500" t="s">
        <v>518</v>
      </c>
      <c r="F129" s="478"/>
      <c r="G129" s="271"/>
      <c r="H129" s="271"/>
      <c r="I129" s="271"/>
      <c r="J129" s="287"/>
      <c r="K129" s="478"/>
      <c r="L129" s="271">
        <v>3</v>
      </c>
      <c r="M129" s="271"/>
      <c r="N129" s="271"/>
      <c r="O129" s="287"/>
      <c r="P129" s="478"/>
      <c r="Q129" s="271"/>
      <c r="R129" s="271"/>
      <c r="S129" s="271"/>
      <c r="T129" s="287"/>
      <c r="U129" s="478"/>
      <c r="V129" s="271"/>
      <c r="W129" s="271"/>
      <c r="X129" s="271"/>
      <c r="Y129" s="287"/>
      <c r="Z129" s="478"/>
      <c r="AA129" s="271"/>
      <c r="AB129" s="271"/>
      <c r="AC129" s="271"/>
      <c r="AD129" s="287"/>
      <c r="AE129" s="478"/>
      <c r="AF129" s="271"/>
      <c r="AG129" s="271"/>
      <c r="AH129" s="271"/>
      <c r="AI129" s="287"/>
      <c r="AJ129" s="478"/>
      <c r="AK129" s="271"/>
      <c r="AL129" s="271"/>
      <c r="AM129" s="271"/>
      <c r="AN129" s="287"/>
      <c r="AO129" s="478"/>
      <c r="AP129" s="271"/>
      <c r="AQ129" s="271"/>
      <c r="AR129" s="271"/>
      <c r="AS129" s="287"/>
    </row>
    <row r="130" spans="1:45" hidden="1" outlineLevel="1" x14ac:dyDescent="0.2">
      <c r="A130" s="282"/>
      <c r="B130" s="245"/>
      <c r="C130" s="270" t="s">
        <v>432</v>
      </c>
      <c r="D130" s="245" t="s">
        <v>519</v>
      </c>
      <c r="E130" s="500" t="s">
        <v>520</v>
      </c>
      <c r="F130" s="478"/>
      <c r="G130" s="271"/>
      <c r="H130" s="271"/>
      <c r="I130" s="271"/>
      <c r="J130" s="287"/>
      <c r="K130" s="478">
        <v>1</v>
      </c>
      <c r="L130" s="271"/>
      <c r="M130" s="271"/>
      <c r="N130" s="271"/>
      <c r="O130" s="287"/>
      <c r="P130" s="478"/>
      <c r="Q130" s="271"/>
      <c r="R130" s="271"/>
      <c r="S130" s="271"/>
      <c r="T130" s="287"/>
      <c r="U130" s="478"/>
      <c r="V130" s="271"/>
      <c r="W130" s="271"/>
      <c r="X130" s="271"/>
      <c r="Y130" s="287"/>
      <c r="Z130" s="478"/>
      <c r="AA130" s="271"/>
      <c r="AB130" s="271"/>
      <c r="AC130" s="271"/>
      <c r="AD130" s="287"/>
      <c r="AE130" s="478"/>
      <c r="AF130" s="271"/>
      <c r="AG130" s="271"/>
      <c r="AH130" s="271"/>
      <c r="AI130" s="287"/>
      <c r="AJ130" s="478"/>
      <c r="AK130" s="271"/>
      <c r="AL130" s="271"/>
      <c r="AM130" s="271"/>
      <c r="AN130" s="287"/>
      <c r="AO130" s="478"/>
      <c r="AP130" s="271"/>
      <c r="AQ130" s="271"/>
      <c r="AR130" s="271"/>
      <c r="AS130" s="287"/>
    </row>
    <row r="131" spans="1:45" hidden="1" outlineLevel="1" x14ac:dyDescent="0.2">
      <c r="A131" s="282"/>
      <c r="B131" s="245"/>
      <c r="C131" s="270" t="s">
        <v>433</v>
      </c>
      <c r="D131" s="245" t="s">
        <v>521</v>
      </c>
      <c r="E131" s="500"/>
      <c r="F131" s="478"/>
      <c r="G131" s="271"/>
      <c r="H131" s="271"/>
      <c r="I131" s="271"/>
      <c r="J131" s="287"/>
      <c r="K131" s="478"/>
      <c r="L131" s="271"/>
      <c r="M131" s="271"/>
      <c r="N131" s="271"/>
      <c r="O131" s="287">
        <v>1</v>
      </c>
      <c r="P131" s="478"/>
      <c r="Q131" s="271"/>
      <c r="R131" s="271"/>
      <c r="S131" s="271"/>
      <c r="T131" s="287"/>
      <c r="U131" s="478"/>
      <c r="V131" s="271"/>
      <c r="W131" s="271"/>
      <c r="X131" s="271">
        <v>0</v>
      </c>
      <c r="Y131" s="287"/>
      <c r="Z131" s="478"/>
      <c r="AA131" s="271"/>
      <c r="AB131" s="271"/>
      <c r="AC131" s="271">
        <v>0</v>
      </c>
      <c r="AD131" s="287"/>
      <c r="AE131" s="478"/>
      <c r="AF131" s="271"/>
      <c r="AG131" s="271"/>
      <c r="AH131" s="271">
        <v>0</v>
      </c>
      <c r="AI131" s="287"/>
      <c r="AJ131" s="478"/>
      <c r="AK131" s="271"/>
      <c r="AL131" s="271"/>
      <c r="AM131" s="271">
        <v>0</v>
      </c>
      <c r="AN131" s="287"/>
      <c r="AO131" s="478"/>
      <c r="AP131" s="271"/>
      <c r="AQ131" s="271"/>
      <c r="AR131" s="271">
        <v>0</v>
      </c>
      <c r="AS131" s="287"/>
    </row>
    <row r="132" spans="1:45" hidden="1" outlineLevel="1" x14ac:dyDescent="0.2">
      <c r="A132" s="282"/>
      <c r="B132" s="245"/>
      <c r="C132" s="270" t="s">
        <v>435</v>
      </c>
      <c r="D132" s="245"/>
      <c r="E132" s="500"/>
      <c r="F132" s="478"/>
      <c r="G132" s="271"/>
      <c r="H132" s="271"/>
      <c r="I132" s="271"/>
      <c r="J132" s="287"/>
      <c r="K132" s="478"/>
      <c r="L132" s="271"/>
      <c r="M132" s="271"/>
      <c r="N132" s="271"/>
      <c r="O132" s="287"/>
      <c r="P132" s="478"/>
      <c r="Q132" s="271"/>
      <c r="R132" s="271"/>
      <c r="S132" s="271"/>
      <c r="T132" s="287"/>
      <c r="U132" s="478"/>
      <c r="V132" s="271"/>
      <c r="W132" s="271"/>
      <c r="X132" s="271"/>
      <c r="Y132" s="287"/>
      <c r="Z132" s="478"/>
      <c r="AA132" s="271"/>
      <c r="AB132" s="271"/>
      <c r="AC132" s="271"/>
      <c r="AD132" s="287"/>
      <c r="AE132" s="478"/>
      <c r="AF132" s="271"/>
      <c r="AG132" s="271"/>
      <c r="AH132" s="271"/>
      <c r="AI132" s="287"/>
      <c r="AJ132" s="478"/>
      <c r="AK132" s="271"/>
      <c r="AL132" s="271"/>
      <c r="AM132" s="271"/>
      <c r="AN132" s="287"/>
      <c r="AO132" s="478"/>
      <c r="AP132" s="271"/>
      <c r="AQ132" s="271"/>
      <c r="AR132" s="271"/>
      <c r="AS132" s="287"/>
    </row>
    <row r="133" spans="1:45" hidden="1" outlineLevel="1" x14ac:dyDescent="0.2">
      <c r="A133" s="282"/>
      <c r="B133" s="245"/>
      <c r="C133" s="270" t="s">
        <v>478</v>
      </c>
      <c r="D133" s="245"/>
      <c r="E133" s="500"/>
      <c r="F133" s="478"/>
      <c r="G133" s="271"/>
      <c r="H133" s="271"/>
      <c r="I133" s="271"/>
      <c r="J133" s="287"/>
      <c r="K133" s="478"/>
      <c r="L133" s="271"/>
      <c r="M133" s="271"/>
      <c r="N133" s="271"/>
      <c r="O133" s="287"/>
      <c r="P133" s="478"/>
      <c r="Q133" s="271"/>
      <c r="R133" s="271"/>
      <c r="S133" s="271"/>
      <c r="T133" s="287"/>
      <c r="U133" s="478"/>
      <c r="V133" s="271"/>
      <c r="W133" s="271"/>
      <c r="X133" s="271"/>
      <c r="Y133" s="287"/>
      <c r="Z133" s="478"/>
      <c r="AA133" s="271"/>
      <c r="AB133" s="271"/>
      <c r="AC133" s="271"/>
      <c r="AD133" s="287"/>
      <c r="AE133" s="478"/>
      <c r="AF133" s="271"/>
      <c r="AG133" s="271"/>
      <c r="AH133" s="271"/>
      <c r="AI133" s="287"/>
      <c r="AJ133" s="478"/>
      <c r="AK133" s="271"/>
      <c r="AL133" s="271"/>
      <c r="AM133" s="271"/>
      <c r="AN133" s="287"/>
      <c r="AO133" s="478"/>
      <c r="AP133" s="271"/>
      <c r="AQ133" s="271"/>
      <c r="AR133" s="271"/>
      <c r="AS133" s="287"/>
    </row>
    <row r="134" spans="1:45" hidden="1" outlineLevel="1" x14ac:dyDescent="0.2">
      <c r="A134" s="282"/>
      <c r="B134" s="245"/>
      <c r="C134" s="270" t="s">
        <v>522</v>
      </c>
      <c r="D134" s="245"/>
      <c r="E134" s="500"/>
      <c r="F134" s="478"/>
      <c r="G134" s="271"/>
      <c r="H134" s="271"/>
      <c r="I134" s="271"/>
      <c r="J134" s="287"/>
      <c r="K134" s="478"/>
      <c r="L134" s="271"/>
      <c r="M134" s="271"/>
      <c r="N134" s="271"/>
      <c r="O134" s="287"/>
      <c r="P134" s="478"/>
      <c r="Q134" s="271"/>
      <c r="R134" s="271"/>
      <c r="S134" s="271"/>
      <c r="T134" s="287"/>
      <c r="U134" s="478"/>
      <c r="V134" s="271"/>
      <c r="W134" s="271"/>
      <c r="X134" s="271"/>
      <c r="Y134" s="287"/>
      <c r="Z134" s="478"/>
      <c r="AA134" s="271"/>
      <c r="AB134" s="271"/>
      <c r="AC134" s="271"/>
      <c r="AD134" s="287"/>
      <c r="AE134" s="478"/>
      <c r="AF134" s="271"/>
      <c r="AG134" s="271"/>
      <c r="AH134" s="271"/>
      <c r="AI134" s="287"/>
      <c r="AJ134" s="478"/>
      <c r="AK134" s="271"/>
      <c r="AL134" s="271"/>
      <c r="AM134" s="271"/>
      <c r="AN134" s="287"/>
      <c r="AO134" s="478"/>
      <c r="AP134" s="271"/>
      <c r="AQ134" s="271"/>
      <c r="AR134" s="271"/>
      <c r="AS134" s="287"/>
    </row>
    <row r="135" spans="1:45" hidden="1" outlineLevel="1" x14ac:dyDescent="0.2">
      <c r="A135" s="282"/>
      <c r="B135" s="245"/>
      <c r="C135" s="270" t="s">
        <v>523</v>
      </c>
      <c r="D135" s="245"/>
      <c r="E135" s="500"/>
      <c r="F135" s="478"/>
      <c r="G135" s="271"/>
      <c r="H135" s="271"/>
      <c r="I135" s="271"/>
      <c r="J135" s="287"/>
      <c r="K135" s="478"/>
      <c r="L135" s="271"/>
      <c r="M135" s="271"/>
      <c r="N135" s="271"/>
      <c r="O135" s="287"/>
      <c r="P135" s="478"/>
      <c r="Q135" s="271"/>
      <c r="R135" s="271"/>
      <c r="S135" s="271"/>
      <c r="T135" s="287"/>
      <c r="U135" s="478"/>
      <c r="V135" s="271"/>
      <c r="W135" s="271"/>
      <c r="X135" s="271"/>
      <c r="Y135" s="287"/>
      <c r="Z135" s="478"/>
      <c r="AA135" s="271"/>
      <c r="AB135" s="271"/>
      <c r="AC135" s="271"/>
      <c r="AD135" s="287"/>
      <c r="AE135" s="478"/>
      <c r="AF135" s="271"/>
      <c r="AG135" s="271"/>
      <c r="AH135" s="271"/>
      <c r="AI135" s="287"/>
      <c r="AJ135" s="478"/>
      <c r="AK135" s="271"/>
      <c r="AL135" s="271"/>
      <c r="AM135" s="271"/>
      <c r="AN135" s="287"/>
      <c r="AO135" s="478"/>
      <c r="AP135" s="271"/>
      <c r="AQ135" s="271"/>
      <c r="AR135" s="271"/>
      <c r="AS135" s="287"/>
    </row>
    <row r="136" spans="1:45" ht="16" hidden="1" outlineLevel="1" thickBot="1" x14ac:dyDescent="0.25">
      <c r="A136" s="283"/>
      <c r="B136" s="468"/>
      <c r="C136" s="481" t="s">
        <v>524</v>
      </c>
      <c r="D136" s="468"/>
      <c r="E136" s="469"/>
      <c r="F136" s="479"/>
      <c r="G136" s="480"/>
      <c r="H136" s="480"/>
      <c r="I136" s="480"/>
      <c r="J136" s="288"/>
      <c r="K136" s="479"/>
      <c r="L136" s="480"/>
      <c r="M136" s="480"/>
      <c r="N136" s="480"/>
      <c r="O136" s="288"/>
      <c r="P136" s="479"/>
      <c r="Q136" s="480"/>
      <c r="R136" s="480"/>
      <c r="S136" s="480"/>
      <c r="T136" s="288"/>
      <c r="U136" s="479"/>
      <c r="V136" s="480"/>
      <c r="W136" s="480"/>
      <c r="X136" s="480"/>
      <c r="Y136" s="288"/>
      <c r="Z136" s="479"/>
      <c r="AA136" s="480"/>
      <c r="AB136" s="480"/>
      <c r="AC136" s="480"/>
      <c r="AD136" s="288"/>
      <c r="AE136" s="479"/>
      <c r="AF136" s="480"/>
      <c r="AG136" s="480"/>
      <c r="AH136" s="480"/>
      <c r="AI136" s="288"/>
      <c r="AJ136" s="479"/>
      <c r="AK136" s="480"/>
      <c r="AL136" s="480"/>
      <c r="AM136" s="480"/>
      <c r="AN136" s="288"/>
      <c r="AO136" s="479"/>
      <c r="AP136" s="480"/>
      <c r="AQ136" s="480"/>
      <c r="AR136" s="480"/>
      <c r="AS136" s="288"/>
    </row>
    <row r="137" spans="1:45" ht="16" collapsed="1" thickBot="1" x14ac:dyDescent="0.25">
      <c r="A137" s="475">
        <v>18</v>
      </c>
      <c r="B137" s="476" t="s">
        <v>46</v>
      </c>
      <c r="C137" s="476"/>
      <c r="D137" s="477" t="s">
        <v>525</v>
      </c>
      <c r="E137" s="499"/>
      <c r="F137" s="490">
        <f>+SUM(F138:F141)</f>
        <v>0</v>
      </c>
      <c r="G137" s="483">
        <f t="shared" ref="G137:J137" si="221">+SUM(G138:G141)</f>
        <v>0</v>
      </c>
      <c r="H137" s="483">
        <f t="shared" si="221"/>
        <v>0</v>
      </c>
      <c r="I137" s="483">
        <f t="shared" si="221"/>
        <v>3</v>
      </c>
      <c r="J137" s="484">
        <f t="shared" si="221"/>
        <v>0</v>
      </c>
      <c r="K137" s="482">
        <f>+SUM(K138:K141)</f>
        <v>0</v>
      </c>
      <c r="L137" s="483">
        <f t="shared" ref="L137:O137" si="222">+SUM(L138:L141)</f>
        <v>0</v>
      </c>
      <c r="M137" s="483">
        <f t="shared" si="222"/>
        <v>0</v>
      </c>
      <c r="N137" s="483">
        <f t="shared" si="222"/>
        <v>0</v>
      </c>
      <c r="O137" s="484">
        <f t="shared" si="222"/>
        <v>0</v>
      </c>
      <c r="P137" s="482">
        <f>+SUM(P138:P141)</f>
        <v>0</v>
      </c>
      <c r="Q137" s="483">
        <f t="shared" ref="Q137:T137" si="223">+SUM(Q138:Q141)</f>
        <v>0</v>
      </c>
      <c r="R137" s="483">
        <f t="shared" si="223"/>
        <v>0</v>
      </c>
      <c r="S137" s="483">
        <f t="shared" si="223"/>
        <v>0</v>
      </c>
      <c r="T137" s="484">
        <f t="shared" si="223"/>
        <v>0</v>
      </c>
      <c r="U137" s="482">
        <f>+SUM(U138:U141)</f>
        <v>0</v>
      </c>
      <c r="V137" s="483">
        <f t="shared" ref="V137:Y137" si="224">+SUM(V138:V141)</f>
        <v>0</v>
      </c>
      <c r="W137" s="483">
        <f t="shared" si="224"/>
        <v>0</v>
      </c>
      <c r="X137" s="483">
        <f t="shared" si="224"/>
        <v>0</v>
      </c>
      <c r="Y137" s="484">
        <f t="shared" si="224"/>
        <v>0</v>
      </c>
      <c r="Z137" s="482">
        <f>+SUM(Z138:Z141)</f>
        <v>0</v>
      </c>
      <c r="AA137" s="483">
        <f t="shared" ref="AA137:AD137" si="225">+SUM(AA138:AA141)</f>
        <v>0</v>
      </c>
      <c r="AB137" s="483">
        <f t="shared" si="225"/>
        <v>0</v>
      </c>
      <c r="AC137" s="483">
        <f t="shared" si="225"/>
        <v>0</v>
      </c>
      <c r="AD137" s="484">
        <f t="shared" si="225"/>
        <v>0</v>
      </c>
      <c r="AE137" s="482">
        <f>+SUM(AE138:AE141)</f>
        <v>0</v>
      </c>
      <c r="AF137" s="483">
        <f t="shared" ref="AF137:AI137" si="226">+SUM(AF138:AF141)</f>
        <v>0</v>
      </c>
      <c r="AG137" s="483">
        <f t="shared" si="226"/>
        <v>0</v>
      </c>
      <c r="AH137" s="483">
        <f t="shared" si="226"/>
        <v>0</v>
      </c>
      <c r="AI137" s="484">
        <f t="shared" si="226"/>
        <v>0</v>
      </c>
      <c r="AJ137" s="482">
        <f>+SUM(AJ138:AJ141)</f>
        <v>0</v>
      </c>
      <c r="AK137" s="483">
        <f t="shared" ref="AK137:AN137" si="227">+SUM(AK138:AK141)</f>
        <v>0</v>
      </c>
      <c r="AL137" s="483">
        <f t="shared" si="227"/>
        <v>0</v>
      </c>
      <c r="AM137" s="483">
        <f t="shared" si="227"/>
        <v>0</v>
      </c>
      <c r="AN137" s="484">
        <f t="shared" si="227"/>
        <v>0</v>
      </c>
      <c r="AO137" s="482">
        <f>+SUM(AO138:AO141)</f>
        <v>0</v>
      </c>
      <c r="AP137" s="483">
        <f t="shared" ref="AP137:AS137" si="228">+SUM(AP138:AP141)</f>
        <v>0</v>
      </c>
      <c r="AQ137" s="483">
        <f t="shared" si="228"/>
        <v>0</v>
      </c>
      <c r="AR137" s="483">
        <f t="shared" si="228"/>
        <v>0</v>
      </c>
      <c r="AS137" s="484">
        <f t="shared" si="228"/>
        <v>0</v>
      </c>
    </row>
    <row r="138" spans="1:45" hidden="1" outlineLevel="1" x14ac:dyDescent="0.2">
      <c r="A138" s="478"/>
      <c r="B138" s="245"/>
      <c r="C138" s="270" t="s">
        <v>423</v>
      </c>
      <c r="D138" s="245" t="s">
        <v>526</v>
      </c>
      <c r="E138" s="500"/>
      <c r="F138" s="271"/>
      <c r="G138" s="271"/>
      <c r="H138" s="271"/>
      <c r="I138" s="271">
        <v>3</v>
      </c>
      <c r="J138" s="287"/>
      <c r="K138" s="486"/>
      <c r="L138" s="467"/>
      <c r="M138" s="467"/>
      <c r="N138" s="467"/>
      <c r="O138" s="487"/>
      <c r="P138" s="486"/>
      <c r="Q138" s="467"/>
      <c r="R138" s="467"/>
      <c r="S138" s="467"/>
      <c r="T138" s="487"/>
      <c r="U138" s="486"/>
      <c r="V138" s="467"/>
      <c r="W138" s="467"/>
      <c r="X138" s="467"/>
      <c r="Y138" s="487"/>
      <c r="Z138" s="486"/>
      <c r="AA138" s="467"/>
      <c r="AB138" s="467"/>
      <c r="AC138" s="467"/>
      <c r="AD138" s="487"/>
      <c r="AE138" s="486"/>
      <c r="AF138" s="467"/>
      <c r="AG138" s="467"/>
      <c r="AH138" s="467"/>
      <c r="AI138" s="487"/>
      <c r="AJ138" s="486"/>
      <c r="AK138" s="467"/>
      <c r="AL138" s="467"/>
      <c r="AM138" s="467"/>
      <c r="AN138" s="487"/>
      <c r="AO138" s="486"/>
      <c r="AP138" s="467"/>
      <c r="AQ138" s="467"/>
      <c r="AR138" s="467"/>
      <c r="AS138" s="487"/>
    </row>
    <row r="139" spans="1:45" hidden="1" outlineLevel="1" x14ac:dyDescent="0.2">
      <c r="A139" s="478"/>
      <c r="B139" s="245"/>
      <c r="C139" s="270" t="s">
        <v>425</v>
      </c>
      <c r="D139" s="245"/>
      <c r="E139" s="500"/>
      <c r="F139" s="493"/>
      <c r="G139" s="271"/>
      <c r="H139" s="271"/>
      <c r="I139" s="271"/>
      <c r="J139" s="287"/>
      <c r="K139" s="486"/>
      <c r="L139" s="467"/>
      <c r="M139" s="467"/>
      <c r="N139" s="467"/>
      <c r="O139" s="487"/>
      <c r="P139" s="486"/>
      <c r="Q139" s="467"/>
      <c r="R139" s="467"/>
      <c r="S139" s="467"/>
      <c r="T139" s="487"/>
      <c r="U139" s="486"/>
      <c r="V139" s="467"/>
      <c r="W139" s="467"/>
      <c r="X139" s="467"/>
      <c r="Y139" s="487"/>
      <c r="Z139" s="486"/>
      <c r="AA139" s="467"/>
      <c r="AB139" s="467"/>
      <c r="AC139" s="467"/>
      <c r="AD139" s="487"/>
      <c r="AE139" s="486"/>
      <c r="AF139" s="467"/>
      <c r="AG139" s="467"/>
      <c r="AH139" s="467"/>
      <c r="AI139" s="487"/>
      <c r="AJ139" s="486"/>
      <c r="AK139" s="467"/>
      <c r="AL139" s="467"/>
      <c r="AM139" s="467"/>
      <c r="AN139" s="487"/>
      <c r="AO139" s="486"/>
      <c r="AP139" s="467"/>
      <c r="AQ139" s="467"/>
      <c r="AR139" s="467"/>
      <c r="AS139" s="487"/>
    </row>
    <row r="140" spans="1:45" hidden="1" outlineLevel="1" x14ac:dyDescent="0.2">
      <c r="A140" s="478"/>
      <c r="B140" s="245"/>
      <c r="C140" s="270" t="s">
        <v>427</v>
      </c>
      <c r="D140" s="245"/>
      <c r="E140" s="500"/>
      <c r="F140" s="493"/>
      <c r="G140" s="271"/>
      <c r="H140" s="271"/>
      <c r="I140" s="271"/>
      <c r="J140" s="287"/>
      <c r="K140" s="486"/>
      <c r="L140" s="467"/>
      <c r="M140" s="467"/>
      <c r="N140" s="467"/>
      <c r="O140" s="487"/>
      <c r="P140" s="486"/>
      <c r="Q140" s="467"/>
      <c r="R140" s="467"/>
      <c r="S140" s="467"/>
      <c r="T140" s="487"/>
      <c r="U140" s="486"/>
      <c r="V140" s="467"/>
      <c r="W140" s="467"/>
      <c r="X140" s="467"/>
      <c r="Y140" s="487"/>
      <c r="Z140" s="486"/>
      <c r="AA140" s="467"/>
      <c r="AB140" s="467"/>
      <c r="AC140" s="467"/>
      <c r="AD140" s="487"/>
      <c r="AE140" s="486"/>
      <c r="AF140" s="467"/>
      <c r="AG140" s="467"/>
      <c r="AH140" s="467"/>
      <c r="AI140" s="487"/>
      <c r="AJ140" s="486"/>
      <c r="AK140" s="467"/>
      <c r="AL140" s="467"/>
      <c r="AM140" s="467"/>
      <c r="AN140" s="487"/>
      <c r="AO140" s="486"/>
      <c r="AP140" s="467"/>
      <c r="AQ140" s="467"/>
      <c r="AR140" s="467"/>
      <c r="AS140" s="487"/>
    </row>
    <row r="141" spans="1:45" ht="16" hidden="1" outlineLevel="1" thickBot="1" x14ac:dyDescent="0.25">
      <c r="A141" s="479"/>
      <c r="B141" s="468"/>
      <c r="C141" s="481" t="s">
        <v>429</v>
      </c>
      <c r="D141" s="468"/>
      <c r="E141" s="469"/>
      <c r="F141" s="494"/>
      <c r="G141" s="468"/>
      <c r="H141" s="468"/>
      <c r="I141" s="468"/>
      <c r="J141" s="469"/>
      <c r="K141" s="497"/>
      <c r="L141" s="485"/>
      <c r="M141" s="485"/>
      <c r="N141" s="485"/>
      <c r="O141" s="488"/>
      <c r="P141" s="497"/>
      <c r="Q141" s="485"/>
      <c r="R141" s="485"/>
      <c r="S141" s="485"/>
      <c r="T141" s="488"/>
      <c r="U141" s="497"/>
      <c r="V141" s="485"/>
      <c r="W141" s="485"/>
      <c r="X141" s="485"/>
      <c r="Y141" s="488"/>
      <c r="Z141" s="497"/>
      <c r="AA141" s="485"/>
      <c r="AB141" s="485"/>
      <c r="AC141" s="485"/>
      <c r="AD141" s="488"/>
      <c r="AE141" s="497"/>
      <c r="AF141" s="485"/>
      <c r="AG141" s="485"/>
      <c r="AH141" s="485"/>
      <c r="AI141" s="488"/>
      <c r="AJ141" s="497"/>
      <c r="AK141" s="485"/>
      <c r="AL141" s="485"/>
      <c r="AM141" s="485"/>
      <c r="AN141" s="488"/>
      <c r="AO141" s="497"/>
      <c r="AP141" s="485"/>
      <c r="AQ141" s="485"/>
      <c r="AR141" s="485"/>
      <c r="AS141" s="488"/>
    </row>
    <row r="142" spans="1:45" ht="16" collapsed="1" thickBot="1" x14ac:dyDescent="0.25">
      <c r="A142" s="475">
        <v>19</v>
      </c>
      <c r="B142" s="476" t="s">
        <v>48</v>
      </c>
      <c r="C142" s="476"/>
      <c r="D142" s="477" t="s">
        <v>108</v>
      </c>
      <c r="E142" s="499"/>
      <c r="F142" s="490">
        <f>+SUM(F143:F146)</f>
        <v>0</v>
      </c>
      <c r="G142" s="483">
        <f t="shared" ref="G142:J142" si="229">+SUM(G143:G146)</f>
        <v>0</v>
      </c>
      <c r="H142" s="483">
        <f t="shared" si="229"/>
        <v>0</v>
      </c>
      <c r="I142" s="483">
        <f t="shared" si="229"/>
        <v>0</v>
      </c>
      <c r="J142" s="484">
        <f t="shared" si="229"/>
        <v>2</v>
      </c>
      <c r="K142" s="482">
        <f>+SUM(K143:K146)</f>
        <v>0</v>
      </c>
      <c r="L142" s="483">
        <f t="shared" ref="L142:O142" si="230">+SUM(L143:L146)</f>
        <v>0</v>
      </c>
      <c r="M142" s="483">
        <f t="shared" si="230"/>
        <v>0</v>
      </c>
      <c r="N142" s="483">
        <f t="shared" si="230"/>
        <v>0</v>
      </c>
      <c r="O142" s="484">
        <f t="shared" si="230"/>
        <v>0</v>
      </c>
      <c r="P142" s="482">
        <f>+SUM(P143:P146)</f>
        <v>0</v>
      </c>
      <c r="Q142" s="483">
        <f t="shared" ref="Q142:T142" si="231">+SUM(Q143:Q146)</f>
        <v>0</v>
      </c>
      <c r="R142" s="483">
        <f t="shared" si="231"/>
        <v>0</v>
      </c>
      <c r="S142" s="483">
        <f t="shared" si="231"/>
        <v>0</v>
      </c>
      <c r="T142" s="484">
        <f t="shared" si="231"/>
        <v>0</v>
      </c>
      <c r="U142" s="482">
        <f>+SUM(U143:U146)</f>
        <v>0</v>
      </c>
      <c r="V142" s="483">
        <f t="shared" ref="V142:Y142" si="232">+SUM(V143:V146)</f>
        <v>0</v>
      </c>
      <c r="W142" s="483">
        <f t="shared" si="232"/>
        <v>0</v>
      </c>
      <c r="X142" s="483">
        <f t="shared" si="232"/>
        <v>0</v>
      </c>
      <c r="Y142" s="484">
        <f t="shared" si="232"/>
        <v>0</v>
      </c>
      <c r="Z142" s="482">
        <f>+SUM(Z143:Z146)</f>
        <v>0</v>
      </c>
      <c r="AA142" s="483">
        <f t="shared" ref="AA142:AD142" si="233">+SUM(AA143:AA146)</f>
        <v>0</v>
      </c>
      <c r="AB142" s="483">
        <f t="shared" si="233"/>
        <v>0</v>
      </c>
      <c r="AC142" s="483">
        <f t="shared" si="233"/>
        <v>0</v>
      </c>
      <c r="AD142" s="484">
        <f t="shared" si="233"/>
        <v>0</v>
      </c>
      <c r="AE142" s="482">
        <f>+SUM(AE143:AE146)</f>
        <v>0</v>
      </c>
      <c r="AF142" s="483">
        <f t="shared" ref="AF142:AI142" si="234">+SUM(AF143:AF146)</f>
        <v>0</v>
      </c>
      <c r="AG142" s="483">
        <f t="shared" si="234"/>
        <v>0</v>
      </c>
      <c r="AH142" s="483">
        <f t="shared" si="234"/>
        <v>0</v>
      </c>
      <c r="AI142" s="484">
        <f t="shared" si="234"/>
        <v>0</v>
      </c>
      <c r="AJ142" s="482">
        <f>+SUM(AJ143:AJ146)</f>
        <v>0</v>
      </c>
      <c r="AK142" s="483">
        <f t="shared" ref="AK142:AN142" si="235">+SUM(AK143:AK146)</f>
        <v>0</v>
      </c>
      <c r="AL142" s="483">
        <f t="shared" si="235"/>
        <v>0</v>
      </c>
      <c r="AM142" s="483">
        <f t="shared" si="235"/>
        <v>0</v>
      </c>
      <c r="AN142" s="484">
        <f t="shared" si="235"/>
        <v>0</v>
      </c>
      <c r="AO142" s="482">
        <f>+SUM(AO143:AO146)</f>
        <v>0</v>
      </c>
      <c r="AP142" s="483">
        <f t="shared" ref="AP142:AS142" si="236">+SUM(AP143:AP146)</f>
        <v>0</v>
      </c>
      <c r="AQ142" s="483">
        <f t="shared" si="236"/>
        <v>0</v>
      </c>
      <c r="AR142" s="483">
        <f t="shared" si="236"/>
        <v>0</v>
      </c>
      <c r="AS142" s="484">
        <f t="shared" si="236"/>
        <v>0</v>
      </c>
    </row>
    <row r="143" spans="1:45" hidden="1" outlineLevel="1" x14ac:dyDescent="0.2">
      <c r="A143" s="478"/>
      <c r="B143" s="245"/>
      <c r="C143" s="270" t="s">
        <v>423</v>
      </c>
      <c r="D143" s="245" t="s">
        <v>527</v>
      </c>
      <c r="E143" s="500"/>
      <c r="F143" s="271"/>
      <c r="G143" s="271"/>
      <c r="H143" s="271"/>
      <c r="I143" s="271"/>
      <c r="J143" s="287">
        <v>2</v>
      </c>
      <c r="K143" s="486"/>
      <c r="L143" s="467"/>
      <c r="M143" s="467"/>
      <c r="N143" s="467"/>
      <c r="O143" s="487"/>
      <c r="P143" s="486"/>
      <c r="Q143" s="467"/>
      <c r="R143" s="467"/>
      <c r="S143" s="467"/>
      <c r="T143" s="487"/>
      <c r="U143" s="486"/>
      <c r="V143" s="467"/>
      <c r="W143" s="467"/>
      <c r="X143" s="467"/>
      <c r="Y143" s="487"/>
      <c r="Z143" s="486"/>
      <c r="AA143" s="467"/>
      <c r="AB143" s="467"/>
      <c r="AC143" s="467"/>
      <c r="AD143" s="487"/>
      <c r="AE143" s="486"/>
      <c r="AF143" s="467"/>
      <c r="AG143" s="467"/>
      <c r="AH143" s="467"/>
      <c r="AI143" s="487"/>
      <c r="AJ143" s="486"/>
      <c r="AK143" s="467"/>
      <c r="AL143" s="467"/>
      <c r="AM143" s="467"/>
      <c r="AN143" s="487"/>
      <c r="AO143" s="486"/>
      <c r="AP143" s="467"/>
      <c r="AQ143" s="467"/>
      <c r="AR143" s="467"/>
      <c r="AS143" s="487"/>
    </row>
    <row r="144" spans="1:45" hidden="1" outlineLevel="1" x14ac:dyDescent="0.2">
      <c r="A144" s="478"/>
      <c r="B144" s="245"/>
      <c r="C144" s="270" t="s">
        <v>425</v>
      </c>
      <c r="D144" s="245"/>
      <c r="E144" s="500"/>
      <c r="F144" s="493"/>
      <c r="G144" s="271"/>
      <c r="H144" s="271"/>
      <c r="I144" s="271"/>
      <c r="J144" s="287"/>
      <c r="K144" s="486"/>
      <c r="L144" s="467"/>
      <c r="M144" s="467"/>
      <c r="N144" s="467"/>
      <c r="O144" s="487"/>
      <c r="P144" s="486"/>
      <c r="Q144" s="467"/>
      <c r="R144" s="467"/>
      <c r="S144" s="467"/>
      <c r="T144" s="487"/>
      <c r="U144" s="486"/>
      <c r="V144" s="467"/>
      <c r="W144" s="467"/>
      <c r="X144" s="467"/>
      <c r="Y144" s="487"/>
      <c r="Z144" s="486"/>
      <c r="AA144" s="467"/>
      <c r="AB144" s="467"/>
      <c r="AC144" s="467"/>
      <c r="AD144" s="487"/>
      <c r="AE144" s="486"/>
      <c r="AF144" s="467"/>
      <c r="AG144" s="467"/>
      <c r="AH144" s="467"/>
      <c r="AI144" s="487"/>
      <c r="AJ144" s="486"/>
      <c r="AK144" s="467"/>
      <c r="AL144" s="467"/>
      <c r="AM144" s="467"/>
      <c r="AN144" s="487"/>
      <c r="AO144" s="486"/>
      <c r="AP144" s="467"/>
      <c r="AQ144" s="467"/>
      <c r="AR144" s="467"/>
      <c r="AS144" s="487"/>
    </row>
    <row r="145" spans="1:45" hidden="1" outlineLevel="1" x14ac:dyDescent="0.2">
      <c r="A145" s="478"/>
      <c r="B145" s="245"/>
      <c r="C145" s="270" t="s">
        <v>427</v>
      </c>
      <c r="D145" s="245"/>
      <c r="E145" s="500"/>
      <c r="F145" s="493"/>
      <c r="G145" s="271"/>
      <c r="H145" s="271"/>
      <c r="I145" s="271"/>
      <c r="J145" s="287"/>
      <c r="K145" s="486"/>
      <c r="L145" s="467"/>
      <c r="M145" s="467"/>
      <c r="N145" s="467"/>
      <c r="O145" s="487"/>
      <c r="P145" s="486"/>
      <c r="Q145" s="467"/>
      <c r="R145" s="467"/>
      <c r="S145" s="467"/>
      <c r="T145" s="487"/>
      <c r="U145" s="486"/>
      <c r="V145" s="467"/>
      <c r="W145" s="467"/>
      <c r="X145" s="467"/>
      <c r="Y145" s="487"/>
      <c r="Z145" s="486"/>
      <c r="AA145" s="467"/>
      <c r="AB145" s="467"/>
      <c r="AC145" s="467"/>
      <c r="AD145" s="487"/>
      <c r="AE145" s="486"/>
      <c r="AF145" s="467"/>
      <c r="AG145" s="467"/>
      <c r="AH145" s="467"/>
      <c r="AI145" s="487"/>
      <c r="AJ145" s="486"/>
      <c r="AK145" s="467"/>
      <c r="AL145" s="467"/>
      <c r="AM145" s="467"/>
      <c r="AN145" s="487"/>
      <c r="AO145" s="486"/>
      <c r="AP145" s="467"/>
      <c r="AQ145" s="467"/>
      <c r="AR145" s="467"/>
      <c r="AS145" s="487"/>
    </row>
    <row r="146" spans="1:45" ht="16" hidden="1" outlineLevel="1" thickBot="1" x14ac:dyDescent="0.25">
      <c r="A146" s="479"/>
      <c r="B146" s="468"/>
      <c r="C146" s="481" t="s">
        <v>429</v>
      </c>
      <c r="D146" s="468"/>
      <c r="E146" s="469"/>
      <c r="F146" s="494"/>
      <c r="G146" s="468"/>
      <c r="H146" s="468"/>
      <c r="I146" s="468"/>
      <c r="J146" s="469"/>
      <c r="K146" s="497"/>
      <c r="L146" s="485"/>
      <c r="M146" s="485"/>
      <c r="N146" s="485"/>
      <c r="O146" s="488"/>
      <c r="P146" s="497"/>
      <c r="Q146" s="485"/>
      <c r="R146" s="485"/>
      <c r="S146" s="485"/>
      <c r="T146" s="488"/>
      <c r="U146" s="497"/>
      <c r="V146" s="485"/>
      <c r="W146" s="485"/>
      <c r="X146" s="485"/>
      <c r="Y146" s="488"/>
      <c r="Z146" s="497"/>
      <c r="AA146" s="485"/>
      <c r="AB146" s="485"/>
      <c r="AC146" s="485"/>
      <c r="AD146" s="488"/>
      <c r="AE146" s="497"/>
      <c r="AF146" s="485"/>
      <c r="AG146" s="485"/>
      <c r="AH146" s="485"/>
      <c r="AI146" s="488"/>
      <c r="AJ146" s="497"/>
      <c r="AK146" s="485"/>
      <c r="AL146" s="485"/>
      <c r="AM146" s="485"/>
      <c r="AN146" s="488"/>
      <c r="AO146" s="497"/>
      <c r="AP146" s="485"/>
      <c r="AQ146" s="485"/>
      <c r="AR146" s="485"/>
      <c r="AS146" s="488"/>
    </row>
    <row r="147" spans="1:45" collapsed="1" x14ac:dyDescent="0.2">
      <c r="A147" s="475">
        <v>20</v>
      </c>
      <c r="B147" s="476" t="s">
        <v>43</v>
      </c>
      <c r="C147" s="476"/>
      <c r="D147" s="477" t="s">
        <v>528</v>
      </c>
      <c r="E147" s="499"/>
      <c r="F147" s="490">
        <f>+SUM(F148:F151)</f>
        <v>0</v>
      </c>
      <c r="G147" s="483">
        <f t="shared" ref="G147:J147" si="237">+SUM(G148:G151)</f>
        <v>0</v>
      </c>
      <c r="H147" s="483">
        <f t="shared" si="237"/>
        <v>0</v>
      </c>
      <c r="I147" s="483">
        <f t="shared" si="237"/>
        <v>0</v>
      </c>
      <c r="J147" s="484">
        <f t="shared" si="237"/>
        <v>0</v>
      </c>
      <c r="K147" s="482">
        <f>+SUM(K148:K151)</f>
        <v>0</v>
      </c>
      <c r="L147" s="483">
        <f t="shared" ref="L147:O147" si="238">+SUM(L148:L151)</f>
        <v>3</v>
      </c>
      <c r="M147" s="483">
        <f t="shared" si="238"/>
        <v>0</v>
      </c>
      <c r="N147" s="483">
        <f t="shared" si="238"/>
        <v>0</v>
      </c>
      <c r="O147" s="484">
        <f t="shared" si="238"/>
        <v>0</v>
      </c>
      <c r="P147" s="482">
        <f>+SUM(P148:P151)</f>
        <v>0</v>
      </c>
      <c r="Q147" s="483">
        <f t="shared" ref="Q147:T147" si="239">+SUM(Q148:Q151)</f>
        <v>0</v>
      </c>
      <c r="R147" s="483">
        <f t="shared" si="239"/>
        <v>0</v>
      </c>
      <c r="S147" s="483">
        <f t="shared" si="239"/>
        <v>0</v>
      </c>
      <c r="T147" s="484">
        <f t="shared" si="239"/>
        <v>0</v>
      </c>
      <c r="U147" s="482">
        <f>+SUM(U148:U151)</f>
        <v>0</v>
      </c>
      <c r="V147" s="483">
        <f t="shared" ref="V147:Y147" si="240">+SUM(V148:V151)</f>
        <v>0</v>
      </c>
      <c r="W147" s="483">
        <f t="shared" si="240"/>
        <v>0</v>
      </c>
      <c r="X147" s="483">
        <f t="shared" si="240"/>
        <v>0</v>
      </c>
      <c r="Y147" s="484">
        <f t="shared" si="240"/>
        <v>0</v>
      </c>
      <c r="Z147" s="482">
        <f>+SUM(Z148:Z151)</f>
        <v>0</v>
      </c>
      <c r="AA147" s="483">
        <f t="shared" ref="AA147:AD147" si="241">+SUM(AA148:AA151)</f>
        <v>0</v>
      </c>
      <c r="AB147" s="483">
        <f t="shared" si="241"/>
        <v>0</v>
      </c>
      <c r="AC147" s="483">
        <f t="shared" si="241"/>
        <v>0</v>
      </c>
      <c r="AD147" s="484">
        <f t="shared" si="241"/>
        <v>0</v>
      </c>
      <c r="AE147" s="482">
        <f>+SUM(AE148:AE151)</f>
        <v>0</v>
      </c>
      <c r="AF147" s="483">
        <f t="shared" ref="AF147:AI147" si="242">+SUM(AF148:AF151)</f>
        <v>0</v>
      </c>
      <c r="AG147" s="483">
        <f t="shared" si="242"/>
        <v>0</v>
      </c>
      <c r="AH147" s="483">
        <f t="shared" si="242"/>
        <v>0</v>
      </c>
      <c r="AI147" s="484">
        <f t="shared" si="242"/>
        <v>0</v>
      </c>
      <c r="AJ147" s="482">
        <f>+SUM(AJ148:AJ151)</f>
        <v>0</v>
      </c>
      <c r="AK147" s="483">
        <f t="shared" ref="AK147:AN147" si="243">+SUM(AK148:AK151)</f>
        <v>0</v>
      </c>
      <c r="AL147" s="483">
        <f t="shared" si="243"/>
        <v>0</v>
      </c>
      <c r="AM147" s="483">
        <f t="shared" si="243"/>
        <v>0</v>
      </c>
      <c r="AN147" s="484">
        <f t="shared" si="243"/>
        <v>0</v>
      </c>
      <c r="AO147" s="482">
        <f>+SUM(AO148:AO151)</f>
        <v>0</v>
      </c>
      <c r="AP147" s="483">
        <f t="shared" ref="AP147:AS147" si="244">+SUM(AP148:AP151)</f>
        <v>0</v>
      </c>
      <c r="AQ147" s="483">
        <f t="shared" si="244"/>
        <v>0</v>
      </c>
      <c r="AR147" s="483">
        <f t="shared" si="244"/>
        <v>0</v>
      </c>
      <c r="AS147" s="484">
        <f t="shared" si="244"/>
        <v>0</v>
      </c>
    </row>
    <row r="148" spans="1:45" hidden="1" outlineLevel="1" x14ac:dyDescent="0.2">
      <c r="A148" s="478"/>
      <c r="B148" s="245"/>
      <c r="C148" s="270" t="s">
        <v>423</v>
      </c>
      <c r="D148" s="245" t="s">
        <v>529</v>
      </c>
      <c r="E148" s="500"/>
      <c r="F148" s="271"/>
      <c r="G148" s="271"/>
      <c r="H148" s="271"/>
      <c r="I148" s="271"/>
      <c r="J148" s="287"/>
      <c r="K148" s="486"/>
      <c r="L148" s="467">
        <v>3</v>
      </c>
      <c r="M148" s="467"/>
      <c r="N148" s="467"/>
      <c r="O148" s="487"/>
      <c r="P148" s="486"/>
      <c r="Q148" s="467"/>
      <c r="R148" s="467"/>
      <c r="S148" s="467"/>
      <c r="T148" s="487"/>
      <c r="U148" s="486"/>
      <c r="V148" s="467"/>
      <c r="W148" s="467"/>
      <c r="X148" s="467"/>
      <c r="Y148" s="487"/>
    </row>
    <row r="149" spans="1:45" hidden="1" outlineLevel="1" x14ac:dyDescent="0.2">
      <c r="A149" s="478"/>
      <c r="B149" s="245"/>
      <c r="C149" s="270" t="s">
        <v>425</v>
      </c>
      <c r="D149" s="245"/>
      <c r="E149" s="500"/>
      <c r="F149" s="493"/>
      <c r="G149" s="271"/>
      <c r="H149" s="271"/>
      <c r="I149" s="271"/>
      <c r="J149" s="287"/>
      <c r="K149" s="486"/>
      <c r="L149" s="467"/>
      <c r="M149" s="467"/>
      <c r="N149" s="467"/>
      <c r="O149" s="487"/>
      <c r="P149" s="486"/>
      <c r="Q149" s="467"/>
      <c r="R149" s="467"/>
      <c r="S149" s="467"/>
      <c r="T149" s="487"/>
      <c r="U149" s="486"/>
      <c r="V149" s="467"/>
      <c r="W149" s="467"/>
      <c r="X149" s="467"/>
      <c r="Y149" s="487"/>
    </row>
    <row r="150" spans="1:45" hidden="1" outlineLevel="1" x14ac:dyDescent="0.2">
      <c r="A150" s="478"/>
      <c r="B150" s="245"/>
      <c r="C150" s="270" t="s">
        <v>427</v>
      </c>
      <c r="D150" s="245"/>
      <c r="E150" s="500"/>
      <c r="F150" s="493"/>
      <c r="G150" s="271"/>
      <c r="H150" s="271"/>
      <c r="I150" s="271"/>
      <c r="J150" s="287"/>
      <c r="K150" s="486"/>
      <c r="L150" s="467"/>
      <c r="M150" s="467"/>
      <c r="N150" s="467"/>
      <c r="O150" s="487"/>
      <c r="P150" s="486"/>
      <c r="Q150" s="467"/>
      <c r="R150" s="467"/>
      <c r="S150" s="467"/>
      <c r="T150" s="487"/>
      <c r="U150" s="486"/>
      <c r="V150" s="467"/>
      <c r="W150" s="467"/>
      <c r="X150" s="467"/>
      <c r="Y150" s="487"/>
    </row>
    <row r="151" spans="1:45" ht="16" hidden="1" outlineLevel="1" thickBot="1" x14ac:dyDescent="0.25">
      <c r="A151" s="479"/>
      <c r="B151" s="468"/>
      <c r="C151" s="481" t="s">
        <v>429</v>
      </c>
      <c r="D151" s="468"/>
      <c r="E151" s="469"/>
      <c r="F151" s="494"/>
      <c r="G151" s="468"/>
      <c r="H151" s="468"/>
      <c r="I151" s="468"/>
      <c r="J151" s="469"/>
      <c r="K151" s="497"/>
      <c r="L151" s="485"/>
      <c r="M151" s="485"/>
      <c r="N151" s="485"/>
      <c r="O151" s="488"/>
      <c r="P151" s="497"/>
      <c r="Q151" s="485"/>
      <c r="R151" s="485"/>
      <c r="S151" s="485"/>
      <c r="T151" s="488"/>
      <c r="U151" s="497"/>
      <c r="V151" s="485"/>
      <c r="W151" s="485"/>
      <c r="X151" s="485"/>
      <c r="Y151" s="488"/>
    </row>
    <row r="152" spans="1:45" collapsed="1" x14ac:dyDescent="0.2">
      <c r="A152"/>
    </row>
  </sheetData>
  <dataConsolidate/>
  <mergeCells count="8">
    <mergeCell ref="AE3:AI3"/>
    <mergeCell ref="AJ3:AN3"/>
    <mergeCell ref="AO3:AS3"/>
    <mergeCell ref="F3:J3"/>
    <mergeCell ref="K3:O3"/>
    <mergeCell ref="P3:T3"/>
    <mergeCell ref="U3:Y3"/>
    <mergeCell ref="Z3:AD3"/>
  </mergeCells>
  <phoneticPr fontId="15" type="noConversion"/>
  <conditionalFormatting sqref="F129:J136 F71:X71 F53:X58 Z71:AC71 Z53:AC58 AE71:AH71 AE53:AH58 AJ71:AM71 AJ53:AM58 AO71:AR71 AO53:AR58 F65:AS70 F72:AS73 F52:AS52">
    <cfRule type="colorScale" priority="29">
      <colorScale>
        <cfvo type="num" val="0"/>
        <cfvo type="num" val="10"/>
        <color theme="0"/>
        <color rgb="FF00B050"/>
      </colorScale>
    </cfRule>
  </conditionalFormatting>
  <conditionalFormatting sqref="F6:Y13">
    <cfRule type="colorScale" priority="24">
      <colorScale>
        <cfvo type="num" val="0"/>
        <cfvo type="num" val="10"/>
        <color theme="0"/>
        <color rgb="FF00B050"/>
      </colorScale>
    </cfRule>
  </conditionalFormatting>
  <conditionalFormatting sqref="F15:Y19 F21:Y26 F60:Y63 F75:Y78 F80:Y83 F85:Y88 F90:Y93 F95:Y98 F107:Y112 F119:Y123 F125:Y128 F34:Y40 F28:Y32 F42:Y50 F100:Y105 F114:Y117">
    <cfRule type="colorScale" priority="30">
      <colorScale>
        <cfvo type="num" val="0"/>
        <cfvo type="num" val="10"/>
        <color theme="0"/>
        <color rgb="FF00B050"/>
      </colorScale>
    </cfRule>
  </conditionalFormatting>
  <conditionalFormatting sqref="F138:Y141">
    <cfRule type="colorScale" priority="25">
      <colorScale>
        <cfvo type="num" val="0"/>
        <cfvo type="num" val="10"/>
        <color theme="0"/>
        <color rgb="FF00B050"/>
      </colorScale>
    </cfRule>
  </conditionalFormatting>
  <conditionalFormatting sqref="F143:Y146">
    <cfRule type="colorScale" priority="23">
      <colorScale>
        <cfvo type="num" val="0"/>
        <cfvo type="num" val="10"/>
        <color theme="0"/>
        <color rgb="FF00B050"/>
      </colorScale>
    </cfRule>
  </conditionalFormatting>
  <conditionalFormatting sqref="F148:Y151">
    <cfRule type="colorScale" priority="22">
      <colorScale>
        <cfvo type="num" val="0"/>
        <cfvo type="num" val="10"/>
        <color theme="0"/>
        <color rgb="FF00B050"/>
      </colorScale>
    </cfRule>
  </conditionalFormatting>
  <conditionalFormatting sqref="K129:O136">
    <cfRule type="colorScale" priority="28">
      <colorScale>
        <cfvo type="num" val="0"/>
        <cfvo type="num" val="10"/>
        <color theme="0"/>
        <color rgb="FF00B050"/>
      </colorScale>
    </cfRule>
  </conditionalFormatting>
  <conditionalFormatting sqref="P129:T136">
    <cfRule type="colorScale" priority="27">
      <colorScale>
        <cfvo type="num" val="0"/>
        <cfvo type="num" val="10"/>
        <color theme="0"/>
        <color rgb="FF00B050"/>
      </colorScale>
    </cfRule>
  </conditionalFormatting>
  <conditionalFormatting sqref="U129:Y136">
    <cfRule type="colorScale" priority="26">
      <colorScale>
        <cfvo type="num" val="0"/>
        <cfvo type="num" val="10"/>
        <color theme="0"/>
        <color rgb="FF00B050"/>
      </colorScale>
    </cfRule>
  </conditionalFormatting>
  <conditionalFormatting sqref="Z6:AD11 Z13:AD13 Z12 AB12:AD12">
    <cfRule type="colorScale" priority="18">
      <colorScale>
        <cfvo type="num" val="0"/>
        <cfvo type="num" val="10"/>
        <color theme="0"/>
        <color rgb="FF00B050"/>
      </colorScale>
    </cfRule>
  </conditionalFormatting>
  <conditionalFormatting sqref="Z15:AD19 Z21:AD26 Z60:AD63 Z75:AD78 Z80:AD83 Z85:AD88 Z90:AD93 Z95:AD98 Z107:AD112 Z119:AD123 Z125:AD128 Z34:AD40 Z28:AD32 Z42:AD50 Z100:AD105 Z114:AD117">
    <cfRule type="colorScale" priority="21">
      <colorScale>
        <cfvo type="num" val="0"/>
        <cfvo type="num" val="10"/>
        <color theme="0"/>
        <color rgb="FF00B050"/>
      </colorScale>
    </cfRule>
  </conditionalFormatting>
  <conditionalFormatting sqref="Z129:AD136">
    <cfRule type="colorScale" priority="20">
      <colorScale>
        <cfvo type="num" val="0"/>
        <cfvo type="num" val="10"/>
        <color theme="0"/>
        <color rgb="FF00B050"/>
      </colorScale>
    </cfRule>
  </conditionalFormatting>
  <conditionalFormatting sqref="Z138:AD141">
    <cfRule type="colorScale" priority="19">
      <colorScale>
        <cfvo type="num" val="0"/>
        <cfvo type="num" val="10"/>
        <color theme="0"/>
        <color rgb="FF00B050"/>
      </colorScale>
    </cfRule>
  </conditionalFormatting>
  <conditionalFormatting sqref="Z143:AD146">
    <cfRule type="colorScale" priority="17">
      <colorScale>
        <cfvo type="num" val="0"/>
        <cfvo type="num" val="10"/>
        <color theme="0"/>
        <color rgb="FF00B050"/>
      </colorScale>
    </cfRule>
  </conditionalFormatting>
  <conditionalFormatting sqref="AA12">
    <cfRule type="colorScale" priority="1">
      <colorScale>
        <cfvo type="num" val="0"/>
        <cfvo type="num" val="10"/>
        <color theme="0"/>
        <color rgb="FF00B050"/>
      </colorScale>
    </cfRule>
  </conditionalFormatting>
  <conditionalFormatting sqref="AE6:AI13">
    <cfRule type="colorScale" priority="13">
      <colorScale>
        <cfvo type="num" val="0"/>
        <cfvo type="num" val="10"/>
        <color theme="0"/>
        <color rgb="FF00B050"/>
      </colorScale>
    </cfRule>
  </conditionalFormatting>
  <conditionalFormatting sqref="AE15:AI19 AE21:AI26 AE60:AI63 AE75:AI78 AE80:AI83 AE85:AI88 AE90:AI93 AE95:AI98 AE107:AI112 AE119:AI123 AE125:AI128 AE34:AI40 AE28:AI32 AE42:AI50 AE100:AI105 AE114:AI117">
    <cfRule type="colorScale" priority="16">
      <colorScale>
        <cfvo type="num" val="0"/>
        <cfvo type="num" val="10"/>
        <color theme="0"/>
        <color rgb="FF00B050"/>
      </colorScale>
    </cfRule>
  </conditionalFormatting>
  <conditionalFormatting sqref="AE129:AI136">
    <cfRule type="colorScale" priority="15">
      <colorScale>
        <cfvo type="num" val="0"/>
        <cfvo type="num" val="10"/>
        <color theme="0"/>
        <color rgb="FF00B050"/>
      </colorScale>
    </cfRule>
  </conditionalFormatting>
  <conditionalFormatting sqref="AE138:AI141">
    <cfRule type="colorScale" priority="14">
      <colorScale>
        <cfvo type="num" val="0"/>
        <cfvo type="num" val="10"/>
        <color theme="0"/>
        <color rgb="FF00B050"/>
      </colorScale>
    </cfRule>
  </conditionalFormatting>
  <conditionalFormatting sqref="AE143:AI146">
    <cfRule type="colorScale" priority="12">
      <colorScale>
        <cfvo type="num" val="0"/>
        <cfvo type="num" val="10"/>
        <color theme="0"/>
        <color rgb="FF00B050"/>
      </colorScale>
    </cfRule>
  </conditionalFormatting>
  <conditionalFormatting sqref="AJ6:AN13">
    <cfRule type="colorScale" priority="8">
      <colorScale>
        <cfvo type="num" val="0"/>
        <cfvo type="num" val="10"/>
        <color theme="0"/>
        <color rgb="FF00B050"/>
      </colorScale>
    </cfRule>
  </conditionalFormatting>
  <conditionalFormatting sqref="AJ15:AN19 AJ21:AN26 AJ60:AN63 AJ75:AN78 AJ80:AN83 AJ85:AN88 AJ90:AN93 AJ95:AN98 AJ107:AN112 AJ119:AN123 AJ125:AN128 AJ34:AN40 AJ28:AN32 AJ42:AN50 AJ100:AN105 AJ114:AN117">
    <cfRule type="colorScale" priority="11">
      <colorScale>
        <cfvo type="num" val="0"/>
        <cfvo type="num" val="10"/>
        <color theme="0"/>
        <color rgb="FF00B050"/>
      </colorScale>
    </cfRule>
  </conditionalFormatting>
  <conditionalFormatting sqref="AJ129:AN136">
    <cfRule type="colorScale" priority="10">
      <colorScale>
        <cfvo type="num" val="0"/>
        <cfvo type="num" val="10"/>
        <color theme="0"/>
        <color rgb="FF00B050"/>
      </colorScale>
    </cfRule>
  </conditionalFormatting>
  <conditionalFormatting sqref="AJ138:AN141">
    <cfRule type="colorScale" priority="9">
      <colorScale>
        <cfvo type="num" val="0"/>
        <cfvo type="num" val="10"/>
        <color theme="0"/>
        <color rgb="FF00B050"/>
      </colorScale>
    </cfRule>
  </conditionalFormatting>
  <conditionalFormatting sqref="AJ143:AN146">
    <cfRule type="colorScale" priority="7">
      <colorScale>
        <cfvo type="num" val="0"/>
        <cfvo type="num" val="10"/>
        <color theme="0"/>
        <color rgb="FF00B050"/>
      </colorScale>
    </cfRule>
  </conditionalFormatting>
  <conditionalFormatting sqref="AO6:AS13">
    <cfRule type="colorScale" priority="3">
      <colorScale>
        <cfvo type="num" val="0"/>
        <cfvo type="num" val="10"/>
        <color theme="0"/>
        <color rgb="FF00B050"/>
      </colorScale>
    </cfRule>
  </conditionalFormatting>
  <conditionalFormatting sqref="AO15:AS19 AO21:AS26 AO60:AS63 AO75:AS78 AO80:AS83 AO85:AS88 AO90:AS93 AO95:AS98 AO107:AS112 AO119:AS123 AO125:AS128 AO34:AS40 AO28:AS32 AO42:AS50 AO100:AS105 AO114:AS117">
    <cfRule type="colorScale" priority="6">
      <colorScale>
        <cfvo type="num" val="0"/>
        <cfvo type="num" val="10"/>
        <color theme="0"/>
        <color rgb="FF00B050"/>
      </colorScale>
    </cfRule>
  </conditionalFormatting>
  <conditionalFormatting sqref="AO129:AS136">
    <cfRule type="colorScale" priority="5">
      <colorScale>
        <cfvo type="num" val="0"/>
        <cfvo type="num" val="10"/>
        <color theme="0"/>
        <color rgb="FF00B050"/>
      </colorScale>
    </cfRule>
  </conditionalFormatting>
  <conditionalFormatting sqref="AO138:AS141">
    <cfRule type="colorScale" priority="4">
      <colorScale>
        <cfvo type="num" val="0"/>
        <cfvo type="num" val="10"/>
        <color theme="0"/>
        <color rgb="FF00B050"/>
      </colorScale>
    </cfRule>
  </conditionalFormatting>
  <conditionalFormatting sqref="AO143:AS146">
    <cfRule type="colorScale" priority="2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7037-7FCE-477B-9536-7A6052583349}">
  <sheetPr filterMode="1"/>
  <dimension ref="A1:N46"/>
  <sheetViews>
    <sheetView zoomScale="82" zoomScaleNormal="90" workbookViewId="0">
      <selection activeCell="F53" sqref="F53"/>
    </sheetView>
  </sheetViews>
  <sheetFormatPr baseColWidth="10" defaultColWidth="11.5" defaultRowHeight="15" x14ac:dyDescent="0.2"/>
  <cols>
    <col min="1" max="1" width="9.6640625" customWidth="1"/>
    <col min="3" max="3" width="8.33203125" customWidth="1"/>
    <col min="5" max="5" width="25.83203125" style="268" customWidth="1"/>
    <col min="6" max="6" width="16.33203125" style="268" customWidth="1"/>
    <col min="7" max="7" width="37" style="533" customWidth="1"/>
    <col min="8" max="8" width="8.6640625" style="268" customWidth="1"/>
    <col min="9" max="9" width="69" bestFit="1" customWidth="1"/>
    <col min="10" max="10" width="14.6640625" style="268" customWidth="1"/>
  </cols>
  <sheetData>
    <row r="1" spans="1:14" ht="64" x14ac:dyDescent="0.2">
      <c r="A1" s="204" t="s">
        <v>81</v>
      </c>
      <c r="B1" s="266" t="s">
        <v>82</v>
      </c>
      <c r="C1" s="266" t="s">
        <v>83</v>
      </c>
      <c r="D1" s="266" t="s">
        <v>74</v>
      </c>
      <c r="E1" s="204" t="s">
        <v>85</v>
      </c>
      <c r="F1" s="204" t="s">
        <v>86</v>
      </c>
      <c r="G1" s="529" t="s">
        <v>87</v>
      </c>
      <c r="H1" s="204" t="s">
        <v>530</v>
      </c>
      <c r="I1" s="204" t="s">
        <v>531</v>
      </c>
      <c r="J1" s="276" t="s">
        <v>532</v>
      </c>
      <c r="K1" s="275" t="s">
        <v>89</v>
      </c>
      <c r="L1" s="277" t="s">
        <v>407</v>
      </c>
      <c r="M1" s="277" t="s">
        <v>408</v>
      </c>
      <c r="N1" s="277" t="s">
        <v>409</v>
      </c>
    </row>
    <row r="2" spans="1:14" hidden="1" x14ac:dyDescent="0.2">
      <c r="A2" s="426" t="s">
        <v>95</v>
      </c>
      <c r="B2" s="434" t="s">
        <v>142</v>
      </c>
      <c r="C2" s="437" t="s">
        <v>127</v>
      </c>
      <c r="D2" s="438" t="s">
        <v>43</v>
      </c>
      <c r="E2" s="438" t="s">
        <v>97</v>
      </c>
      <c r="F2" s="432" t="s">
        <v>305</v>
      </c>
      <c r="G2" s="531" t="s">
        <v>533</v>
      </c>
      <c r="H2" s="432">
        <v>1</v>
      </c>
      <c r="I2" s="439" t="s">
        <v>534</v>
      </c>
      <c r="J2" s="433">
        <v>45413</v>
      </c>
      <c r="K2" s="439"/>
    </row>
    <row r="3" spans="1:14" hidden="1" x14ac:dyDescent="0.2">
      <c r="A3" s="419" t="s">
        <v>95</v>
      </c>
      <c r="B3" s="435" t="s">
        <v>96</v>
      </c>
      <c r="C3" s="440" t="s">
        <v>127</v>
      </c>
      <c r="D3" s="419" t="s">
        <v>46</v>
      </c>
      <c r="E3" s="419" t="s">
        <v>175</v>
      </c>
      <c r="F3" s="419" t="s">
        <v>77</v>
      </c>
      <c r="G3" s="431" t="s">
        <v>304</v>
      </c>
      <c r="H3" s="419">
        <v>1</v>
      </c>
      <c r="I3" s="423"/>
      <c r="J3" s="425">
        <v>45413</v>
      </c>
      <c r="K3" s="284">
        <v>166000</v>
      </c>
    </row>
    <row r="4" spans="1:14" hidden="1" x14ac:dyDescent="0.2">
      <c r="A4" s="419" t="s">
        <v>116</v>
      </c>
      <c r="B4" s="435" t="s">
        <v>218</v>
      </c>
      <c r="C4" s="440" t="s">
        <v>218</v>
      </c>
      <c r="D4" s="419" t="s">
        <v>46</v>
      </c>
      <c r="E4" s="419" t="s">
        <v>268</v>
      </c>
      <c r="F4" s="419" t="s">
        <v>269</v>
      </c>
      <c r="G4" s="431" t="s">
        <v>535</v>
      </c>
      <c r="H4" s="419">
        <v>1</v>
      </c>
      <c r="I4" s="423" t="s">
        <v>536</v>
      </c>
      <c r="J4" s="427">
        <v>45474</v>
      </c>
      <c r="K4" s="428">
        <v>81000</v>
      </c>
    </row>
    <row r="5" spans="1:14" hidden="1" x14ac:dyDescent="0.2">
      <c r="A5" s="426" t="s">
        <v>95</v>
      </c>
      <c r="B5" s="434" t="s">
        <v>142</v>
      </c>
      <c r="C5" s="441"/>
      <c r="D5" s="424"/>
      <c r="E5" s="422" t="s">
        <v>143</v>
      </c>
      <c r="F5" s="419" t="s">
        <v>318</v>
      </c>
      <c r="G5" s="431" t="s">
        <v>537</v>
      </c>
      <c r="H5" s="419">
        <v>1</v>
      </c>
      <c r="I5" s="424" t="s">
        <v>538</v>
      </c>
      <c r="J5" s="425">
        <v>45474</v>
      </c>
      <c r="K5" s="424"/>
    </row>
    <row r="6" spans="1:14" hidden="1" x14ac:dyDescent="0.2">
      <c r="A6" s="426" t="s">
        <v>95</v>
      </c>
      <c r="B6" s="434" t="s">
        <v>142</v>
      </c>
      <c r="C6" s="441" t="s">
        <v>127</v>
      </c>
      <c r="D6" s="424" t="s">
        <v>43</v>
      </c>
      <c r="E6" s="422" t="s">
        <v>181</v>
      </c>
      <c r="F6" s="419" t="s">
        <v>358</v>
      </c>
      <c r="G6" s="431" t="s">
        <v>539</v>
      </c>
      <c r="H6" s="419">
        <v>1</v>
      </c>
      <c r="I6" s="424"/>
      <c r="J6" s="425">
        <v>45476</v>
      </c>
      <c r="K6" s="424">
        <v>45000</v>
      </c>
    </row>
    <row r="7" spans="1:14" hidden="1" x14ac:dyDescent="0.2">
      <c r="A7" s="421" t="s">
        <v>116</v>
      </c>
      <c r="B7" s="436" t="s">
        <v>131</v>
      </c>
      <c r="C7" s="440" t="s">
        <v>127</v>
      </c>
      <c r="D7" s="422" t="s">
        <v>46</v>
      </c>
      <c r="E7" s="420" t="s">
        <v>345</v>
      </c>
      <c r="F7" s="420" t="s">
        <v>346</v>
      </c>
      <c r="G7" s="431" t="s">
        <v>535</v>
      </c>
      <c r="H7" s="426">
        <v>1</v>
      </c>
      <c r="I7" s="443" t="s">
        <v>540</v>
      </c>
      <c r="J7" s="444">
        <v>45477</v>
      </c>
      <c r="K7" s="284">
        <v>82000</v>
      </c>
    </row>
    <row r="8" spans="1:14" hidden="1" x14ac:dyDescent="0.2">
      <c r="A8" s="422" t="s">
        <v>95</v>
      </c>
      <c r="B8" s="434" t="s">
        <v>127</v>
      </c>
      <c r="C8" s="442" t="s">
        <v>127</v>
      </c>
      <c r="D8" s="422" t="s">
        <v>43</v>
      </c>
      <c r="E8" s="422" t="s">
        <v>249</v>
      </c>
      <c r="F8" s="419" t="s">
        <v>315</v>
      </c>
      <c r="G8" s="431" t="s">
        <v>376</v>
      </c>
      <c r="H8" s="419">
        <v>1</v>
      </c>
      <c r="I8" s="423" t="s">
        <v>541</v>
      </c>
      <c r="J8" s="425">
        <v>45478</v>
      </c>
      <c r="K8" s="419"/>
    </row>
    <row r="9" spans="1:14" hidden="1" x14ac:dyDescent="0.2">
      <c r="A9" s="422" t="s">
        <v>95</v>
      </c>
      <c r="B9" s="422" t="s">
        <v>127</v>
      </c>
      <c r="C9" s="422" t="s">
        <v>127</v>
      </c>
      <c r="D9" s="422" t="s">
        <v>43</v>
      </c>
      <c r="E9" s="422" t="s">
        <v>249</v>
      </c>
      <c r="F9" s="422" t="s">
        <v>350</v>
      </c>
      <c r="G9" s="431" t="s">
        <v>341</v>
      </c>
      <c r="H9" s="422">
        <v>1</v>
      </c>
      <c r="I9" s="539" t="s">
        <v>542</v>
      </c>
      <c r="J9" s="427">
        <v>45483</v>
      </c>
      <c r="K9" s="270"/>
    </row>
    <row r="10" spans="1:14" hidden="1" x14ac:dyDescent="0.2">
      <c r="A10" s="422" t="s">
        <v>95</v>
      </c>
      <c r="B10" s="422"/>
      <c r="C10" s="422"/>
      <c r="D10" s="422" t="s">
        <v>43</v>
      </c>
      <c r="E10" s="422" t="s">
        <v>181</v>
      </c>
      <c r="F10" s="422" t="s">
        <v>266</v>
      </c>
      <c r="G10" s="431" t="s">
        <v>267</v>
      </c>
      <c r="H10" s="422">
        <v>1</v>
      </c>
      <c r="I10" s="539" t="s">
        <v>543</v>
      </c>
      <c r="J10" s="427">
        <v>45485</v>
      </c>
      <c r="K10" s="284">
        <v>200000</v>
      </c>
    </row>
    <row r="11" spans="1:14" hidden="1" x14ac:dyDescent="0.2">
      <c r="A11" s="449" t="s">
        <v>95</v>
      </c>
      <c r="B11" s="449" t="s">
        <v>142</v>
      </c>
      <c r="C11" s="449" t="s">
        <v>127</v>
      </c>
      <c r="D11" s="449" t="s">
        <v>43</v>
      </c>
      <c r="E11" s="449" t="s">
        <v>143</v>
      </c>
      <c r="F11" s="449" t="s">
        <v>77</v>
      </c>
      <c r="G11" s="450" t="s">
        <v>544</v>
      </c>
      <c r="H11" s="449">
        <v>1</v>
      </c>
      <c r="I11" s="540"/>
      <c r="J11" s="451">
        <v>45485</v>
      </c>
      <c r="K11" s="270" t="s">
        <v>77</v>
      </c>
    </row>
    <row r="12" spans="1:14" hidden="1" x14ac:dyDescent="0.2">
      <c r="A12" s="452" t="s">
        <v>95</v>
      </c>
      <c r="B12" s="453" t="s">
        <v>96</v>
      </c>
      <c r="C12" s="453" t="s">
        <v>127</v>
      </c>
      <c r="D12" s="453" t="s">
        <v>43</v>
      </c>
      <c r="E12" s="453" t="s">
        <v>343</v>
      </c>
      <c r="F12" s="453"/>
      <c r="G12" s="454" t="s">
        <v>545</v>
      </c>
      <c r="H12" s="453">
        <v>1</v>
      </c>
      <c r="I12" s="541" t="s">
        <v>546</v>
      </c>
      <c r="J12" s="455">
        <v>45488</v>
      </c>
      <c r="K12" s="448">
        <v>60000</v>
      </c>
    </row>
    <row r="13" spans="1:14" hidden="1" x14ac:dyDescent="0.2">
      <c r="A13" s="456" t="s">
        <v>95</v>
      </c>
      <c r="B13" s="457" t="s">
        <v>142</v>
      </c>
      <c r="C13" s="457" t="s">
        <v>127</v>
      </c>
      <c r="D13" s="457" t="s">
        <v>43</v>
      </c>
      <c r="E13" s="457" t="s">
        <v>97</v>
      </c>
      <c r="F13" s="457" t="s">
        <v>547</v>
      </c>
      <c r="G13" s="463" t="s">
        <v>548</v>
      </c>
      <c r="H13" s="457"/>
      <c r="I13" s="542"/>
      <c r="J13" s="458">
        <v>45490</v>
      </c>
      <c r="K13" s="446"/>
    </row>
    <row r="14" spans="1:14" hidden="1" x14ac:dyDescent="0.2">
      <c r="A14" s="456" t="s">
        <v>95</v>
      </c>
      <c r="B14" s="457" t="s">
        <v>249</v>
      </c>
      <c r="C14" s="457" t="s">
        <v>127</v>
      </c>
      <c r="D14" s="457" t="s">
        <v>43</v>
      </c>
      <c r="E14" s="457" t="s">
        <v>249</v>
      </c>
      <c r="F14" s="457" t="s">
        <v>292</v>
      </c>
      <c r="G14" s="463" t="s">
        <v>549</v>
      </c>
      <c r="H14" s="457">
        <v>1</v>
      </c>
      <c r="I14" s="542" t="s">
        <v>550</v>
      </c>
      <c r="J14" s="458">
        <v>45491</v>
      </c>
      <c r="K14" s="447" t="s">
        <v>77</v>
      </c>
    </row>
    <row r="15" spans="1:14" hidden="1" x14ac:dyDescent="0.2">
      <c r="A15" s="459" t="s">
        <v>95</v>
      </c>
      <c r="B15" s="457" t="s">
        <v>131</v>
      </c>
      <c r="C15" s="457" t="s">
        <v>127</v>
      </c>
      <c r="D15" s="457" t="s">
        <v>46</v>
      </c>
      <c r="E15" s="457" t="s">
        <v>175</v>
      </c>
      <c r="F15" s="457" t="s">
        <v>299</v>
      </c>
      <c r="G15" s="530" t="s">
        <v>300</v>
      </c>
      <c r="H15" s="457">
        <v>2</v>
      </c>
      <c r="I15" s="542" t="s">
        <v>551</v>
      </c>
      <c r="J15" s="458">
        <v>45491</v>
      </c>
      <c r="K15" s="448">
        <v>150000</v>
      </c>
    </row>
    <row r="16" spans="1:14" hidden="1" x14ac:dyDescent="0.2">
      <c r="A16" s="536" t="s">
        <v>95</v>
      </c>
      <c r="B16" s="537" t="s">
        <v>127</v>
      </c>
      <c r="C16" s="537" t="s">
        <v>127</v>
      </c>
      <c r="D16" s="537" t="s">
        <v>43</v>
      </c>
      <c r="E16" s="537" t="s">
        <v>552</v>
      </c>
      <c r="F16" s="537" t="s">
        <v>77</v>
      </c>
      <c r="G16" s="538" t="s">
        <v>553</v>
      </c>
      <c r="H16" s="537">
        <v>1</v>
      </c>
      <c r="I16" s="548" t="s">
        <v>554</v>
      </c>
      <c r="J16" s="550">
        <v>45496</v>
      </c>
      <c r="K16" s="552" t="s">
        <v>77</v>
      </c>
    </row>
    <row r="17" spans="1:14" hidden="1" x14ac:dyDescent="0.2">
      <c r="A17" s="457" t="s">
        <v>95</v>
      </c>
      <c r="B17" s="457" t="s">
        <v>112</v>
      </c>
      <c r="C17" s="457" t="s">
        <v>127</v>
      </c>
      <c r="D17" s="457" t="s">
        <v>70</v>
      </c>
      <c r="E17" s="457" t="s">
        <v>166</v>
      </c>
      <c r="F17" s="547"/>
      <c r="G17" s="463" t="s">
        <v>167</v>
      </c>
      <c r="H17" s="547"/>
      <c r="I17" s="549"/>
      <c r="J17" s="551">
        <v>45497</v>
      </c>
      <c r="K17" s="245"/>
    </row>
    <row r="18" spans="1:14" hidden="1" x14ac:dyDescent="0.2">
      <c r="A18" s="457" t="s">
        <v>95</v>
      </c>
      <c r="B18" s="457" t="s">
        <v>127</v>
      </c>
      <c r="C18" s="457" t="s">
        <v>127</v>
      </c>
      <c r="D18" s="457" t="s">
        <v>43</v>
      </c>
      <c r="E18" s="457" t="s">
        <v>249</v>
      </c>
      <c r="F18" s="457" t="s">
        <v>555</v>
      </c>
      <c r="G18" s="463" t="s">
        <v>556</v>
      </c>
      <c r="H18" s="457">
        <v>1</v>
      </c>
      <c r="I18" s="542"/>
      <c r="J18" s="464">
        <v>45497</v>
      </c>
      <c r="K18" s="270" t="s">
        <v>77</v>
      </c>
    </row>
    <row r="19" spans="1:14" hidden="1" x14ac:dyDescent="0.2">
      <c r="A19" s="420" t="s">
        <v>95</v>
      </c>
      <c r="B19" s="420" t="s">
        <v>96</v>
      </c>
      <c r="C19" s="420" t="s">
        <v>96</v>
      </c>
      <c r="D19" s="420" t="s">
        <v>43</v>
      </c>
      <c r="E19" s="420" t="s">
        <v>249</v>
      </c>
      <c r="F19" s="420" t="s">
        <v>302</v>
      </c>
      <c r="G19" s="466" t="s">
        <v>334</v>
      </c>
      <c r="H19" s="420">
        <v>2</v>
      </c>
      <c r="I19" s="539"/>
      <c r="J19" s="427">
        <v>45505</v>
      </c>
      <c r="K19" s="284">
        <v>120000</v>
      </c>
      <c r="L19" s="271">
        <v>2</v>
      </c>
      <c r="M19" s="271">
        <v>0</v>
      </c>
      <c r="N19" s="271">
        <v>0</v>
      </c>
    </row>
    <row r="20" spans="1:14" hidden="1" x14ac:dyDescent="0.2">
      <c r="A20" s="420" t="s">
        <v>95</v>
      </c>
      <c r="B20" s="422" t="s">
        <v>142</v>
      </c>
      <c r="C20" s="422" t="s">
        <v>127</v>
      </c>
      <c r="D20" s="420" t="s">
        <v>43</v>
      </c>
      <c r="E20" s="422" t="s">
        <v>143</v>
      </c>
      <c r="F20" s="422" t="s">
        <v>318</v>
      </c>
      <c r="G20" s="431" t="s">
        <v>557</v>
      </c>
      <c r="H20" s="419"/>
      <c r="I20" s="424"/>
      <c r="J20" s="425">
        <v>45509</v>
      </c>
      <c r="K20" s="267">
        <v>180000</v>
      </c>
    </row>
    <row r="21" spans="1:14" hidden="1" x14ac:dyDescent="0.2">
      <c r="A21" s="420" t="s">
        <v>95</v>
      </c>
      <c r="B21" s="422" t="s">
        <v>102</v>
      </c>
      <c r="C21" s="422"/>
      <c r="D21" s="422" t="s">
        <v>48</v>
      </c>
      <c r="E21" s="419"/>
      <c r="F21" s="419"/>
      <c r="G21" s="431" t="s">
        <v>558</v>
      </c>
      <c r="H21" s="419">
        <v>3</v>
      </c>
      <c r="I21" s="424"/>
      <c r="J21" s="535">
        <v>45523</v>
      </c>
      <c r="K21" s="460"/>
    </row>
    <row r="22" spans="1:14" s="244" customFormat="1" hidden="1" x14ac:dyDescent="0.2">
      <c r="A22" s="420" t="s">
        <v>95</v>
      </c>
      <c r="B22" s="422" t="s">
        <v>112</v>
      </c>
      <c r="C22" s="422" t="s">
        <v>142</v>
      </c>
      <c r="D22" s="422" t="s">
        <v>70</v>
      </c>
      <c r="E22" s="419" t="s">
        <v>559</v>
      </c>
      <c r="F22" s="419" t="s">
        <v>437</v>
      </c>
      <c r="G22" s="431" t="s">
        <v>560</v>
      </c>
      <c r="H22" s="419">
        <v>1</v>
      </c>
      <c r="I22" s="424" t="s">
        <v>561</v>
      </c>
      <c r="J22" s="535">
        <v>45524</v>
      </c>
      <c r="K22" s="460"/>
      <c r="L22" s="467">
        <v>2</v>
      </c>
      <c r="M22" s="467">
        <v>0</v>
      </c>
      <c r="N22" s="467">
        <v>0</v>
      </c>
    </row>
    <row r="23" spans="1:14" s="244" customFormat="1" hidden="1" x14ac:dyDescent="0.2">
      <c r="A23" s="420" t="s">
        <v>95</v>
      </c>
      <c r="B23" s="422" t="s">
        <v>117</v>
      </c>
      <c r="C23" s="422" t="s">
        <v>127</v>
      </c>
      <c r="D23" s="422" t="s">
        <v>45</v>
      </c>
      <c r="E23" s="419" t="s">
        <v>562</v>
      </c>
      <c r="F23" s="419" t="s">
        <v>563</v>
      </c>
      <c r="G23" s="431" t="s">
        <v>564</v>
      </c>
      <c r="H23" s="419">
        <v>1</v>
      </c>
      <c r="I23" s="424" t="s">
        <v>565</v>
      </c>
      <c r="J23" s="535">
        <v>45524</v>
      </c>
      <c r="K23" s="460"/>
      <c r="L23" s="467">
        <v>2</v>
      </c>
      <c r="M23" s="467">
        <v>0</v>
      </c>
      <c r="N23" s="467">
        <v>0</v>
      </c>
    </row>
    <row r="24" spans="1:14" s="244" customFormat="1" hidden="1" x14ac:dyDescent="0.2">
      <c r="A24" s="420" t="s">
        <v>95</v>
      </c>
      <c r="B24" s="422" t="s">
        <v>131</v>
      </c>
      <c r="C24" s="422" t="s">
        <v>142</v>
      </c>
      <c r="D24" s="422" t="s">
        <v>46</v>
      </c>
      <c r="E24" s="419" t="s">
        <v>232</v>
      </c>
      <c r="F24" s="419" t="s">
        <v>566</v>
      </c>
      <c r="G24" s="431" t="s">
        <v>567</v>
      </c>
      <c r="H24" s="419"/>
      <c r="I24" s="424"/>
      <c r="J24" s="425">
        <v>45527</v>
      </c>
      <c r="K24" s="245"/>
      <c r="L24" s="467">
        <v>2</v>
      </c>
      <c r="M24" s="467">
        <v>0</v>
      </c>
      <c r="N24" s="467"/>
    </row>
    <row r="25" spans="1:14" s="244" customFormat="1" hidden="1" x14ac:dyDescent="0.2">
      <c r="A25" s="420" t="s">
        <v>95</v>
      </c>
      <c r="B25" s="420" t="s">
        <v>131</v>
      </c>
      <c r="C25" s="420" t="s">
        <v>127</v>
      </c>
      <c r="D25" s="420" t="s">
        <v>46</v>
      </c>
      <c r="E25" s="420" t="s">
        <v>246</v>
      </c>
      <c r="F25" s="420" t="s">
        <v>247</v>
      </c>
      <c r="G25" s="466" t="s">
        <v>248</v>
      </c>
      <c r="H25" s="420">
        <v>1</v>
      </c>
      <c r="I25" s="539"/>
      <c r="J25" s="544">
        <v>45529</v>
      </c>
      <c r="K25" s="284">
        <v>198283</v>
      </c>
      <c r="L25" s="467">
        <v>3</v>
      </c>
      <c r="M25" s="467">
        <v>0</v>
      </c>
      <c r="N25" s="467">
        <v>0</v>
      </c>
    </row>
    <row r="26" spans="1:14" s="244" customFormat="1" hidden="1" x14ac:dyDescent="0.2">
      <c r="A26" s="553" t="s">
        <v>95</v>
      </c>
      <c r="B26" s="457" t="s">
        <v>142</v>
      </c>
      <c r="C26" s="457" t="s">
        <v>127</v>
      </c>
      <c r="D26" s="457" t="s">
        <v>43</v>
      </c>
      <c r="E26" s="547" t="s">
        <v>97</v>
      </c>
      <c r="F26" s="547" t="s">
        <v>568</v>
      </c>
      <c r="G26" s="463" t="s">
        <v>569</v>
      </c>
      <c r="H26" s="547">
        <v>1</v>
      </c>
      <c r="I26" s="549" t="s">
        <v>570</v>
      </c>
      <c r="J26" s="535">
        <v>45534</v>
      </c>
      <c r="K26" s="460"/>
      <c r="L26" s="467">
        <v>9</v>
      </c>
      <c r="M26" s="467">
        <v>0</v>
      </c>
      <c r="N26" s="467">
        <v>0</v>
      </c>
    </row>
    <row r="27" spans="1:14" s="244" customFormat="1" x14ac:dyDescent="0.2">
      <c r="A27" s="554" t="s">
        <v>95</v>
      </c>
      <c r="B27" s="555" t="s">
        <v>127</v>
      </c>
      <c r="C27" s="556" t="s">
        <v>127</v>
      </c>
      <c r="D27" s="556" t="s">
        <v>43</v>
      </c>
      <c r="E27" s="555"/>
      <c r="F27" s="555" t="s">
        <v>266</v>
      </c>
      <c r="G27" s="557" t="s">
        <v>571</v>
      </c>
      <c r="H27" s="555"/>
      <c r="I27" s="558"/>
      <c r="J27" s="559">
        <v>45538</v>
      </c>
      <c r="K27" s="245"/>
      <c r="L27" s="245"/>
      <c r="M27" s="245"/>
      <c r="N27" s="245"/>
    </row>
    <row r="28" spans="1:14" s="244" customFormat="1" hidden="1" x14ac:dyDescent="0.2">
      <c r="A28" s="420" t="s">
        <v>95</v>
      </c>
      <c r="B28" s="422" t="s">
        <v>112</v>
      </c>
      <c r="C28" s="422" t="s">
        <v>142</v>
      </c>
      <c r="D28" s="422" t="s">
        <v>70</v>
      </c>
      <c r="E28" s="419" t="s">
        <v>572</v>
      </c>
      <c r="F28" s="419" t="s">
        <v>573</v>
      </c>
      <c r="G28" s="431" t="s">
        <v>574</v>
      </c>
      <c r="H28" s="419">
        <v>1</v>
      </c>
      <c r="I28" s="424" t="s">
        <v>575</v>
      </c>
      <c r="J28" s="425">
        <v>45532</v>
      </c>
      <c r="K28" s="460"/>
      <c r="L28" s="467">
        <v>5</v>
      </c>
      <c r="M28" s="467">
        <v>5</v>
      </c>
      <c r="N28" s="467">
        <v>0</v>
      </c>
    </row>
    <row r="29" spans="1:14" s="244" customFormat="1" x14ac:dyDescent="0.2">
      <c r="A29" s="245"/>
      <c r="B29" s="245"/>
      <c r="C29" s="245"/>
      <c r="D29" s="467" t="s">
        <v>46</v>
      </c>
      <c r="E29" s="270"/>
      <c r="F29" s="270" t="s">
        <v>222</v>
      </c>
      <c r="G29" s="410" t="s">
        <v>576</v>
      </c>
      <c r="H29" s="270"/>
      <c r="I29" s="245" t="s">
        <v>577</v>
      </c>
      <c r="J29" s="546">
        <v>45539</v>
      </c>
      <c r="K29" s="245"/>
      <c r="L29" s="245"/>
      <c r="M29" s="245"/>
      <c r="N29" s="245"/>
    </row>
    <row r="30" spans="1:14" s="244" customFormat="1" x14ac:dyDescent="0.2">
      <c r="A30" s="245"/>
      <c r="B30" s="245"/>
      <c r="C30" s="245"/>
      <c r="D30" s="467" t="s">
        <v>46</v>
      </c>
      <c r="E30" s="270"/>
      <c r="F30" s="270" t="s">
        <v>578</v>
      </c>
      <c r="G30" s="410" t="s">
        <v>579</v>
      </c>
      <c r="H30" s="270"/>
      <c r="I30" s="415" t="s">
        <v>580</v>
      </c>
      <c r="J30" s="546">
        <v>45539</v>
      </c>
      <c r="K30" s="245"/>
      <c r="L30" s="245"/>
      <c r="M30" s="245"/>
      <c r="N30" s="245"/>
    </row>
    <row r="31" spans="1:14" s="244" customFormat="1" hidden="1" x14ac:dyDescent="0.2">
      <c r="A31" s="420" t="s">
        <v>95</v>
      </c>
      <c r="B31" s="422" t="s">
        <v>131</v>
      </c>
      <c r="C31" s="422" t="s">
        <v>142</v>
      </c>
      <c r="D31" s="422" t="s">
        <v>46</v>
      </c>
      <c r="E31" s="419" t="s">
        <v>581</v>
      </c>
      <c r="F31" s="419"/>
      <c r="G31" s="431" t="s">
        <v>582</v>
      </c>
      <c r="H31" s="419"/>
      <c r="I31" s="424"/>
      <c r="J31" s="425">
        <v>45532</v>
      </c>
      <c r="K31" s="245"/>
      <c r="L31" s="467">
        <v>0</v>
      </c>
      <c r="M31" s="467">
        <v>12</v>
      </c>
      <c r="N31" s="467">
        <v>0</v>
      </c>
    </row>
    <row r="32" spans="1:14" s="244" customFormat="1" x14ac:dyDescent="0.2">
      <c r="A32" s="200" t="s">
        <v>95</v>
      </c>
      <c r="B32" s="267" t="s">
        <v>127</v>
      </c>
      <c r="C32" s="467" t="s">
        <v>127</v>
      </c>
      <c r="D32" s="467" t="s">
        <v>43</v>
      </c>
      <c r="E32" s="270"/>
      <c r="F32" s="270"/>
      <c r="G32" s="410" t="s">
        <v>583</v>
      </c>
      <c r="H32" s="270"/>
      <c r="I32" s="245" t="s">
        <v>584</v>
      </c>
      <c r="J32" s="546">
        <v>45540</v>
      </c>
      <c r="K32" s="245"/>
      <c r="L32" s="467">
        <v>5</v>
      </c>
      <c r="M32" s="467">
        <v>5</v>
      </c>
      <c r="N32" s="467">
        <v>0</v>
      </c>
    </row>
    <row r="33" spans="1:14" s="244" customFormat="1" x14ac:dyDescent="0.2">
      <c r="A33" s="200" t="s">
        <v>95</v>
      </c>
      <c r="B33" s="267" t="s">
        <v>142</v>
      </c>
      <c r="C33" s="467" t="s">
        <v>127</v>
      </c>
      <c r="D33" s="467" t="s">
        <v>43</v>
      </c>
      <c r="E33" s="467" t="s">
        <v>168</v>
      </c>
      <c r="F33" s="467"/>
      <c r="G33" s="532" t="s">
        <v>111</v>
      </c>
      <c r="H33" s="267">
        <v>2</v>
      </c>
      <c r="I33" s="460" t="s">
        <v>585</v>
      </c>
      <c r="J33" s="535">
        <v>45541</v>
      </c>
      <c r="K33" s="460"/>
      <c r="L33" s="467">
        <v>0</v>
      </c>
      <c r="M33" s="467">
        <v>5</v>
      </c>
      <c r="N33" s="467">
        <v>0</v>
      </c>
    </row>
    <row r="34" spans="1:14" s="244" customFormat="1" x14ac:dyDescent="0.2">
      <c r="A34" s="200" t="s">
        <v>95</v>
      </c>
      <c r="B34" s="467" t="s">
        <v>131</v>
      </c>
      <c r="C34" s="467"/>
      <c r="D34" s="467" t="s">
        <v>46</v>
      </c>
      <c r="E34" s="267" t="s">
        <v>133</v>
      </c>
      <c r="F34" s="267" t="s">
        <v>133</v>
      </c>
      <c r="G34" s="532" t="s">
        <v>586</v>
      </c>
      <c r="H34" s="267">
        <v>1</v>
      </c>
      <c r="I34" s="460" t="s">
        <v>587</v>
      </c>
      <c r="J34" s="535">
        <v>45544</v>
      </c>
      <c r="K34" s="460"/>
      <c r="L34" s="467">
        <v>0</v>
      </c>
      <c r="M34" s="467">
        <v>0</v>
      </c>
      <c r="N34" s="467">
        <v>12</v>
      </c>
    </row>
    <row r="35" spans="1:14" s="244" customFormat="1" ht="15.5" hidden="1" customHeight="1" x14ac:dyDescent="0.2">
      <c r="A35" s="420" t="s">
        <v>95</v>
      </c>
      <c r="B35" s="422" t="s">
        <v>142</v>
      </c>
      <c r="C35" s="422" t="s">
        <v>127</v>
      </c>
      <c r="D35" s="422" t="s">
        <v>43</v>
      </c>
      <c r="E35" s="419" t="s">
        <v>97</v>
      </c>
      <c r="F35" s="419" t="s">
        <v>568</v>
      </c>
      <c r="G35" s="431" t="s">
        <v>588</v>
      </c>
      <c r="H35" s="419">
        <v>1</v>
      </c>
      <c r="I35" s="424" t="s">
        <v>589</v>
      </c>
      <c r="J35" s="425">
        <v>45529</v>
      </c>
      <c r="K35" s="460"/>
      <c r="L35" s="467">
        <v>1</v>
      </c>
      <c r="M35" s="467">
        <v>12</v>
      </c>
      <c r="N35" s="467">
        <v>30</v>
      </c>
    </row>
    <row r="36" spans="1:14" s="244" customFormat="1" x14ac:dyDescent="0.2">
      <c r="A36" s="200" t="s">
        <v>95</v>
      </c>
      <c r="B36" s="467" t="s">
        <v>117</v>
      </c>
      <c r="C36" s="467" t="s">
        <v>127</v>
      </c>
      <c r="D36" s="467" t="s">
        <v>45</v>
      </c>
      <c r="E36" s="267" t="s">
        <v>195</v>
      </c>
      <c r="F36" s="267" t="s">
        <v>330</v>
      </c>
      <c r="G36" s="532" t="s">
        <v>590</v>
      </c>
      <c r="H36" s="267">
        <v>1</v>
      </c>
      <c r="I36" s="460" t="s">
        <v>591</v>
      </c>
      <c r="J36" s="535" t="s">
        <v>592</v>
      </c>
      <c r="K36" s="460"/>
      <c r="L36" s="467">
        <v>12</v>
      </c>
      <c r="M36" s="467">
        <v>30</v>
      </c>
      <c r="N36" s="467">
        <v>0</v>
      </c>
    </row>
    <row r="37" spans="1:14" s="244" customFormat="1" x14ac:dyDescent="0.2">
      <c r="A37" s="412" t="s">
        <v>95</v>
      </c>
      <c r="B37" s="408" t="s">
        <v>117</v>
      </c>
      <c r="C37" s="408" t="s">
        <v>127</v>
      </c>
      <c r="D37" s="408" t="s">
        <v>45</v>
      </c>
      <c r="E37" s="421" t="s">
        <v>195</v>
      </c>
      <c r="F37" s="421" t="s">
        <v>593</v>
      </c>
      <c r="G37" s="545" t="s">
        <v>594</v>
      </c>
      <c r="H37" s="421">
        <v>1</v>
      </c>
      <c r="I37" s="460" t="s">
        <v>591</v>
      </c>
      <c r="J37" s="535" t="s">
        <v>592</v>
      </c>
      <c r="K37" s="460"/>
      <c r="L37" s="467">
        <v>2</v>
      </c>
      <c r="M37" s="467">
        <v>0</v>
      </c>
      <c r="N37" s="467">
        <v>0</v>
      </c>
    </row>
    <row r="38" spans="1:14" x14ac:dyDescent="0.2">
      <c r="A38" s="200" t="s">
        <v>95</v>
      </c>
      <c r="B38" s="467" t="s">
        <v>131</v>
      </c>
      <c r="C38" s="467" t="s">
        <v>127</v>
      </c>
      <c r="D38" s="467" t="s">
        <v>46</v>
      </c>
      <c r="E38" s="467" t="s">
        <v>272</v>
      </c>
      <c r="F38" s="467" t="s">
        <v>272</v>
      </c>
      <c r="G38" s="532" t="s">
        <v>595</v>
      </c>
      <c r="H38" s="267">
        <v>2</v>
      </c>
      <c r="I38" s="534" t="s">
        <v>596</v>
      </c>
      <c r="J38" s="535" t="s">
        <v>592</v>
      </c>
      <c r="K38" s="284"/>
      <c r="L38" s="467">
        <v>0</v>
      </c>
      <c r="M38" s="467">
        <v>5</v>
      </c>
      <c r="N38" s="467">
        <v>0</v>
      </c>
    </row>
    <row r="39" spans="1:14" x14ac:dyDescent="0.2">
      <c r="A39" s="200" t="s">
        <v>95</v>
      </c>
      <c r="B39" s="467" t="s">
        <v>131</v>
      </c>
      <c r="C39" s="467" t="s">
        <v>127</v>
      </c>
      <c r="D39" s="467" t="s">
        <v>46</v>
      </c>
      <c r="E39" s="267" t="s">
        <v>175</v>
      </c>
      <c r="F39" s="267" t="s">
        <v>176</v>
      </c>
      <c r="G39" s="532" t="s">
        <v>597</v>
      </c>
      <c r="H39" s="267">
        <v>2</v>
      </c>
      <c r="I39" s="534" t="s">
        <v>596</v>
      </c>
      <c r="J39" s="535" t="s">
        <v>592</v>
      </c>
      <c r="K39" s="460"/>
      <c r="L39" s="467">
        <v>0</v>
      </c>
      <c r="M39" s="467">
        <v>0</v>
      </c>
      <c r="N39" s="467">
        <v>5</v>
      </c>
    </row>
    <row r="40" spans="1:14" x14ac:dyDescent="0.2">
      <c r="A40" s="467" t="s">
        <v>95</v>
      </c>
      <c r="B40" s="467" t="s">
        <v>117</v>
      </c>
      <c r="C40" s="467" t="s">
        <v>127</v>
      </c>
      <c r="D40" s="467" t="s">
        <v>45</v>
      </c>
      <c r="E40" s="267" t="s">
        <v>562</v>
      </c>
      <c r="F40" s="267" t="s">
        <v>563</v>
      </c>
      <c r="G40" s="532" t="s">
        <v>598</v>
      </c>
      <c r="H40" s="267">
        <v>1</v>
      </c>
      <c r="I40" s="460" t="s">
        <v>599</v>
      </c>
      <c r="J40" s="535" t="s">
        <v>592</v>
      </c>
      <c r="K40" s="460"/>
      <c r="L40" s="467"/>
      <c r="M40" s="467"/>
      <c r="N40" s="467"/>
    </row>
    <row r="41" spans="1:14" x14ac:dyDescent="0.2">
      <c r="A41" s="200" t="s">
        <v>95</v>
      </c>
      <c r="B41" s="467" t="s">
        <v>131</v>
      </c>
      <c r="C41" s="467" t="s">
        <v>142</v>
      </c>
      <c r="D41" s="467" t="s">
        <v>46</v>
      </c>
      <c r="E41" s="267" t="s">
        <v>211</v>
      </c>
      <c r="F41" s="267" t="s">
        <v>211</v>
      </c>
      <c r="G41" s="532" t="s">
        <v>600</v>
      </c>
      <c r="H41" s="267">
        <v>1</v>
      </c>
      <c r="I41" s="460" t="s">
        <v>601</v>
      </c>
      <c r="J41" s="267" t="s">
        <v>592</v>
      </c>
      <c r="K41" s="460"/>
      <c r="L41" s="245"/>
      <c r="M41" s="245"/>
      <c r="N41" s="245"/>
    </row>
    <row r="42" spans="1:14" x14ac:dyDescent="0.2">
      <c r="A42" s="200" t="s">
        <v>95</v>
      </c>
      <c r="B42" s="267" t="s">
        <v>142</v>
      </c>
      <c r="C42" s="467" t="s">
        <v>127</v>
      </c>
      <c r="D42" s="467" t="s">
        <v>43</v>
      </c>
      <c r="E42" s="467" t="s">
        <v>602</v>
      </c>
      <c r="F42" s="467" t="s">
        <v>230</v>
      </c>
      <c r="G42" s="532" t="s">
        <v>603</v>
      </c>
      <c r="H42" s="467">
        <v>3</v>
      </c>
      <c r="I42" s="543" t="s">
        <v>604</v>
      </c>
      <c r="J42" s="535" t="s">
        <v>592</v>
      </c>
      <c r="K42" s="460"/>
      <c r="L42" s="245"/>
      <c r="M42" s="245"/>
      <c r="N42" s="245"/>
    </row>
    <row r="43" spans="1:14" x14ac:dyDescent="0.2">
      <c r="A43" s="200" t="s">
        <v>95</v>
      </c>
      <c r="B43" s="467" t="s">
        <v>142</v>
      </c>
      <c r="C43" s="467" t="s">
        <v>127</v>
      </c>
      <c r="D43" s="467" t="s">
        <v>70</v>
      </c>
      <c r="E43" s="467"/>
      <c r="F43" s="467"/>
      <c r="G43" s="532" t="s">
        <v>605</v>
      </c>
      <c r="H43" s="267">
        <v>3</v>
      </c>
      <c r="I43" s="460" t="s">
        <v>606</v>
      </c>
      <c r="J43" s="535" t="s">
        <v>592</v>
      </c>
      <c r="K43" s="460"/>
      <c r="L43" s="245"/>
      <c r="M43" s="245"/>
      <c r="N43" s="245"/>
    </row>
    <row r="44" spans="1:14" x14ac:dyDescent="0.2">
      <c r="A44" s="200" t="s">
        <v>95</v>
      </c>
      <c r="B44" s="267" t="s">
        <v>112</v>
      </c>
      <c r="C44" s="245"/>
      <c r="D44" s="467" t="s">
        <v>43</v>
      </c>
      <c r="E44" s="270" t="s">
        <v>249</v>
      </c>
      <c r="F44" s="270"/>
      <c r="G44" s="410" t="s">
        <v>607</v>
      </c>
      <c r="H44" s="270">
        <v>1</v>
      </c>
      <c r="I44" s="415" t="s">
        <v>608</v>
      </c>
      <c r="J44" s="546">
        <v>45540</v>
      </c>
      <c r="K44" s="245"/>
      <c r="L44" s="245"/>
      <c r="M44" s="245"/>
      <c r="N44" s="245"/>
    </row>
    <row r="45" spans="1:14" x14ac:dyDescent="0.2">
      <c r="A45" s="200" t="s">
        <v>95</v>
      </c>
      <c r="B45" s="267" t="s">
        <v>218</v>
      </c>
      <c r="C45" s="245" t="s">
        <v>127</v>
      </c>
      <c r="D45" s="467" t="s">
        <v>43</v>
      </c>
      <c r="E45" s="270" t="s">
        <v>609</v>
      </c>
      <c r="F45" s="270" t="s">
        <v>610</v>
      </c>
      <c r="G45" s="410" t="s">
        <v>611</v>
      </c>
      <c r="H45" s="270"/>
      <c r="I45" s="415" t="s">
        <v>612</v>
      </c>
      <c r="J45" s="270"/>
      <c r="K45" s="245"/>
      <c r="L45" s="245"/>
      <c r="M45" s="245"/>
      <c r="N45" s="245"/>
    </row>
    <row r="46" spans="1:14" x14ac:dyDescent="0.2">
      <c r="A46" s="200" t="s">
        <v>95</v>
      </c>
      <c r="B46" s="245" t="s">
        <v>102</v>
      </c>
      <c r="C46" s="245"/>
      <c r="D46" s="467" t="s">
        <v>48</v>
      </c>
      <c r="E46" s="270" t="s">
        <v>613</v>
      </c>
      <c r="F46" s="270" t="s">
        <v>613</v>
      </c>
      <c r="G46" s="270" t="s">
        <v>613</v>
      </c>
      <c r="H46" s="270"/>
      <c r="I46" s="415" t="s">
        <v>614</v>
      </c>
      <c r="J46" s="270"/>
      <c r="K46" s="245"/>
      <c r="L46" s="245"/>
      <c r="M46" s="245"/>
      <c r="N46" s="245"/>
    </row>
  </sheetData>
  <autoFilter ref="A1:K46" xr:uid="{06FA7037-7FCE-477B-9536-7A6052583349}">
    <filterColumn colId="9">
      <filters blank="1">
        <filter val="TBD"/>
        <dateGroupItem year="2024" month="9" dateTimeGrouping="month"/>
      </filters>
    </filterColumn>
    <sortState xmlns:xlrd2="http://schemas.microsoft.com/office/spreadsheetml/2017/richdata2" ref="A2:K40">
      <sortCondition ref="J1:J40"/>
    </sortState>
  </autoFilter>
  <sortState xmlns:xlrd2="http://schemas.microsoft.com/office/spreadsheetml/2017/richdata2" ref="A27:N46">
    <sortCondition ref="J1:J46"/>
  </sortState>
  <pageMargins left="0.7" right="0.7" top="0.75" bottom="0.75" header="0.3" footer="0.3"/>
  <pageSetup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3AD740-9FA7-4DB7-AF84-051A7532B13F}">
          <x14:formula1>
            <xm:f>Codigos!$J$2:$J$6</xm:f>
          </x14:formula1>
          <xm:sqref>D15:D16 D18 D35 D2:D9 D37:D38</xm:sqref>
        </x14:dataValidation>
        <x14:dataValidation type="list" allowBlank="1" showInputMessage="1" showErrorMessage="1" xr:uid="{33FBD4F5-318F-4B20-BC99-51D7C191B7A1}">
          <x14:formula1>
            <xm:f>Codigos!$D$2:$D$12</xm:f>
          </x14:formula1>
          <xm:sqref>B2:C9 C35 C37:C38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9927-87F3-4FE8-9A9D-44BBB424E274}">
  <dimension ref="A1:Y86"/>
  <sheetViews>
    <sheetView topLeftCell="A2" zoomScale="115" zoomScaleNormal="70" workbookViewId="0">
      <selection activeCell="D5" sqref="D5"/>
    </sheetView>
  </sheetViews>
  <sheetFormatPr baseColWidth="10" defaultColWidth="11.5" defaultRowHeight="15" outlineLevelRow="2" x14ac:dyDescent="0.2"/>
  <cols>
    <col min="1" max="1" width="8.5" style="269" customWidth="1"/>
    <col min="3" max="3" width="14.5" customWidth="1"/>
    <col min="4" max="4" width="60.6640625" customWidth="1"/>
    <col min="5" max="5" width="36.5" hidden="1" customWidth="1"/>
    <col min="6" max="6" width="12.6640625" customWidth="1"/>
    <col min="7" max="10" width="11.5" customWidth="1"/>
    <col min="26" max="70" width="11.5" customWidth="1"/>
  </cols>
  <sheetData>
    <row r="1" spans="1:25" x14ac:dyDescent="0.2">
      <c r="J1" s="517">
        <f>+SUM(F2:J2)</f>
        <v>55</v>
      </c>
      <c r="O1" s="517">
        <f>+SUM(K2:O2)</f>
        <v>30.5</v>
      </c>
      <c r="T1" s="517">
        <f>+SUM(P2:T2)</f>
        <v>4</v>
      </c>
      <c r="Y1" s="517">
        <f>+SUM(U2:Y2)</f>
        <v>5</v>
      </c>
    </row>
    <row r="2" spans="1:25" ht="16" thickBot="1" x14ac:dyDescent="0.25">
      <c r="F2" s="269">
        <f>+F14+F27+F34+F40+F49+F58+F63+F69+F5+F45+F20</f>
        <v>8</v>
      </c>
      <c r="G2" s="269">
        <f t="shared" ref="G2:Y2" si="0">+G14+G27+G34+G40+G49+G58+G63+G69+G5+G45+G20</f>
        <v>18</v>
      </c>
      <c r="H2" s="269">
        <f t="shared" si="0"/>
        <v>11</v>
      </c>
      <c r="I2" s="269">
        <f t="shared" si="0"/>
        <v>15</v>
      </c>
      <c r="J2" s="269">
        <f t="shared" si="0"/>
        <v>3</v>
      </c>
      <c r="K2" s="269">
        <f t="shared" si="0"/>
        <v>4.5</v>
      </c>
      <c r="L2" s="269">
        <f t="shared" si="0"/>
        <v>11</v>
      </c>
      <c r="M2" s="269">
        <f t="shared" si="0"/>
        <v>5</v>
      </c>
      <c r="N2" s="269">
        <f t="shared" si="0"/>
        <v>8</v>
      </c>
      <c r="O2" s="269">
        <f t="shared" si="0"/>
        <v>2</v>
      </c>
      <c r="P2" s="269">
        <f t="shared" si="0"/>
        <v>2</v>
      </c>
      <c r="Q2" s="269">
        <f t="shared" si="0"/>
        <v>0</v>
      </c>
      <c r="R2" s="269">
        <f t="shared" si="0"/>
        <v>2</v>
      </c>
      <c r="S2" s="269">
        <f t="shared" si="0"/>
        <v>0</v>
      </c>
      <c r="T2" s="269">
        <f t="shared" si="0"/>
        <v>0</v>
      </c>
      <c r="U2" s="269">
        <f t="shared" si="0"/>
        <v>2</v>
      </c>
      <c r="V2" s="269">
        <f t="shared" si="0"/>
        <v>0</v>
      </c>
      <c r="W2" s="269">
        <f t="shared" si="0"/>
        <v>3</v>
      </c>
      <c r="X2" s="269">
        <f t="shared" si="0"/>
        <v>0</v>
      </c>
      <c r="Y2" s="269">
        <f t="shared" si="0"/>
        <v>0</v>
      </c>
    </row>
    <row r="3" spans="1:25" ht="16" thickBot="1" x14ac:dyDescent="0.25">
      <c r="F3" s="630" t="s">
        <v>409</v>
      </c>
      <c r="G3" s="631"/>
      <c r="H3" s="631"/>
      <c r="I3" s="631"/>
      <c r="J3" s="632"/>
      <c r="K3" s="630" t="s">
        <v>410</v>
      </c>
      <c r="L3" s="631"/>
      <c r="M3" s="631"/>
      <c r="N3" s="631"/>
      <c r="O3" s="632"/>
      <c r="P3" s="630" t="s">
        <v>411</v>
      </c>
      <c r="Q3" s="631"/>
      <c r="R3" s="631"/>
      <c r="S3" s="631"/>
      <c r="T3" s="632"/>
      <c r="U3" s="630" t="s">
        <v>412</v>
      </c>
      <c r="V3" s="631"/>
      <c r="W3" s="631"/>
      <c r="X3" s="631"/>
      <c r="Y3" s="632"/>
    </row>
    <row r="4" spans="1:25" ht="16" thickBot="1" x14ac:dyDescent="0.25">
      <c r="A4" s="470" t="s">
        <v>80</v>
      </c>
      <c r="B4" s="471" t="s">
        <v>52</v>
      </c>
      <c r="C4" s="471" t="s">
        <v>413</v>
      </c>
      <c r="D4" s="472" t="s">
        <v>414</v>
      </c>
      <c r="E4" s="473" t="s">
        <v>415</v>
      </c>
      <c r="F4" s="489" t="s">
        <v>416</v>
      </c>
      <c r="G4" s="471" t="s">
        <v>417</v>
      </c>
      <c r="H4" s="471" t="s">
        <v>418</v>
      </c>
      <c r="I4" s="471" t="s">
        <v>419</v>
      </c>
      <c r="J4" s="473" t="s">
        <v>420</v>
      </c>
      <c r="K4" s="470" t="s">
        <v>416</v>
      </c>
      <c r="L4" s="471" t="s">
        <v>417</v>
      </c>
      <c r="M4" s="471" t="s">
        <v>418</v>
      </c>
      <c r="N4" s="471" t="s">
        <v>419</v>
      </c>
      <c r="O4" s="473" t="s">
        <v>420</v>
      </c>
      <c r="P4" s="470" t="s">
        <v>416</v>
      </c>
      <c r="Q4" s="471" t="s">
        <v>417</v>
      </c>
      <c r="R4" s="471" t="s">
        <v>418</v>
      </c>
      <c r="S4" s="471" t="s">
        <v>419</v>
      </c>
      <c r="T4" s="473" t="s">
        <v>420</v>
      </c>
      <c r="U4" s="470" t="s">
        <v>416</v>
      </c>
      <c r="V4" s="471" t="s">
        <v>417</v>
      </c>
      <c r="W4" s="471" t="s">
        <v>418</v>
      </c>
      <c r="X4" s="471" t="s">
        <v>419</v>
      </c>
      <c r="Y4" s="473" t="s">
        <v>420</v>
      </c>
    </row>
    <row r="5" spans="1:25" ht="16" thickBot="1" x14ac:dyDescent="0.25">
      <c r="A5" s="501">
        <v>0</v>
      </c>
      <c r="B5" s="502" t="s">
        <v>43</v>
      </c>
      <c r="C5" s="502" t="s">
        <v>421</v>
      </c>
      <c r="D5" s="503" t="s">
        <v>422</v>
      </c>
      <c r="E5" s="504"/>
      <c r="F5" s="490">
        <f>+SUM(F6:F13)</f>
        <v>2</v>
      </c>
      <c r="G5" s="482">
        <f t="shared" ref="G5" si="1">+SUM(G6:G13)</f>
        <v>0</v>
      </c>
      <c r="H5" s="482">
        <f t="shared" ref="H5:J5" si="2">+SUM(H6:H13)</f>
        <v>2</v>
      </c>
      <c r="I5" s="482">
        <f t="shared" si="2"/>
        <v>2</v>
      </c>
      <c r="J5" s="495">
        <f t="shared" si="2"/>
        <v>0</v>
      </c>
      <c r="K5" s="482">
        <f>+SUM(K6:K13)</f>
        <v>2</v>
      </c>
      <c r="L5" s="482">
        <f t="shared" ref="L5:O5" si="3">+SUM(L6:L13)</f>
        <v>4</v>
      </c>
      <c r="M5" s="482">
        <f t="shared" si="3"/>
        <v>2</v>
      </c>
      <c r="N5" s="482">
        <f t="shared" si="3"/>
        <v>0</v>
      </c>
      <c r="O5" s="495">
        <f t="shared" si="3"/>
        <v>0</v>
      </c>
      <c r="P5" s="482">
        <f>+SUM(P6:P13)</f>
        <v>2</v>
      </c>
      <c r="Q5" s="482">
        <f t="shared" ref="Q5:T5" si="4">+SUM(Q6:Q13)</f>
        <v>0</v>
      </c>
      <c r="R5" s="482">
        <f t="shared" si="4"/>
        <v>2</v>
      </c>
      <c r="S5" s="482">
        <f t="shared" si="4"/>
        <v>0</v>
      </c>
      <c r="T5" s="495">
        <f t="shared" si="4"/>
        <v>0</v>
      </c>
      <c r="U5" s="482">
        <f>+SUM(U6:U13)</f>
        <v>2</v>
      </c>
      <c r="V5" s="482">
        <f t="shared" ref="V5:Y5" si="5">+SUM(V6:V13)</f>
        <v>0</v>
      </c>
      <c r="W5" s="482">
        <f t="shared" si="5"/>
        <v>2</v>
      </c>
      <c r="X5" s="482">
        <f t="shared" si="5"/>
        <v>0</v>
      </c>
      <c r="Y5" s="495">
        <f t="shared" si="5"/>
        <v>0</v>
      </c>
    </row>
    <row r="6" spans="1:25" hidden="1" outlineLevel="1" x14ac:dyDescent="0.2">
      <c r="A6" s="478"/>
      <c r="B6" s="270"/>
      <c r="C6" s="270" t="s">
        <v>423</v>
      </c>
      <c r="D6" s="245" t="s">
        <v>424</v>
      </c>
      <c r="E6" s="500"/>
      <c r="F6" s="491">
        <v>1</v>
      </c>
      <c r="G6" s="467"/>
      <c r="H6" s="467"/>
      <c r="I6" s="467"/>
      <c r="J6" s="487"/>
      <c r="K6" s="491">
        <v>1</v>
      </c>
      <c r="L6" s="467"/>
      <c r="M6" s="467"/>
      <c r="N6" s="467"/>
      <c r="O6" s="487"/>
      <c r="P6" s="491">
        <v>1</v>
      </c>
      <c r="Q6" s="467"/>
      <c r="R6" s="467"/>
      <c r="S6" s="467"/>
      <c r="T6" s="487"/>
      <c r="U6" s="491">
        <v>1</v>
      </c>
      <c r="V6" s="467"/>
      <c r="W6" s="467"/>
      <c r="X6" s="467"/>
      <c r="Y6" s="487"/>
    </row>
    <row r="7" spans="1:25" hidden="1" outlineLevel="1" x14ac:dyDescent="0.2">
      <c r="A7" s="478"/>
      <c r="B7" s="270"/>
      <c r="C7" s="270" t="s">
        <v>425</v>
      </c>
      <c r="D7" s="245" t="s">
        <v>426</v>
      </c>
      <c r="E7" s="500"/>
      <c r="F7" s="491">
        <v>1</v>
      </c>
      <c r="G7" s="460"/>
      <c r="H7" s="467"/>
      <c r="I7" s="467"/>
      <c r="J7" s="487"/>
      <c r="K7" s="491">
        <v>1</v>
      </c>
      <c r="L7" s="460"/>
      <c r="M7" s="467"/>
      <c r="N7" s="467"/>
      <c r="O7" s="487"/>
      <c r="P7" s="491">
        <v>1</v>
      </c>
      <c r="Q7" s="460"/>
      <c r="R7" s="467"/>
      <c r="S7" s="467"/>
      <c r="T7" s="487"/>
      <c r="U7" s="491">
        <v>1</v>
      </c>
      <c r="V7" s="460"/>
      <c r="W7" s="467"/>
      <c r="X7" s="467"/>
      <c r="Y7" s="487"/>
    </row>
    <row r="8" spans="1:25" hidden="1" outlineLevel="1" x14ac:dyDescent="0.2">
      <c r="A8" s="478"/>
      <c r="B8" s="270"/>
      <c r="C8" s="270" t="s">
        <v>427</v>
      </c>
      <c r="D8" s="245" t="s">
        <v>428</v>
      </c>
      <c r="E8" s="500"/>
      <c r="F8" s="491"/>
      <c r="G8" s="467"/>
      <c r="H8" s="267">
        <v>1</v>
      </c>
      <c r="I8" s="467"/>
      <c r="J8" s="487"/>
      <c r="K8" s="491"/>
      <c r="L8" s="467"/>
      <c r="M8" s="267">
        <v>1</v>
      </c>
      <c r="N8" s="467"/>
      <c r="O8" s="487"/>
      <c r="P8" s="491"/>
      <c r="Q8" s="467"/>
      <c r="R8" s="267">
        <v>1</v>
      </c>
      <c r="S8" s="467"/>
      <c r="T8" s="487"/>
      <c r="U8" s="491"/>
      <c r="V8" s="467"/>
      <c r="W8" s="267">
        <v>1</v>
      </c>
      <c r="X8" s="467"/>
      <c r="Y8" s="487"/>
    </row>
    <row r="9" spans="1:25" hidden="1" outlineLevel="1" x14ac:dyDescent="0.2">
      <c r="A9" s="478"/>
      <c r="B9" s="245"/>
      <c r="C9" s="270" t="s">
        <v>429</v>
      </c>
      <c r="D9" s="245" t="s">
        <v>430</v>
      </c>
      <c r="E9" s="500"/>
      <c r="F9" s="491"/>
      <c r="G9" s="467"/>
      <c r="H9" s="267">
        <v>1</v>
      </c>
      <c r="I9" s="467"/>
      <c r="J9" s="487"/>
      <c r="K9" s="491"/>
      <c r="L9" s="467"/>
      <c r="M9" s="267">
        <v>1</v>
      </c>
      <c r="N9" s="467"/>
      <c r="O9" s="487"/>
      <c r="P9" s="491"/>
      <c r="Q9" s="467"/>
      <c r="R9" s="267">
        <v>1</v>
      </c>
      <c r="S9" s="467"/>
      <c r="T9" s="487"/>
      <c r="U9" s="491"/>
      <c r="V9" s="467"/>
      <c r="W9" s="267">
        <v>1</v>
      </c>
      <c r="X9" s="467"/>
      <c r="Y9" s="487"/>
    </row>
    <row r="10" spans="1:25" hidden="1" outlineLevel="1" x14ac:dyDescent="0.2">
      <c r="A10" s="505"/>
      <c r="B10" s="506"/>
      <c r="C10" s="270" t="s">
        <v>431</v>
      </c>
      <c r="D10" s="525"/>
      <c r="E10" s="508"/>
      <c r="F10" s="509"/>
      <c r="G10" s="510"/>
      <c r="H10" s="523"/>
      <c r="I10" s="510"/>
      <c r="J10" s="511"/>
      <c r="K10" s="512"/>
      <c r="L10" s="510"/>
      <c r="M10" s="524"/>
      <c r="N10" s="510"/>
      <c r="O10" s="511"/>
      <c r="P10" s="512"/>
      <c r="Q10" s="510"/>
      <c r="R10" s="524"/>
      <c r="S10" s="510"/>
      <c r="T10" s="511"/>
      <c r="U10" s="512"/>
      <c r="V10" s="510"/>
      <c r="W10" s="524"/>
      <c r="X10" s="510"/>
      <c r="Y10" s="511"/>
    </row>
    <row r="11" spans="1:25" hidden="1" outlineLevel="1" x14ac:dyDescent="0.2">
      <c r="A11" s="505"/>
      <c r="B11" s="506"/>
      <c r="C11" s="270" t="s">
        <v>432</v>
      </c>
      <c r="D11" s="525"/>
      <c r="E11" s="508"/>
      <c r="F11" s="509"/>
      <c r="G11" s="510"/>
      <c r="H11" s="523"/>
      <c r="I11" s="510"/>
      <c r="J11" s="511"/>
      <c r="K11" s="512"/>
      <c r="L11" s="510"/>
      <c r="M11" s="524"/>
      <c r="N11" s="510"/>
      <c r="O11" s="511"/>
      <c r="P11" s="512"/>
      <c r="Q11" s="510"/>
      <c r="R11" s="524"/>
      <c r="S11" s="510"/>
      <c r="T11" s="511"/>
      <c r="U11" s="512"/>
      <c r="V11" s="510"/>
      <c r="W11" s="524"/>
      <c r="X11" s="510"/>
      <c r="Y11" s="511"/>
    </row>
    <row r="12" spans="1:25" hidden="1" outlineLevel="1" x14ac:dyDescent="0.2">
      <c r="A12" s="505"/>
      <c r="B12" s="506"/>
      <c r="C12" s="270" t="s">
        <v>433</v>
      </c>
      <c r="D12" s="506" t="s">
        <v>434</v>
      </c>
      <c r="E12" s="508"/>
      <c r="F12" s="509"/>
      <c r="G12" s="510"/>
      <c r="H12" s="523"/>
      <c r="I12" s="510">
        <v>2</v>
      </c>
      <c r="J12" s="511"/>
      <c r="K12" s="512"/>
      <c r="L12" s="510">
        <v>4</v>
      </c>
      <c r="M12" s="524"/>
      <c r="N12" s="510"/>
      <c r="O12" s="511"/>
      <c r="P12" s="512"/>
      <c r="Q12" s="510"/>
      <c r="R12" s="524"/>
      <c r="S12" s="510"/>
      <c r="T12" s="511"/>
      <c r="U12" s="512"/>
      <c r="V12" s="510"/>
      <c r="W12" s="524"/>
      <c r="X12" s="510"/>
      <c r="Y12" s="511"/>
    </row>
    <row r="13" spans="1:25" ht="16" hidden="1" outlineLevel="1" thickBot="1" x14ac:dyDescent="0.25">
      <c r="A13" s="505"/>
      <c r="B13" s="506"/>
      <c r="C13" s="270" t="s">
        <v>435</v>
      </c>
      <c r="D13" s="506" t="s">
        <v>436</v>
      </c>
      <c r="E13" s="508"/>
      <c r="F13" s="509"/>
      <c r="G13" s="510"/>
      <c r="H13" s="510"/>
      <c r="I13" s="510"/>
      <c r="J13" s="511"/>
      <c r="K13" s="512"/>
      <c r="L13" s="510"/>
      <c r="M13" s="510"/>
      <c r="N13" s="510"/>
      <c r="O13" s="511"/>
      <c r="P13" s="512"/>
      <c r="Q13" s="510"/>
      <c r="R13" s="510"/>
      <c r="S13" s="510"/>
      <c r="T13" s="511"/>
      <c r="U13" s="512"/>
      <c r="V13" s="510"/>
      <c r="W13" s="510"/>
      <c r="X13" s="510"/>
      <c r="Y13" s="511"/>
    </row>
    <row r="14" spans="1:25" ht="16" collapsed="1" thickBot="1" x14ac:dyDescent="0.25">
      <c r="A14" s="501">
        <v>1</v>
      </c>
      <c r="B14" s="476" t="s">
        <v>46</v>
      </c>
      <c r="C14" s="502" t="s">
        <v>132</v>
      </c>
      <c r="D14" s="503" t="s">
        <v>586</v>
      </c>
      <c r="E14" s="504"/>
      <c r="F14" s="490">
        <f>+SUM(F15:F19)</f>
        <v>1</v>
      </c>
      <c r="G14" s="490">
        <f t="shared" ref="G14:Y14" si="6">+SUM(G15:G19)</f>
        <v>2</v>
      </c>
      <c r="H14" s="490">
        <f t="shared" si="6"/>
        <v>1</v>
      </c>
      <c r="I14" s="490">
        <f t="shared" si="6"/>
        <v>2</v>
      </c>
      <c r="J14" s="490">
        <f t="shared" si="6"/>
        <v>0</v>
      </c>
      <c r="K14" s="490">
        <f t="shared" si="6"/>
        <v>0</v>
      </c>
      <c r="L14" s="490">
        <f t="shared" si="6"/>
        <v>0</v>
      </c>
      <c r="M14" s="490">
        <f t="shared" si="6"/>
        <v>0</v>
      </c>
      <c r="N14" s="490">
        <f t="shared" si="6"/>
        <v>0</v>
      </c>
      <c r="O14" s="490">
        <f t="shared" si="6"/>
        <v>0</v>
      </c>
      <c r="P14" s="490">
        <f t="shared" si="6"/>
        <v>0</v>
      </c>
      <c r="Q14" s="490">
        <f t="shared" si="6"/>
        <v>0</v>
      </c>
      <c r="R14" s="490">
        <f t="shared" si="6"/>
        <v>0</v>
      </c>
      <c r="S14" s="490">
        <f t="shared" si="6"/>
        <v>0</v>
      </c>
      <c r="T14" s="490">
        <f t="shared" si="6"/>
        <v>0</v>
      </c>
      <c r="U14" s="490">
        <f t="shared" si="6"/>
        <v>0</v>
      </c>
      <c r="V14" s="490">
        <f t="shared" si="6"/>
        <v>0</v>
      </c>
      <c r="W14" s="490">
        <f t="shared" si="6"/>
        <v>0</v>
      </c>
      <c r="X14" s="490">
        <f t="shared" si="6"/>
        <v>0</v>
      </c>
      <c r="Y14" s="490">
        <f t="shared" si="6"/>
        <v>0</v>
      </c>
    </row>
    <row r="15" spans="1:25" hidden="1" outlineLevel="1" x14ac:dyDescent="0.2">
      <c r="A15" s="478"/>
      <c r="B15" s="270"/>
      <c r="C15" s="270" t="s">
        <v>423</v>
      </c>
      <c r="D15" s="245" t="s">
        <v>615</v>
      </c>
      <c r="E15" s="500"/>
      <c r="F15" s="491">
        <v>1</v>
      </c>
      <c r="G15" s="467">
        <v>2</v>
      </c>
      <c r="H15" s="467"/>
      <c r="I15" s="467"/>
      <c r="J15" s="487"/>
      <c r="K15" s="486"/>
      <c r="L15" s="467"/>
      <c r="M15" s="467"/>
      <c r="N15" s="467"/>
      <c r="O15" s="487"/>
      <c r="P15" s="486"/>
      <c r="Q15" s="467"/>
      <c r="R15" s="467"/>
      <c r="S15" s="467"/>
      <c r="T15" s="487"/>
      <c r="U15" s="486"/>
      <c r="V15" s="467"/>
      <c r="W15" s="467"/>
      <c r="X15" s="467"/>
      <c r="Y15" s="487"/>
    </row>
    <row r="16" spans="1:25" hidden="1" outlineLevel="1" x14ac:dyDescent="0.2">
      <c r="A16" s="478"/>
      <c r="B16" s="270"/>
      <c r="C16" s="270" t="s">
        <v>425</v>
      </c>
      <c r="D16" s="245" t="s">
        <v>616</v>
      </c>
      <c r="E16" s="500"/>
      <c r="F16" s="491"/>
      <c r="G16" s="460"/>
      <c r="H16" s="467">
        <v>1</v>
      </c>
      <c r="I16" s="467"/>
      <c r="J16" s="487"/>
      <c r="K16" s="486"/>
      <c r="L16" s="460"/>
      <c r="M16" s="467"/>
      <c r="N16" s="467"/>
      <c r="O16" s="487"/>
      <c r="P16" s="486"/>
      <c r="Q16" s="460"/>
      <c r="R16" s="467"/>
      <c r="S16" s="467"/>
      <c r="T16" s="487"/>
      <c r="U16" s="486"/>
      <c r="V16" s="460"/>
      <c r="W16" s="467"/>
      <c r="X16" s="467"/>
      <c r="Y16" s="487"/>
    </row>
    <row r="17" spans="1:25" hidden="1" outlineLevel="1" x14ac:dyDescent="0.2">
      <c r="A17" s="478"/>
      <c r="B17" s="270"/>
      <c r="C17" s="270" t="s">
        <v>427</v>
      </c>
      <c r="D17" s="245" t="s">
        <v>617</v>
      </c>
      <c r="E17" s="500"/>
      <c r="F17" s="491"/>
      <c r="G17" s="467"/>
      <c r="H17" s="467"/>
      <c r="I17" s="467">
        <v>2</v>
      </c>
      <c r="J17" s="487"/>
      <c r="K17" s="486"/>
      <c r="L17" s="467"/>
      <c r="M17" s="467"/>
      <c r="N17" s="467"/>
      <c r="O17" s="487"/>
      <c r="P17" s="486"/>
      <c r="Q17" s="467"/>
      <c r="R17" s="467"/>
      <c r="S17" s="467"/>
      <c r="T17" s="487"/>
      <c r="U17" s="486"/>
      <c r="V17" s="467"/>
      <c r="W17" s="467"/>
      <c r="X17" s="467"/>
      <c r="Y17" s="487"/>
    </row>
    <row r="18" spans="1:25" hidden="1" outlineLevel="1" x14ac:dyDescent="0.2">
      <c r="A18" s="478"/>
      <c r="B18" s="245"/>
      <c r="C18" s="270" t="s">
        <v>429</v>
      </c>
      <c r="D18" s="245"/>
      <c r="E18" s="500"/>
      <c r="F18" s="491"/>
      <c r="G18" s="467"/>
      <c r="H18" s="460"/>
      <c r="I18" s="467"/>
      <c r="J18" s="487"/>
      <c r="K18" s="486"/>
      <c r="L18" s="467"/>
      <c r="M18" s="460"/>
      <c r="N18" s="467"/>
      <c r="O18" s="487"/>
      <c r="P18" s="486"/>
      <c r="Q18" s="467"/>
      <c r="R18" s="460"/>
      <c r="S18" s="467"/>
      <c r="T18" s="487"/>
      <c r="U18" s="486"/>
      <c r="V18" s="467"/>
      <c r="W18" s="460"/>
      <c r="X18" s="467"/>
      <c r="Y18" s="487"/>
    </row>
    <row r="19" spans="1:25" ht="16" hidden="1" outlineLevel="1" thickBot="1" x14ac:dyDescent="0.25">
      <c r="A19" s="505"/>
      <c r="B19" s="506"/>
      <c r="C19" s="507" t="s">
        <v>431</v>
      </c>
      <c r="D19" s="506"/>
      <c r="E19" s="508"/>
      <c r="F19" s="509"/>
      <c r="G19" s="510"/>
      <c r="H19" s="510"/>
      <c r="I19" s="510"/>
      <c r="J19" s="511"/>
      <c r="K19" s="512"/>
      <c r="L19" s="510"/>
      <c r="M19" s="510"/>
      <c r="N19" s="510"/>
      <c r="O19" s="511"/>
      <c r="P19" s="512"/>
      <c r="Q19" s="510"/>
      <c r="R19" s="510"/>
      <c r="S19" s="510"/>
      <c r="T19" s="511"/>
      <c r="U19" s="512"/>
      <c r="V19" s="510"/>
      <c r="W19" s="510"/>
      <c r="X19" s="510"/>
      <c r="Y19" s="511"/>
    </row>
    <row r="20" spans="1:25" hidden="1" outlineLevel="1" x14ac:dyDescent="0.2">
      <c r="A20" s="475">
        <v>2</v>
      </c>
      <c r="B20" s="476" t="s">
        <v>43</v>
      </c>
      <c r="C20" s="476" t="s">
        <v>168</v>
      </c>
      <c r="D20" s="477" t="s">
        <v>618</v>
      </c>
      <c r="E20" s="499"/>
      <c r="F20" s="490">
        <f>+SUM(F21:F26)</f>
        <v>3</v>
      </c>
      <c r="G20" s="490">
        <f t="shared" ref="G20:Y20" si="7">+SUM(G21:G26)</f>
        <v>5</v>
      </c>
      <c r="H20" s="490">
        <f t="shared" si="7"/>
        <v>0</v>
      </c>
      <c r="I20" s="490">
        <f t="shared" si="7"/>
        <v>0</v>
      </c>
      <c r="J20" s="490">
        <f t="shared" si="7"/>
        <v>0</v>
      </c>
      <c r="K20" s="490">
        <f t="shared" si="7"/>
        <v>0</v>
      </c>
      <c r="L20" s="490">
        <f t="shared" si="7"/>
        <v>0</v>
      </c>
      <c r="M20" s="490">
        <f t="shared" si="7"/>
        <v>0</v>
      </c>
      <c r="N20" s="490">
        <f t="shared" si="7"/>
        <v>0</v>
      </c>
      <c r="O20" s="490">
        <f t="shared" si="7"/>
        <v>0</v>
      </c>
      <c r="P20" s="490">
        <f t="shared" si="7"/>
        <v>0</v>
      </c>
      <c r="Q20" s="490">
        <f t="shared" si="7"/>
        <v>0</v>
      </c>
      <c r="R20" s="490">
        <f t="shared" si="7"/>
        <v>0</v>
      </c>
      <c r="S20" s="490">
        <f t="shared" si="7"/>
        <v>0</v>
      </c>
      <c r="T20" s="490">
        <f t="shared" si="7"/>
        <v>0</v>
      </c>
      <c r="U20" s="490">
        <f t="shared" si="7"/>
        <v>0</v>
      </c>
      <c r="V20" s="490">
        <f t="shared" si="7"/>
        <v>0</v>
      </c>
      <c r="W20" s="490">
        <f t="shared" si="7"/>
        <v>0</v>
      </c>
      <c r="X20" s="490">
        <f t="shared" si="7"/>
        <v>0</v>
      </c>
      <c r="Y20" s="490">
        <f t="shared" si="7"/>
        <v>0</v>
      </c>
    </row>
    <row r="21" spans="1:25" hidden="1" outlineLevel="1" x14ac:dyDescent="0.2">
      <c r="A21" s="478"/>
      <c r="B21" s="270"/>
      <c r="C21" s="270" t="s">
        <v>423</v>
      </c>
      <c r="D21" s="245" t="s">
        <v>619</v>
      </c>
      <c r="E21" s="500"/>
      <c r="F21" s="446">
        <v>2</v>
      </c>
      <c r="G21" s="271"/>
      <c r="H21" s="271"/>
      <c r="I21" s="271"/>
      <c r="J21" s="287"/>
      <c r="K21" s="486"/>
      <c r="L21" s="467"/>
      <c r="M21" s="467"/>
      <c r="N21" s="467"/>
      <c r="O21" s="487"/>
      <c r="P21" s="486"/>
      <c r="Q21" s="467"/>
      <c r="R21" s="467"/>
      <c r="S21" s="467"/>
      <c r="T21" s="487"/>
      <c r="U21" s="486"/>
      <c r="V21" s="467"/>
      <c r="W21" s="467"/>
      <c r="X21" s="467"/>
      <c r="Y21" s="487"/>
    </row>
    <row r="22" spans="1:25" hidden="1" outlineLevel="1" x14ac:dyDescent="0.2">
      <c r="A22" s="478"/>
      <c r="B22" s="245"/>
      <c r="C22" s="270" t="s">
        <v>425</v>
      </c>
      <c r="D22" s="245" t="s">
        <v>620</v>
      </c>
      <c r="E22" s="500"/>
      <c r="F22" s="493">
        <v>1</v>
      </c>
      <c r="G22" s="271"/>
      <c r="H22" s="271"/>
      <c r="I22" s="271"/>
      <c r="J22" s="287"/>
      <c r="K22" s="486"/>
      <c r="L22" s="460"/>
      <c r="M22" s="467"/>
      <c r="N22" s="467"/>
      <c r="O22" s="487"/>
      <c r="P22" s="486"/>
      <c r="Q22" s="460"/>
      <c r="R22" s="467"/>
      <c r="S22" s="467"/>
      <c r="T22" s="487"/>
      <c r="U22" s="486"/>
      <c r="V22" s="460"/>
      <c r="W22" s="467"/>
      <c r="X22" s="467"/>
      <c r="Y22" s="487"/>
    </row>
    <row r="23" spans="1:25" hidden="1" outlineLevel="1" x14ac:dyDescent="0.2">
      <c r="A23" s="478"/>
      <c r="B23" s="245"/>
      <c r="C23" s="270" t="s">
        <v>427</v>
      </c>
      <c r="D23" s="245"/>
      <c r="E23" s="500"/>
      <c r="F23" s="493"/>
      <c r="G23" s="271">
        <v>5</v>
      </c>
      <c r="H23" s="271"/>
      <c r="I23" s="271"/>
      <c r="J23" s="287"/>
      <c r="K23" s="486"/>
      <c r="L23" s="467"/>
      <c r="M23" s="467"/>
      <c r="N23" s="467"/>
      <c r="O23" s="487"/>
      <c r="P23" s="486"/>
      <c r="Q23" s="467"/>
      <c r="R23" s="467"/>
      <c r="S23" s="467"/>
      <c r="T23" s="487"/>
      <c r="U23" s="486"/>
      <c r="V23" s="467"/>
      <c r="W23" s="467"/>
      <c r="X23" s="467"/>
      <c r="Y23" s="487"/>
    </row>
    <row r="24" spans="1:25" hidden="1" outlineLevel="1" x14ac:dyDescent="0.2">
      <c r="A24" s="478"/>
      <c r="B24" s="245"/>
      <c r="C24" s="270" t="s">
        <v>429</v>
      </c>
      <c r="D24" s="245"/>
      <c r="E24" s="500"/>
      <c r="F24" s="493"/>
      <c r="G24" s="271"/>
      <c r="H24" s="271"/>
      <c r="I24" s="271"/>
      <c r="J24" s="287"/>
      <c r="K24" s="486"/>
      <c r="L24" s="467"/>
      <c r="M24" s="460"/>
      <c r="N24" s="467"/>
      <c r="O24" s="487"/>
      <c r="P24" s="486"/>
      <c r="Q24" s="467"/>
      <c r="R24" s="460"/>
      <c r="S24" s="467"/>
      <c r="T24" s="487"/>
      <c r="U24" s="486"/>
      <c r="V24" s="467"/>
      <c r="W24" s="460"/>
      <c r="X24" s="467"/>
      <c r="Y24" s="487"/>
    </row>
    <row r="25" spans="1:25" hidden="1" outlineLevel="1" x14ac:dyDescent="0.2">
      <c r="A25" s="478"/>
      <c r="B25" s="245"/>
      <c r="C25" s="270" t="s">
        <v>431</v>
      </c>
      <c r="D25" s="245"/>
      <c r="E25" s="500"/>
      <c r="F25" s="493"/>
      <c r="G25" s="271"/>
      <c r="H25" s="271"/>
      <c r="I25" s="271"/>
      <c r="J25" s="287"/>
      <c r="K25" s="486"/>
      <c r="L25" s="467"/>
      <c r="M25" s="467"/>
      <c r="N25" s="467"/>
      <c r="O25" s="487"/>
      <c r="P25" s="486"/>
      <c r="Q25" s="467"/>
      <c r="R25" s="467"/>
      <c r="S25" s="467"/>
      <c r="T25" s="487"/>
      <c r="U25" s="486"/>
      <c r="V25" s="467"/>
      <c r="W25" s="467"/>
      <c r="X25" s="467"/>
      <c r="Y25" s="487"/>
    </row>
    <row r="26" spans="1:25" ht="16" hidden="1" outlineLevel="1" thickBot="1" x14ac:dyDescent="0.25">
      <c r="A26" s="505"/>
      <c r="B26" s="506"/>
      <c r="C26" s="507" t="s">
        <v>432</v>
      </c>
      <c r="D26" s="506"/>
      <c r="E26" s="508"/>
      <c r="F26" s="513"/>
      <c r="G26" s="514"/>
      <c r="H26" s="514"/>
      <c r="I26" s="514"/>
      <c r="J26" s="518"/>
      <c r="K26" s="505"/>
      <c r="L26" s="514"/>
      <c r="M26" s="514"/>
      <c r="N26" s="514"/>
      <c r="O26" s="518"/>
      <c r="P26" s="505"/>
      <c r="Q26" s="514"/>
      <c r="R26" s="514"/>
      <c r="S26" s="514"/>
      <c r="T26" s="518"/>
      <c r="U26" s="505"/>
      <c r="V26" s="514"/>
      <c r="W26" s="514"/>
      <c r="X26" s="514"/>
      <c r="Y26" s="518"/>
    </row>
    <row r="27" spans="1:25" ht="16" collapsed="1" thickBot="1" x14ac:dyDescent="0.25">
      <c r="A27" s="475">
        <v>3</v>
      </c>
      <c r="B27" s="476" t="s">
        <v>46</v>
      </c>
      <c r="C27" s="476" t="s">
        <v>221</v>
      </c>
      <c r="D27" s="477" t="s">
        <v>621</v>
      </c>
      <c r="E27" s="499"/>
      <c r="F27" s="490">
        <f>+SUM(F28:F33)</f>
        <v>1</v>
      </c>
      <c r="G27" s="490">
        <f t="shared" ref="G27:Y27" si="8">+SUM(G28:G33)</f>
        <v>4</v>
      </c>
      <c r="H27" s="490">
        <f t="shared" si="8"/>
        <v>0</v>
      </c>
      <c r="I27" s="490">
        <f t="shared" si="8"/>
        <v>0</v>
      </c>
      <c r="J27" s="490">
        <f t="shared" si="8"/>
        <v>0</v>
      </c>
      <c r="K27" s="490">
        <f t="shared" si="8"/>
        <v>0</v>
      </c>
      <c r="L27" s="490">
        <f t="shared" si="8"/>
        <v>0</v>
      </c>
      <c r="M27" s="490">
        <f t="shared" si="8"/>
        <v>0</v>
      </c>
      <c r="N27" s="490">
        <f t="shared" si="8"/>
        <v>0</v>
      </c>
      <c r="O27" s="490">
        <f t="shared" si="8"/>
        <v>0</v>
      </c>
      <c r="P27" s="490">
        <f t="shared" si="8"/>
        <v>0</v>
      </c>
      <c r="Q27" s="490">
        <f t="shared" si="8"/>
        <v>0</v>
      </c>
      <c r="R27" s="490">
        <f t="shared" si="8"/>
        <v>0</v>
      </c>
      <c r="S27" s="490">
        <f t="shared" si="8"/>
        <v>0</v>
      </c>
      <c r="T27" s="490">
        <f t="shared" si="8"/>
        <v>0</v>
      </c>
      <c r="U27" s="490">
        <f t="shared" si="8"/>
        <v>0</v>
      </c>
      <c r="V27" s="490">
        <f t="shared" si="8"/>
        <v>0</v>
      </c>
      <c r="W27" s="490">
        <f t="shared" si="8"/>
        <v>0</v>
      </c>
      <c r="X27" s="490">
        <f t="shared" si="8"/>
        <v>0</v>
      </c>
      <c r="Y27" s="490">
        <f t="shared" si="8"/>
        <v>0</v>
      </c>
    </row>
    <row r="28" spans="1:25" hidden="1" outlineLevel="1" x14ac:dyDescent="0.2">
      <c r="A28" s="478"/>
      <c r="B28" s="270"/>
      <c r="C28" s="270" t="s">
        <v>423</v>
      </c>
      <c r="D28" s="245" t="s">
        <v>622</v>
      </c>
      <c r="E28" s="500"/>
      <c r="F28" s="446">
        <v>1</v>
      </c>
      <c r="G28" s="271"/>
      <c r="H28" s="271"/>
      <c r="I28" s="271"/>
      <c r="J28" s="287"/>
      <c r="K28" s="486"/>
      <c r="L28" s="467"/>
      <c r="M28" s="467"/>
      <c r="N28" s="467"/>
      <c r="O28" s="487"/>
      <c r="P28" s="486"/>
      <c r="Q28" s="467"/>
      <c r="R28" s="467"/>
      <c r="S28" s="467"/>
      <c r="T28" s="487"/>
      <c r="U28" s="486"/>
      <c r="V28" s="467"/>
      <c r="W28" s="467"/>
      <c r="X28" s="467"/>
      <c r="Y28" s="487"/>
    </row>
    <row r="29" spans="1:25" hidden="1" outlineLevel="1" x14ac:dyDescent="0.2">
      <c r="A29" s="478"/>
      <c r="B29" s="245"/>
      <c r="C29" s="270" t="s">
        <v>425</v>
      </c>
      <c r="D29" s="245" t="s">
        <v>482</v>
      </c>
      <c r="E29" s="500"/>
      <c r="F29" s="493"/>
      <c r="G29" s="271">
        <v>4</v>
      </c>
      <c r="H29" s="271"/>
      <c r="I29" s="271"/>
      <c r="J29" s="287"/>
      <c r="K29" s="486"/>
      <c r="L29" s="460"/>
      <c r="M29" s="467"/>
      <c r="N29" s="467"/>
      <c r="O29" s="487"/>
      <c r="P29" s="486"/>
      <c r="Q29" s="460"/>
      <c r="R29" s="467"/>
      <c r="S29" s="467"/>
      <c r="T29" s="487"/>
      <c r="U29" s="486"/>
      <c r="V29" s="460"/>
      <c r="W29" s="467"/>
      <c r="X29" s="467"/>
      <c r="Y29" s="487"/>
    </row>
    <row r="30" spans="1:25" hidden="1" outlineLevel="1" x14ac:dyDescent="0.2">
      <c r="A30" s="478"/>
      <c r="B30" s="245"/>
      <c r="C30" s="270" t="s">
        <v>427</v>
      </c>
      <c r="D30" s="245"/>
      <c r="E30" s="500"/>
      <c r="F30" s="493"/>
      <c r="G30" s="271"/>
      <c r="H30" s="271"/>
      <c r="I30" s="271"/>
      <c r="J30" s="287"/>
      <c r="K30" s="486"/>
      <c r="L30" s="467"/>
      <c r="M30" s="467"/>
      <c r="N30" s="467"/>
      <c r="O30" s="487"/>
      <c r="P30" s="486"/>
      <c r="Q30" s="467"/>
      <c r="R30" s="467"/>
      <c r="S30" s="467"/>
      <c r="T30" s="487"/>
      <c r="U30" s="486"/>
      <c r="V30" s="467"/>
      <c r="W30" s="467"/>
      <c r="X30" s="467"/>
      <c r="Y30" s="487"/>
    </row>
    <row r="31" spans="1:25" hidden="1" outlineLevel="1" x14ac:dyDescent="0.2">
      <c r="A31" s="478"/>
      <c r="B31" s="245"/>
      <c r="C31" s="270" t="s">
        <v>429</v>
      </c>
      <c r="D31" s="245"/>
      <c r="E31" s="500"/>
      <c r="F31" s="493"/>
      <c r="G31" s="271"/>
      <c r="H31" s="271"/>
      <c r="I31" s="271"/>
      <c r="J31" s="287"/>
      <c r="K31" s="486"/>
      <c r="L31" s="467"/>
      <c r="M31" s="460"/>
      <c r="N31" s="467"/>
      <c r="O31" s="487"/>
      <c r="P31" s="486"/>
      <c r="Q31" s="467"/>
      <c r="R31" s="460"/>
      <c r="S31" s="467"/>
      <c r="T31" s="487"/>
      <c r="U31" s="486"/>
      <c r="V31" s="467"/>
      <c r="W31" s="460"/>
      <c r="X31" s="467"/>
      <c r="Y31" s="487"/>
    </row>
    <row r="32" spans="1:25" hidden="1" outlineLevel="1" x14ac:dyDescent="0.2">
      <c r="A32" s="478"/>
      <c r="B32" s="245"/>
      <c r="C32" s="270" t="s">
        <v>431</v>
      </c>
      <c r="D32" s="245"/>
      <c r="E32" s="500"/>
      <c r="F32" s="493"/>
      <c r="G32" s="271"/>
      <c r="H32" s="271"/>
      <c r="I32" s="271"/>
      <c r="J32" s="287"/>
      <c r="K32" s="486"/>
      <c r="L32" s="467"/>
      <c r="M32" s="467"/>
      <c r="N32" s="467"/>
      <c r="O32" s="487"/>
      <c r="P32" s="486"/>
      <c r="Q32" s="467"/>
      <c r="R32" s="467"/>
      <c r="S32" s="467"/>
      <c r="T32" s="487"/>
      <c r="U32" s="486"/>
      <c r="V32" s="467"/>
      <c r="W32" s="467"/>
      <c r="X32" s="467"/>
      <c r="Y32" s="487"/>
    </row>
    <row r="33" spans="1:25" ht="16" hidden="1" outlineLevel="1" thickBot="1" x14ac:dyDescent="0.25">
      <c r="A33" s="505"/>
      <c r="B33" s="506"/>
      <c r="C33" s="507" t="s">
        <v>432</v>
      </c>
      <c r="D33" s="506"/>
      <c r="E33" s="508"/>
      <c r="F33" s="513"/>
      <c r="G33" s="514"/>
      <c r="H33" s="514"/>
      <c r="I33" s="514"/>
      <c r="J33" s="518"/>
      <c r="K33" s="505"/>
      <c r="L33" s="514"/>
      <c r="M33" s="514"/>
      <c r="N33" s="514"/>
      <c r="O33" s="518"/>
      <c r="P33" s="505"/>
      <c r="Q33" s="514"/>
      <c r="R33" s="514"/>
      <c r="S33" s="514"/>
      <c r="T33" s="518"/>
      <c r="U33" s="505"/>
      <c r="V33" s="514"/>
      <c r="W33" s="514"/>
      <c r="X33" s="514"/>
      <c r="Y33" s="518"/>
    </row>
    <row r="34" spans="1:25" ht="16" collapsed="1" thickBot="1" x14ac:dyDescent="0.25">
      <c r="A34" s="475">
        <v>4</v>
      </c>
      <c r="B34" s="476" t="s">
        <v>43</v>
      </c>
      <c r="C34" s="476" t="s">
        <v>450</v>
      </c>
      <c r="D34" s="477" t="s">
        <v>451</v>
      </c>
      <c r="E34" s="499"/>
      <c r="F34" s="490">
        <f>+SUM(F35:F39)</f>
        <v>0</v>
      </c>
      <c r="G34" s="490">
        <f t="shared" ref="G34" si="9">+SUM(G35:G39)</f>
        <v>1</v>
      </c>
      <c r="H34" s="490">
        <f t="shared" ref="H34" si="10">+SUM(H35:H39)</f>
        <v>0</v>
      </c>
      <c r="I34" s="490">
        <f t="shared" ref="I34" si="11">+SUM(I35:I39)</f>
        <v>3</v>
      </c>
      <c r="J34" s="490">
        <f t="shared" ref="J34" si="12">+SUM(J35:J39)</f>
        <v>3</v>
      </c>
      <c r="K34" s="490">
        <f t="shared" ref="K34" si="13">+SUM(K35:K39)</f>
        <v>0</v>
      </c>
      <c r="L34" s="490">
        <f t="shared" ref="L34" si="14">+SUM(L35:L39)</f>
        <v>0</v>
      </c>
      <c r="M34" s="490">
        <f t="shared" ref="M34" si="15">+SUM(M35:M39)</f>
        <v>0</v>
      </c>
      <c r="N34" s="490">
        <f t="shared" ref="N34" si="16">+SUM(N35:N39)</f>
        <v>0</v>
      </c>
      <c r="O34" s="490">
        <f t="shared" ref="O34" si="17">+SUM(O35:O39)</f>
        <v>0</v>
      </c>
      <c r="P34" s="490">
        <f t="shared" ref="P34" si="18">+SUM(P35:P39)</f>
        <v>0</v>
      </c>
      <c r="Q34" s="490">
        <f t="shared" ref="Q34" si="19">+SUM(Q35:Q39)</f>
        <v>0</v>
      </c>
      <c r="R34" s="490">
        <f t="shared" ref="R34" si="20">+SUM(R35:R39)</f>
        <v>0</v>
      </c>
      <c r="S34" s="490">
        <f t="shared" ref="S34" si="21">+SUM(S35:S39)</f>
        <v>0</v>
      </c>
      <c r="T34" s="490">
        <f t="shared" ref="T34" si="22">+SUM(T35:T39)</f>
        <v>0</v>
      </c>
      <c r="U34" s="490">
        <f t="shared" ref="U34" si="23">+SUM(U35:U39)</f>
        <v>0</v>
      </c>
      <c r="V34" s="490">
        <f t="shared" ref="V34" si="24">+SUM(V35:V39)</f>
        <v>0</v>
      </c>
      <c r="W34" s="490">
        <f t="shared" ref="W34" si="25">+SUM(W35:W39)</f>
        <v>0</v>
      </c>
      <c r="X34" s="490">
        <f t="shared" ref="X34" si="26">+SUM(X35:X39)</f>
        <v>0</v>
      </c>
      <c r="Y34" s="490">
        <f t="shared" ref="Y34" si="27">+SUM(Y35:Y39)</f>
        <v>0</v>
      </c>
    </row>
    <row r="35" spans="1:25" hidden="1" outlineLevel="2" x14ac:dyDescent="0.2">
      <c r="A35" s="478"/>
      <c r="B35" s="245"/>
      <c r="C35" s="270" t="s">
        <v>423</v>
      </c>
      <c r="D35" s="245" t="s">
        <v>623</v>
      </c>
      <c r="E35" s="500"/>
      <c r="F35" s="493"/>
      <c r="G35" s="271"/>
      <c r="H35" s="245"/>
      <c r="I35" s="245">
        <v>0</v>
      </c>
      <c r="J35" s="461">
        <v>3</v>
      </c>
      <c r="K35" s="486"/>
      <c r="L35" s="467"/>
      <c r="M35" s="467"/>
      <c r="N35" s="467"/>
      <c r="O35" s="487"/>
      <c r="P35" s="486"/>
      <c r="Q35" s="467"/>
      <c r="R35" s="467"/>
      <c r="S35" s="467"/>
      <c r="T35" s="487"/>
      <c r="U35" s="486"/>
      <c r="V35" s="467"/>
      <c r="W35" s="467"/>
      <c r="X35" s="467"/>
      <c r="Y35" s="487"/>
    </row>
    <row r="36" spans="1:25" hidden="1" outlineLevel="2" x14ac:dyDescent="0.2">
      <c r="A36" s="478"/>
      <c r="B36" s="245"/>
      <c r="C36" s="270" t="s">
        <v>425</v>
      </c>
      <c r="D36" s="245" t="s">
        <v>624</v>
      </c>
      <c r="E36" s="500"/>
      <c r="F36" s="493"/>
      <c r="G36" s="271">
        <v>1</v>
      </c>
      <c r="H36" s="245"/>
      <c r="I36" s="271"/>
      <c r="J36" s="271"/>
      <c r="K36" s="486"/>
      <c r="L36" s="467"/>
      <c r="M36" s="467"/>
      <c r="N36" s="467"/>
      <c r="O36" s="487"/>
      <c r="P36" s="486"/>
      <c r="Q36" s="467"/>
      <c r="R36" s="467"/>
      <c r="S36" s="467"/>
      <c r="T36" s="487"/>
      <c r="U36" s="486"/>
      <c r="V36" s="467"/>
      <c r="W36" s="467"/>
      <c r="X36" s="467"/>
      <c r="Y36" s="487"/>
    </row>
    <row r="37" spans="1:25" hidden="1" outlineLevel="2" x14ac:dyDescent="0.2">
      <c r="A37" s="478"/>
      <c r="B37" s="245"/>
      <c r="C37" s="270" t="s">
        <v>427</v>
      </c>
      <c r="D37" s="245" t="s">
        <v>625</v>
      </c>
      <c r="E37" s="500"/>
      <c r="F37" s="493"/>
      <c r="G37" s="271"/>
      <c r="H37" s="245"/>
      <c r="I37" s="271">
        <v>3</v>
      </c>
      <c r="J37" s="271"/>
      <c r="K37" s="486"/>
      <c r="L37" s="467"/>
      <c r="M37" s="467"/>
      <c r="N37" s="467"/>
      <c r="O37" s="487"/>
      <c r="P37" s="486"/>
      <c r="Q37" s="467"/>
      <c r="R37" s="467"/>
      <c r="S37" s="467"/>
      <c r="T37" s="487"/>
      <c r="U37" s="486"/>
      <c r="V37" s="467"/>
      <c r="W37" s="467"/>
      <c r="X37" s="467"/>
      <c r="Y37" s="487"/>
    </row>
    <row r="38" spans="1:25" hidden="1" outlineLevel="2" x14ac:dyDescent="0.2">
      <c r="A38" s="478"/>
      <c r="B38" s="245"/>
      <c r="C38" s="270" t="s">
        <v>429</v>
      </c>
      <c r="D38" s="245"/>
      <c r="E38" s="500"/>
      <c r="F38" s="493"/>
      <c r="G38" s="271"/>
      <c r="H38" s="271"/>
      <c r="I38" s="271"/>
      <c r="J38" s="287"/>
      <c r="K38" s="486"/>
      <c r="L38" s="467"/>
      <c r="M38" s="467"/>
      <c r="N38" s="467"/>
      <c r="O38" s="487"/>
      <c r="P38" s="486"/>
      <c r="Q38" s="467"/>
      <c r="R38" s="467"/>
      <c r="S38" s="467"/>
      <c r="T38" s="487"/>
      <c r="U38" s="486"/>
      <c r="V38" s="467"/>
      <c r="W38" s="467"/>
      <c r="X38" s="467"/>
      <c r="Y38" s="487"/>
    </row>
    <row r="39" spans="1:25" ht="16" hidden="1" outlineLevel="2" thickBot="1" x14ac:dyDescent="0.25">
      <c r="A39" s="479"/>
      <c r="B39" s="468"/>
      <c r="C39" s="481" t="s">
        <v>431</v>
      </c>
      <c r="D39" s="468"/>
      <c r="E39" s="469"/>
      <c r="F39" s="492"/>
      <c r="G39" s="480"/>
      <c r="H39" s="480"/>
      <c r="I39" s="480"/>
      <c r="J39" s="288"/>
      <c r="K39" s="497"/>
      <c r="L39" s="485"/>
      <c r="M39" s="485"/>
      <c r="N39" s="485"/>
      <c r="O39" s="488"/>
      <c r="P39" s="497"/>
      <c r="Q39" s="485"/>
      <c r="R39" s="485"/>
      <c r="S39" s="485"/>
      <c r="T39" s="488"/>
      <c r="U39" s="497"/>
      <c r="V39" s="485"/>
      <c r="W39" s="485"/>
      <c r="X39" s="485"/>
      <c r="Y39" s="488"/>
    </row>
    <row r="40" spans="1:25" ht="16" collapsed="1" thickBot="1" x14ac:dyDescent="0.25">
      <c r="A40" s="475">
        <v>5</v>
      </c>
      <c r="B40" s="476" t="s">
        <v>46</v>
      </c>
      <c r="C40" s="476" t="s">
        <v>626</v>
      </c>
      <c r="D40" s="477" t="s">
        <v>627</v>
      </c>
      <c r="E40" s="499"/>
      <c r="F40" s="490">
        <f>+SUM(F41:F44)</f>
        <v>0</v>
      </c>
      <c r="G40" s="490">
        <f t="shared" ref="G40:Y40" si="28">+SUM(G41:G44)</f>
        <v>3</v>
      </c>
      <c r="H40" s="490">
        <f t="shared" si="28"/>
        <v>0</v>
      </c>
      <c r="I40" s="490">
        <f t="shared" si="28"/>
        <v>0</v>
      </c>
      <c r="J40" s="490">
        <f t="shared" si="28"/>
        <v>0</v>
      </c>
      <c r="K40" s="490">
        <f t="shared" si="28"/>
        <v>0</v>
      </c>
      <c r="L40" s="490">
        <f t="shared" si="28"/>
        <v>0</v>
      </c>
      <c r="M40" s="490">
        <f t="shared" si="28"/>
        <v>0</v>
      </c>
      <c r="N40" s="490">
        <f t="shared" si="28"/>
        <v>0</v>
      </c>
      <c r="O40" s="490">
        <f t="shared" si="28"/>
        <v>0</v>
      </c>
      <c r="P40" s="490">
        <f t="shared" si="28"/>
        <v>0</v>
      </c>
      <c r="Q40" s="490">
        <f t="shared" si="28"/>
        <v>0</v>
      </c>
      <c r="R40" s="490">
        <f t="shared" si="28"/>
        <v>0</v>
      </c>
      <c r="S40" s="490">
        <f t="shared" si="28"/>
        <v>0</v>
      </c>
      <c r="T40" s="490">
        <f t="shared" si="28"/>
        <v>0</v>
      </c>
      <c r="U40" s="490">
        <f t="shared" si="28"/>
        <v>0</v>
      </c>
      <c r="V40" s="490">
        <f t="shared" si="28"/>
        <v>0</v>
      </c>
      <c r="W40" s="490">
        <f t="shared" si="28"/>
        <v>0</v>
      </c>
      <c r="X40" s="490">
        <f t="shared" si="28"/>
        <v>0</v>
      </c>
      <c r="Y40" s="490">
        <f t="shared" si="28"/>
        <v>0</v>
      </c>
    </row>
    <row r="41" spans="1:25" hidden="1" outlineLevel="1" x14ac:dyDescent="0.2">
      <c r="A41" s="478"/>
      <c r="B41" s="245"/>
      <c r="C41" s="270" t="s">
        <v>423</v>
      </c>
      <c r="D41" s="245" t="s">
        <v>628</v>
      </c>
      <c r="E41" s="500"/>
      <c r="F41" s="493"/>
      <c r="G41" s="271"/>
      <c r="H41" s="271"/>
      <c r="I41" s="271"/>
      <c r="J41" s="287"/>
      <c r="K41" s="478"/>
      <c r="L41" s="271"/>
      <c r="M41" s="271"/>
      <c r="N41" s="271"/>
      <c r="O41" s="287"/>
      <c r="P41" s="478"/>
      <c r="Q41" s="271"/>
      <c r="R41" s="271"/>
      <c r="S41" s="271"/>
      <c r="T41" s="287"/>
      <c r="U41" s="478"/>
      <c r="V41" s="271"/>
      <c r="W41" s="271"/>
      <c r="X41" s="271"/>
      <c r="Y41" s="287"/>
    </row>
    <row r="42" spans="1:25" hidden="1" outlineLevel="1" x14ac:dyDescent="0.2">
      <c r="A42" s="478"/>
      <c r="B42" s="245"/>
      <c r="C42" s="270" t="s">
        <v>425</v>
      </c>
      <c r="D42" s="245" t="s">
        <v>629</v>
      </c>
      <c r="E42" s="500"/>
      <c r="F42" s="493"/>
      <c r="G42" s="271">
        <v>3</v>
      </c>
      <c r="H42" s="271"/>
      <c r="I42" s="271"/>
      <c r="J42" s="287"/>
      <c r="K42" s="478"/>
      <c r="L42" s="271"/>
      <c r="M42" s="271"/>
      <c r="N42" s="271"/>
      <c r="O42" s="287"/>
      <c r="P42" s="478"/>
      <c r="Q42" s="271"/>
      <c r="R42" s="271"/>
      <c r="S42" s="271"/>
      <c r="T42" s="287"/>
      <c r="U42" s="478"/>
      <c r="V42" s="271"/>
      <c r="W42" s="271"/>
      <c r="X42" s="271"/>
      <c r="Y42" s="287"/>
    </row>
    <row r="43" spans="1:25" hidden="1" outlineLevel="1" x14ac:dyDescent="0.2">
      <c r="A43" s="478"/>
      <c r="B43" s="245"/>
      <c r="C43" s="270" t="s">
        <v>427</v>
      </c>
      <c r="D43" s="245"/>
      <c r="E43" s="500"/>
      <c r="F43" s="493"/>
      <c r="G43" s="271"/>
      <c r="H43" s="271"/>
      <c r="I43" s="271"/>
      <c r="J43" s="287"/>
      <c r="K43" s="478"/>
      <c r="L43" s="271"/>
      <c r="M43" s="271"/>
      <c r="N43" s="271"/>
      <c r="O43" s="287"/>
      <c r="P43" s="478"/>
      <c r="Q43" s="271"/>
      <c r="R43" s="271"/>
      <c r="S43" s="271"/>
      <c r="T43" s="287"/>
      <c r="U43" s="478"/>
      <c r="V43" s="271"/>
      <c r="W43" s="271"/>
      <c r="X43" s="271"/>
      <c r="Y43" s="287"/>
    </row>
    <row r="44" spans="1:25" ht="16" hidden="1" outlineLevel="1" thickBot="1" x14ac:dyDescent="0.25">
      <c r="A44" s="505"/>
      <c r="B44" s="506"/>
      <c r="C44" s="270" t="s">
        <v>429</v>
      </c>
      <c r="D44" s="245"/>
      <c r="E44" s="508"/>
      <c r="F44" s="513"/>
      <c r="G44" s="514"/>
      <c r="H44" s="514"/>
      <c r="I44" s="514"/>
      <c r="J44" s="518"/>
      <c r="K44" s="505"/>
      <c r="L44" s="514"/>
      <c r="M44" s="514"/>
      <c r="N44" s="514"/>
      <c r="O44" s="518"/>
      <c r="P44" s="505"/>
      <c r="Q44" s="467"/>
      <c r="R44" s="467"/>
      <c r="S44" s="467"/>
      <c r="T44" s="487"/>
      <c r="U44" s="505"/>
      <c r="V44" s="514"/>
      <c r="W44" s="514"/>
      <c r="X44" s="514"/>
      <c r="Y44" s="518"/>
    </row>
    <row r="45" spans="1:25" ht="16" collapsed="1" thickBot="1" x14ac:dyDescent="0.25">
      <c r="A45" s="475">
        <v>6</v>
      </c>
      <c r="B45" s="476" t="s">
        <v>45</v>
      </c>
      <c r="C45" s="476" t="s">
        <v>195</v>
      </c>
      <c r="D45" s="477" t="s">
        <v>590</v>
      </c>
      <c r="E45" s="499"/>
      <c r="F45" s="490">
        <f>+SUM(F46:F48)</f>
        <v>0</v>
      </c>
      <c r="G45" s="490">
        <f t="shared" ref="G45:Y45" si="29">+SUM(G46:G48)</f>
        <v>0</v>
      </c>
      <c r="H45" s="490">
        <f t="shared" si="29"/>
        <v>0</v>
      </c>
      <c r="I45" s="490">
        <f t="shared" si="29"/>
        <v>0</v>
      </c>
      <c r="J45" s="490">
        <f t="shared" si="29"/>
        <v>0</v>
      </c>
      <c r="K45" s="490">
        <f t="shared" si="29"/>
        <v>0</v>
      </c>
      <c r="L45" s="490">
        <f t="shared" si="29"/>
        <v>0</v>
      </c>
      <c r="M45" s="490">
        <f t="shared" si="29"/>
        <v>0</v>
      </c>
      <c r="N45" s="490">
        <f t="shared" si="29"/>
        <v>0</v>
      </c>
      <c r="O45" s="490">
        <f t="shared" si="29"/>
        <v>0</v>
      </c>
      <c r="P45" s="490">
        <f t="shared" si="29"/>
        <v>0</v>
      </c>
      <c r="Q45" s="490">
        <f t="shared" si="29"/>
        <v>0</v>
      </c>
      <c r="R45" s="490">
        <f t="shared" si="29"/>
        <v>0</v>
      </c>
      <c r="S45" s="490">
        <f t="shared" si="29"/>
        <v>0</v>
      </c>
      <c r="T45" s="490">
        <f t="shared" si="29"/>
        <v>0</v>
      </c>
      <c r="U45" s="490">
        <f t="shared" si="29"/>
        <v>0</v>
      </c>
      <c r="V45" s="490">
        <f t="shared" si="29"/>
        <v>0</v>
      </c>
      <c r="W45" s="490">
        <f t="shared" si="29"/>
        <v>0</v>
      </c>
      <c r="X45" s="490">
        <f t="shared" si="29"/>
        <v>0</v>
      </c>
      <c r="Y45" s="490">
        <f t="shared" si="29"/>
        <v>0</v>
      </c>
    </row>
    <row r="46" spans="1:25" hidden="1" outlineLevel="1" x14ac:dyDescent="0.2">
      <c r="A46" s="478"/>
      <c r="B46" s="245"/>
      <c r="C46" s="270" t="s">
        <v>423</v>
      </c>
      <c r="D46" s="245" t="s">
        <v>630</v>
      </c>
      <c r="E46" s="500"/>
      <c r="F46" s="493"/>
      <c r="G46" s="271"/>
      <c r="H46" s="271"/>
      <c r="I46" s="271"/>
      <c r="J46" s="287"/>
      <c r="K46" s="486"/>
      <c r="L46" s="467"/>
      <c r="M46" s="467"/>
      <c r="N46" s="467"/>
      <c r="O46" s="487"/>
      <c r="P46" s="486"/>
      <c r="Q46" s="467"/>
      <c r="R46" s="467"/>
      <c r="S46" s="467"/>
      <c r="T46" s="487"/>
      <c r="U46" s="486"/>
      <c r="V46" s="467"/>
      <c r="W46" s="467"/>
      <c r="X46" s="467"/>
      <c r="Y46" s="487"/>
    </row>
    <row r="47" spans="1:25" hidden="1" outlineLevel="1" x14ac:dyDescent="0.2">
      <c r="A47" s="478"/>
      <c r="B47" s="245"/>
      <c r="C47" s="270" t="s">
        <v>425</v>
      </c>
      <c r="D47" s="245"/>
      <c r="E47" s="500"/>
      <c r="F47" s="493"/>
      <c r="G47" s="271"/>
      <c r="H47" s="271"/>
      <c r="I47" s="271"/>
      <c r="J47" s="287"/>
      <c r="K47" s="486"/>
      <c r="L47" s="467"/>
      <c r="M47" s="467"/>
      <c r="N47" s="467"/>
      <c r="O47" s="487"/>
      <c r="P47" s="486"/>
      <c r="Q47" s="467"/>
      <c r="R47" s="467"/>
      <c r="S47" s="467"/>
      <c r="T47" s="487"/>
      <c r="U47" s="486"/>
      <c r="V47" s="467"/>
      <c r="W47" s="467"/>
      <c r="X47" s="467"/>
      <c r="Y47" s="487"/>
    </row>
    <row r="48" spans="1:25" ht="16" hidden="1" outlineLevel="1" thickBot="1" x14ac:dyDescent="0.25">
      <c r="A48" s="478"/>
      <c r="B48" s="245"/>
      <c r="C48" s="270" t="s">
        <v>427</v>
      </c>
      <c r="D48" s="245"/>
      <c r="E48" s="500"/>
      <c r="F48" s="493"/>
      <c r="G48" s="271"/>
      <c r="H48" s="271"/>
      <c r="I48" s="271"/>
      <c r="J48" s="287"/>
      <c r="K48" s="486"/>
      <c r="L48" s="467"/>
      <c r="M48" s="467"/>
      <c r="N48" s="467"/>
      <c r="O48" s="487"/>
      <c r="P48" s="486"/>
      <c r="Q48" s="467"/>
      <c r="R48" s="467"/>
      <c r="S48" s="467"/>
      <c r="T48" s="487"/>
      <c r="U48" s="486"/>
      <c r="V48" s="467"/>
      <c r="W48" s="467"/>
      <c r="X48" s="467"/>
      <c r="Y48" s="487"/>
    </row>
    <row r="49" spans="1:25" ht="16" collapsed="1" thickBot="1" x14ac:dyDescent="0.25">
      <c r="A49" s="475">
        <v>7</v>
      </c>
      <c r="B49" s="476" t="s">
        <v>45</v>
      </c>
      <c r="C49" s="476" t="s">
        <v>195</v>
      </c>
      <c r="D49" s="477" t="s">
        <v>197</v>
      </c>
      <c r="E49" s="499"/>
      <c r="F49" s="490">
        <f>+SUM(F50:F52)</f>
        <v>0</v>
      </c>
      <c r="G49" s="490">
        <f t="shared" ref="G49" si="30">+SUM(G50:G52)</f>
        <v>0</v>
      </c>
      <c r="H49" s="490">
        <f t="shared" ref="H49" si="31">+SUM(H50:H52)</f>
        <v>0</v>
      </c>
      <c r="I49" s="490">
        <f t="shared" ref="I49" si="32">+SUM(I50:I52)</f>
        <v>0</v>
      </c>
      <c r="J49" s="490">
        <f t="shared" ref="J49" si="33">+SUM(J50:J52)</f>
        <v>0</v>
      </c>
      <c r="K49" s="490">
        <f t="shared" ref="K49" si="34">+SUM(K50:K52)</f>
        <v>0</v>
      </c>
      <c r="L49" s="490">
        <f t="shared" ref="L49" si="35">+SUM(L50:L52)</f>
        <v>0</v>
      </c>
      <c r="M49" s="490">
        <f t="shared" ref="M49" si="36">+SUM(M50:M52)</f>
        <v>0</v>
      </c>
      <c r="N49" s="490">
        <f t="shared" ref="N49" si="37">+SUM(N50:N52)</f>
        <v>0</v>
      </c>
      <c r="O49" s="490">
        <f t="shared" ref="O49" si="38">+SUM(O50:O52)</f>
        <v>0</v>
      </c>
      <c r="P49" s="490">
        <f t="shared" ref="P49" si="39">+SUM(P50:P52)</f>
        <v>0</v>
      </c>
      <c r="Q49" s="490">
        <f t="shared" ref="Q49" si="40">+SUM(Q50:Q52)</f>
        <v>0</v>
      </c>
      <c r="R49" s="490">
        <f t="shared" ref="R49" si="41">+SUM(R50:R52)</f>
        <v>0</v>
      </c>
      <c r="S49" s="490">
        <f t="shared" ref="S49" si="42">+SUM(S50:S52)</f>
        <v>0</v>
      </c>
      <c r="T49" s="490">
        <f t="shared" ref="T49" si="43">+SUM(T50:T52)</f>
        <v>0</v>
      </c>
      <c r="U49" s="490">
        <f t="shared" ref="U49" si="44">+SUM(U50:U52)</f>
        <v>0</v>
      </c>
      <c r="V49" s="490">
        <f t="shared" ref="V49" si="45">+SUM(V50:V52)</f>
        <v>0</v>
      </c>
      <c r="W49" s="490">
        <f t="shared" ref="W49" si="46">+SUM(W50:W52)</f>
        <v>0</v>
      </c>
      <c r="X49" s="490">
        <f t="shared" ref="X49" si="47">+SUM(X50:X52)</f>
        <v>0</v>
      </c>
      <c r="Y49" s="490">
        <f t="shared" ref="Y49" si="48">+SUM(Y50:Y52)</f>
        <v>0</v>
      </c>
    </row>
    <row r="50" spans="1:25" hidden="1" outlineLevel="1" x14ac:dyDescent="0.2">
      <c r="A50" s="478"/>
      <c r="B50" s="245"/>
      <c r="C50" s="270" t="s">
        <v>423</v>
      </c>
      <c r="D50" s="245" t="s">
        <v>630</v>
      </c>
      <c r="E50" s="500"/>
      <c r="F50" s="493"/>
      <c r="G50" s="271"/>
      <c r="H50" s="271"/>
      <c r="I50" s="271"/>
      <c r="J50" s="287"/>
      <c r="K50" s="486"/>
      <c r="L50" s="467"/>
      <c r="M50" s="467"/>
      <c r="N50" s="467"/>
      <c r="O50" s="487"/>
      <c r="P50" s="486"/>
      <c r="Q50" s="467"/>
      <c r="R50" s="467"/>
      <c r="S50" s="467"/>
      <c r="T50" s="487"/>
      <c r="U50" s="486"/>
      <c r="V50" s="467"/>
      <c r="W50" s="467"/>
      <c r="X50" s="467"/>
      <c r="Y50" s="487"/>
    </row>
    <row r="51" spans="1:25" hidden="1" outlineLevel="1" x14ac:dyDescent="0.2">
      <c r="A51" s="478"/>
      <c r="B51" s="245"/>
      <c r="C51" s="270" t="s">
        <v>425</v>
      </c>
      <c r="D51" s="245"/>
      <c r="E51" s="500"/>
      <c r="F51" s="493"/>
      <c r="G51" s="271"/>
      <c r="H51" s="271"/>
      <c r="I51" s="271"/>
      <c r="J51" s="287"/>
      <c r="K51" s="486"/>
      <c r="L51" s="467"/>
      <c r="M51" s="467"/>
      <c r="N51" s="467"/>
      <c r="O51" s="487"/>
      <c r="P51" s="486"/>
      <c r="Q51" s="467"/>
      <c r="R51" s="467"/>
      <c r="S51" s="467"/>
      <c r="T51" s="487"/>
      <c r="U51" s="486"/>
      <c r="V51" s="467"/>
      <c r="W51" s="467"/>
      <c r="X51" s="467"/>
      <c r="Y51" s="487"/>
    </row>
    <row r="52" spans="1:25" ht="16" hidden="1" outlineLevel="1" thickBot="1" x14ac:dyDescent="0.25">
      <c r="A52" s="478"/>
      <c r="B52" s="245"/>
      <c r="C52" s="270" t="s">
        <v>427</v>
      </c>
      <c r="D52" s="245"/>
      <c r="E52" s="500"/>
      <c r="F52" s="493"/>
      <c r="G52" s="271"/>
      <c r="H52" s="271"/>
      <c r="I52" s="271"/>
      <c r="J52" s="287"/>
      <c r="K52" s="486"/>
      <c r="L52" s="467"/>
      <c r="M52" s="467"/>
      <c r="N52" s="467"/>
      <c r="O52" s="487"/>
      <c r="P52" s="486"/>
      <c r="Q52" s="467"/>
      <c r="R52" s="467"/>
      <c r="S52" s="467"/>
      <c r="T52" s="487"/>
      <c r="U52" s="486"/>
      <c r="V52" s="467"/>
      <c r="W52" s="467"/>
      <c r="X52" s="467"/>
      <c r="Y52" s="487"/>
    </row>
    <row r="53" spans="1:25" ht="16" collapsed="1" thickBot="1" x14ac:dyDescent="0.25">
      <c r="A53" s="475">
        <v>8</v>
      </c>
      <c r="B53" s="476" t="s">
        <v>45</v>
      </c>
      <c r="C53" s="476" t="s">
        <v>118</v>
      </c>
      <c r="D53" s="477" t="s">
        <v>631</v>
      </c>
      <c r="E53" s="499"/>
      <c r="F53" s="490">
        <f>+SUM(F54:F57)</f>
        <v>0</v>
      </c>
      <c r="G53" s="490">
        <f t="shared" ref="G53:Y53" si="49">+SUM(G54:G57)</f>
        <v>0</v>
      </c>
      <c r="H53" s="490">
        <f t="shared" si="49"/>
        <v>0</v>
      </c>
      <c r="I53" s="490">
        <f t="shared" si="49"/>
        <v>0</v>
      </c>
      <c r="J53" s="490">
        <f t="shared" si="49"/>
        <v>0</v>
      </c>
      <c r="K53" s="490">
        <f t="shared" si="49"/>
        <v>0</v>
      </c>
      <c r="L53" s="490">
        <f t="shared" si="49"/>
        <v>0</v>
      </c>
      <c r="M53" s="490">
        <f t="shared" si="49"/>
        <v>0</v>
      </c>
      <c r="N53" s="490">
        <f t="shared" si="49"/>
        <v>0</v>
      </c>
      <c r="O53" s="490">
        <f t="shared" si="49"/>
        <v>0</v>
      </c>
      <c r="P53" s="490">
        <f t="shared" si="49"/>
        <v>0</v>
      </c>
      <c r="Q53" s="490">
        <f t="shared" si="49"/>
        <v>0</v>
      </c>
      <c r="R53" s="490">
        <f t="shared" si="49"/>
        <v>0</v>
      </c>
      <c r="S53" s="490">
        <f t="shared" si="49"/>
        <v>0</v>
      </c>
      <c r="T53" s="490">
        <f t="shared" si="49"/>
        <v>0</v>
      </c>
      <c r="U53" s="490">
        <f t="shared" si="49"/>
        <v>0</v>
      </c>
      <c r="V53" s="490">
        <f t="shared" si="49"/>
        <v>0</v>
      </c>
      <c r="W53" s="490">
        <f t="shared" si="49"/>
        <v>0</v>
      </c>
      <c r="X53" s="490">
        <f t="shared" si="49"/>
        <v>0</v>
      </c>
      <c r="Y53" s="490">
        <f t="shared" si="49"/>
        <v>0</v>
      </c>
    </row>
    <row r="54" spans="1:25" hidden="1" outlineLevel="1" x14ac:dyDescent="0.2">
      <c r="A54" s="478"/>
      <c r="B54" s="245"/>
      <c r="C54" s="270" t="s">
        <v>423</v>
      </c>
      <c r="D54" s="245" t="s">
        <v>632</v>
      </c>
      <c r="E54" s="500"/>
      <c r="F54" s="493"/>
      <c r="G54" s="271"/>
      <c r="H54" s="271"/>
      <c r="I54" s="271"/>
      <c r="J54" s="287"/>
      <c r="K54" s="486"/>
      <c r="L54" s="467"/>
      <c r="M54" s="467"/>
      <c r="N54" s="467"/>
      <c r="O54" s="487"/>
      <c r="P54" s="486"/>
      <c r="Q54" s="467"/>
      <c r="R54" s="467"/>
      <c r="S54" s="467"/>
      <c r="T54" s="487"/>
      <c r="U54" s="486"/>
      <c r="V54" s="467"/>
      <c r="W54" s="467"/>
      <c r="X54" s="467"/>
      <c r="Y54" s="487"/>
    </row>
    <row r="55" spans="1:25" hidden="1" outlineLevel="1" x14ac:dyDescent="0.2">
      <c r="A55" s="478"/>
      <c r="B55" s="245"/>
      <c r="C55" s="270" t="s">
        <v>425</v>
      </c>
      <c r="D55" s="245"/>
      <c r="E55" s="500"/>
      <c r="F55" s="493"/>
      <c r="G55" s="271"/>
      <c r="H55" s="271"/>
      <c r="I55" s="271"/>
      <c r="J55" s="287"/>
      <c r="K55" s="486"/>
      <c r="L55" s="467"/>
      <c r="M55" s="467"/>
      <c r="N55" s="467"/>
      <c r="O55" s="487"/>
      <c r="P55" s="486"/>
      <c r="Q55" s="467"/>
      <c r="R55" s="467"/>
      <c r="S55" s="467"/>
      <c r="T55" s="487"/>
      <c r="U55" s="486"/>
      <c r="V55" s="467"/>
      <c r="W55" s="467"/>
      <c r="X55" s="467"/>
      <c r="Y55" s="487"/>
    </row>
    <row r="56" spans="1:25" hidden="1" outlineLevel="1" x14ac:dyDescent="0.2">
      <c r="A56" s="478"/>
      <c r="B56" s="245"/>
      <c r="C56" s="270" t="s">
        <v>427</v>
      </c>
      <c r="D56" s="245"/>
      <c r="E56" s="500"/>
      <c r="F56" s="493"/>
      <c r="G56" s="271"/>
      <c r="H56" s="271"/>
      <c r="I56" s="271"/>
      <c r="J56" s="287"/>
      <c r="K56" s="486"/>
      <c r="L56" s="467"/>
      <c r="M56" s="467"/>
      <c r="N56" s="467"/>
      <c r="O56" s="487"/>
      <c r="P56" s="486"/>
      <c r="Q56" s="467"/>
      <c r="R56" s="467"/>
      <c r="S56" s="467"/>
      <c r="T56" s="487"/>
      <c r="U56" s="486"/>
      <c r="V56" s="467"/>
      <c r="W56" s="467"/>
      <c r="X56" s="467"/>
      <c r="Y56" s="487"/>
    </row>
    <row r="57" spans="1:25" ht="16" hidden="1" outlineLevel="1" thickBot="1" x14ac:dyDescent="0.25">
      <c r="A57" s="479"/>
      <c r="B57" s="468"/>
      <c r="C57" s="481" t="s">
        <v>429</v>
      </c>
      <c r="D57" s="468"/>
      <c r="E57" s="469"/>
      <c r="F57" s="494"/>
      <c r="G57" s="468"/>
      <c r="H57" s="468"/>
      <c r="I57" s="468"/>
      <c r="J57" s="469"/>
      <c r="K57" s="486"/>
      <c r="L57" s="467"/>
      <c r="M57" s="467"/>
      <c r="N57" s="467"/>
      <c r="O57" s="487"/>
      <c r="P57" s="486"/>
      <c r="Q57" s="467"/>
      <c r="R57" s="467"/>
      <c r="S57" s="467"/>
      <c r="T57" s="487"/>
      <c r="U57" s="486"/>
      <c r="V57" s="467"/>
      <c r="W57" s="467"/>
      <c r="X57" s="467"/>
      <c r="Y57" s="487"/>
    </row>
    <row r="58" spans="1:25" ht="16" collapsed="1" thickBot="1" x14ac:dyDescent="0.25">
      <c r="A58" s="475">
        <v>9</v>
      </c>
      <c r="B58" s="476" t="s">
        <v>46</v>
      </c>
      <c r="C58" s="476" t="s">
        <v>633</v>
      </c>
      <c r="D58" s="477" t="s">
        <v>634</v>
      </c>
      <c r="E58" s="499"/>
      <c r="F58" s="490">
        <f>+SUM(F59:F62)</f>
        <v>0</v>
      </c>
      <c r="G58" s="490">
        <f t="shared" ref="G58:Y58" si="50">+SUM(G59:G62)</f>
        <v>2</v>
      </c>
      <c r="H58" s="490">
        <f t="shared" si="50"/>
        <v>0</v>
      </c>
      <c r="I58" s="490">
        <f t="shared" si="50"/>
        <v>0</v>
      </c>
      <c r="J58" s="490">
        <f t="shared" si="50"/>
        <v>0</v>
      </c>
      <c r="K58" s="490">
        <f t="shared" si="50"/>
        <v>2.5</v>
      </c>
      <c r="L58" s="490">
        <f t="shared" si="50"/>
        <v>7</v>
      </c>
      <c r="M58" s="490">
        <f t="shared" si="50"/>
        <v>3</v>
      </c>
      <c r="N58" s="490">
        <f t="shared" si="50"/>
        <v>8</v>
      </c>
      <c r="O58" s="490">
        <f t="shared" si="50"/>
        <v>2</v>
      </c>
      <c r="P58" s="490">
        <f t="shared" si="50"/>
        <v>0</v>
      </c>
      <c r="Q58" s="490">
        <f t="shared" si="50"/>
        <v>0</v>
      </c>
      <c r="R58" s="490">
        <f t="shared" si="50"/>
        <v>0</v>
      </c>
      <c r="S58" s="490">
        <f t="shared" si="50"/>
        <v>0</v>
      </c>
      <c r="T58" s="490">
        <f t="shared" si="50"/>
        <v>0</v>
      </c>
      <c r="U58" s="490">
        <f t="shared" si="50"/>
        <v>0</v>
      </c>
      <c r="V58" s="490">
        <f t="shared" si="50"/>
        <v>0</v>
      </c>
      <c r="W58" s="490">
        <f t="shared" si="50"/>
        <v>0</v>
      </c>
      <c r="X58" s="490">
        <f t="shared" si="50"/>
        <v>0</v>
      </c>
      <c r="Y58" s="490">
        <f t="shared" si="50"/>
        <v>0</v>
      </c>
    </row>
    <row r="59" spans="1:25" hidden="1" outlineLevel="1" x14ac:dyDescent="0.2">
      <c r="A59" s="478"/>
      <c r="B59" s="245"/>
      <c r="C59" s="270" t="s">
        <v>423</v>
      </c>
      <c r="D59" s="245" t="s">
        <v>635</v>
      </c>
      <c r="E59" s="500"/>
      <c r="F59" s="493"/>
      <c r="G59" s="271">
        <v>1</v>
      </c>
      <c r="H59" s="271"/>
      <c r="I59" s="271"/>
      <c r="J59" s="287"/>
      <c r="K59" s="486"/>
      <c r="L59" s="467"/>
      <c r="M59" s="467"/>
      <c r="N59" s="467"/>
      <c r="O59" s="487"/>
      <c r="P59" s="486"/>
      <c r="Q59" s="467"/>
      <c r="R59" s="467"/>
      <c r="S59" s="467"/>
      <c r="T59" s="487"/>
      <c r="U59" s="486"/>
      <c r="V59" s="467"/>
      <c r="W59" s="467"/>
      <c r="X59" s="467"/>
      <c r="Y59" s="487"/>
    </row>
    <row r="60" spans="1:25" hidden="1" outlineLevel="1" x14ac:dyDescent="0.2">
      <c r="A60" s="478"/>
      <c r="B60" s="245"/>
      <c r="C60" s="270" t="s">
        <v>425</v>
      </c>
      <c r="D60" s="245" t="s">
        <v>636</v>
      </c>
      <c r="E60" s="500"/>
      <c r="F60" s="493"/>
      <c r="G60" s="271">
        <v>1</v>
      </c>
      <c r="H60" s="271"/>
      <c r="I60" s="271"/>
      <c r="J60" s="287"/>
      <c r="K60" s="486"/>
      <c r="L60" s="467"/>
      <c r="M60" s="467"/>
      <c r="N60" s="467"/>
      <c r="O60" s="487"/>
      <c r="P60" s="486"/>
      <c r="Q60" s="467"/>
      <c r="R60" s="467"/>
      <c r="S60" s="467"/>
      <c r="T60" s="487"/>
      <c r="U60" s="486"/>
      <c r="V60" s="467"/>
      <c r="W60" s="467"/>
      <c r="X60" s="467"/>
      <c r="Y60" s="487"/>
    </row>
    <row r="61" spans="1:25" hidden="1" outlineLevel="1" x14ac:dyDescent="0.2">
      <c r="A61" s="478"/>
      <c r="B61" s="245"/>
      <c r="C61" s="270" t="s">
        <v>427</v>
      </c>
      <c r="D61" s="245" t="s">
        <v>637</v>
      </c>
      <c r="E61" s="500"/>
      <c r="F61" s="493"/>
      <c r="G61" s="271"/>
      <c r="H61" s="271"/>
      <c r="I61" s="271"/>
      <c r="J61" s="287"/>
      <c r="K61" s="486">
        <v>2.5</v>
      </c>
      <c r="L61" s="467">
        <v>7</v>
      </c>
      <c r="M61" s="467">
        <v>3</v>
      </c>
      <c r="N61" s="467">
        <v>8</v>
      </c>
      <c r="O61" s="487">
        <v>2</v>
      </c>
      <c r="P61" s="486"/>
      <c r="Q61" s="467"/>
      <c r="R61" s="467"/>
      <c r="S61" s="467"/>
      <c r="T61" s="487"/>
      <c r="U61" s="486"/>
      <c r="V61" s="467"/>
      <c r="W61" s="467"/>
      <c r="X61" s="467"/>
      <c r="Y61" s="487"/>
    </row>
    <row r="62" spans="1:25" ht="16" hidden="1" outlineLevel="1" thickBot="1" x14ac:dyDescent="0.25">
      <c r="A62" s="479"/>
      <c r="B62" s="468"/>
      <c r="C62" s="481" t="s">
        <v>429</v>
      </c>
      <c r="D62" s="468"/>
      <c r="E62" s="469"/>
      <c r="F62" s="494"/>
      <c r="G62" s="468"/>
      <c r="H62" s="468"/>
      <c r="I62" s="468"/>
      <c r="J62" s="469"/>
      <c r="K62" s="486"/>
      <c r="L62" s="467"/>
      <c r="M62" s="467"/>
      <c r="N62" s="467"/>
      <c r="O62" s="487"/>
      <c r="P62" s="486"/>
      <c r="Q62" s="467"/>
      <c r="R62" s="467"/>
      <c r="S62" s="467"/>
      <c r="T62" s="487"/>
      <c r="U62" s="486"/>
      <c r="V62" s="467"/>
      <c r="W62" s="467"/>
      <c r="X62" s="467"/>
      <c r="Y62" s="487"/>
    </row>
    <row r="63" spans="1:25" ht="16" collapsed="1" thickBot="1" x14ac:dyDescent="0.25">
      <c r="A63" s="475">
        <v>10</v>
      </c>
      <c r="B63" s="476" t="s">
        <v>43</v>
      </c>
      <c r="C63" s="476"/>
      <c r="D63" s="477" t="s">
        <v>506</v>
      </c>
      <c r="E63" s="499"/>
      <c r="F63" s="490">
        <f>+SUM(F64:F68)</f>
        <v>1</v>
      </c>
      <c r="G63" s="490">
        <f t="shared" ref="G63" si="51">+SUM(G64:G68)</f>
        <v>0</v>
      </c>
      <c r="H63" s="490">
        <f t="shared" ref="H63" si="52">+SUM(H64:H68)</f>
        <v>2</v>
      </c>
      <c r="I63" s="490">
        <f t="shared" ref="I63" si="53">+SUM(I64:I68)</f>
        <v>4</v>
      </c>
      <c r="J63" s="490">
        <f t="shared" ref="J63" si="54">+SUM(J64:J68)</f>
        <v>0</v>
      </c>
      <c r="K63" s="490">
        <f t="shared" ref="K63" si="55">+SUM(K64:K68)</f>
        <v>0</v>
      </c>
      <c r="L63" s="490">
        <f t="shared" ref="L63" si="56">+SUM(L64:L68)</f>
        <v>0</v>
      </c>
      <c r="M63" s="490">
        <f t="shared" ref="M63" si="57">+SUM(M64:M68)</f>
        <v>0</v>
      </c>
      <c r="N63" s="490">
        <f t="shared" ref="N63" si="58">+SUM(N64:N68)</f>
        <v>0</v>
      </c>
      <c r="O63" s="490">
        <f t="shared" ref="O63" si="59">+SUM(O64:O68)</f>
        <v>0</v>
      </c>
      <c r="P63" s="490">
        <f t="shared" ref="P63" si="60">+SUM(P64:P68)</f>
        <v>0</v>
      </c>
      <c r="Q63" s="490">
        <f t="shared" ref="Q63" si="61">+SUM(Q64:Q68)</f>
        <v>0</v>
      </c>
      <c r="R63" s="490">
        <f t="shared" ref="R63" si="62">+SUM(R64:R68)</f>
        <v>0</v>
      </c>
      <c r="S63" s="490">
        <f t="shared" ref="S63" si="63">+SUM(S64:S68)</f>
        <v>0</v>
      </c>
      <c r="T63" s="490">
        <f t="shared" ref="T63" si="64">+SUM(T64:T68)</f>
        <v>0</v>
      </c>
      <c r="U63" s="490">
        <f t="shared" ref="U63" si="65">+SUM(U64:U68)</f>
        <v>0</v>
      </c>
      <c r="V63" s="490">
        <f t="shared" ref="V63" si="66">+SUM(V64:V68)</f>
        <v>0</v>
      </c>
      <c r="W63" s="490">
        <f t="shared" ref="W63" si="67">+SUM(W64:W68)</f>
        <v>1</v>
      </c>
      <c r="X63" s="490">
        <f t="shared" ref="X63" si="68">+SUM(X64:X68)</f>
        <v>0</v>
      </c>
      <c r="Y63" s="490">
        <f t="shared" ref="Y63" si="69">+SUM(Y64:Y68)</f>
        <v>0</v>
      </c>
    </row>
    <row r="64" spans="1:25" hidden="1" outlineLevel="1" x14ac:dyDescent="0.2">
      <c r="A64" s="478"/>
      <c r="B64" s="245"/>
      <c r="C64" s="270" t="s">
        <v>423</v>
      </c>
      <c r="D64" s="245" t="s">
        <v>638</v>
      </c>
      <c r="E64" s="500"/>
      <c r="F64" s="271"/>
      <c r="G64" s="271"/>
      <c r="H64" s="271"/>
      <c r="I64" s="271">
        <v>3</v>
      </c>
      <c r="J64" s="287"/>
      <c r="K64" s="486"/>
      <c r="L64" s="467"/>
      <c r="M64" s="467"/>
      <c r="N64" s="467"/>
      <c r="O64" s="487"/>
      <c r="P64" s="486"/>
      <c r="Q64" s="467"/>
      <c r="R64" s="467"/>
      <c r="S64" s="467"/>
      <c r="T64" s="487"/>
      <c r="U64" s="486"/>
      <c r="V64" s="467"/>
      <c r="W64" s="467"/>
      <c r="X64" s="467"/>
      <c r="Y64" s="487"/>
    </row>
    <row r="65" spans="1:25" hidden="1" outlineLevel="1" x14ac:dyDescent="0.2">
      <c r="A65" s="478"/>
      <c r="B65" s="245"/>
      <c r="C65" s="270" t="s">
        <v>425</v>
      </c>
      <c r="D65" s="245" t="s">
        <v>639</v>
      </c>
      <c r="E65" s="500"/>
      <c r="F65" s="493">
        <v>1</v>
      </c>
      <c r="G65" s="271"/>
      <c r="H65" s="271"/>
      <c r="I65" s="271"/>
      <c r="J65" s="287"/>
      <c r="K65" s="486"/>
      <c r="L65" s="467"/>
      <c r="M65" s="467"/>
      <c r="N65" s="467"/>
      <c r="O65" s="487"/>
      <c r="P65" s="486"/>
      <c r="Q65" s="467"/>
      <c r="R65" s="467"/>
      <c r="S65" s="467"/>
      <c r="T65" s="487"/>
      <c r="U65" s="486"/>
      <c r="V65" s="467"/>
      <c r="W65" s="467"/>
      <c r="X65" s="467"/>
      <c r="Y65" s="487"/>
    </row>
    <row r="66" spans="1:25" hidden="1" outlineLevel="1" x14ac:dyDescent="0.2">
      <c r="A66" s="478"/>
      <c r="B66" s="245"/>
      <c r="C66" s="270" t="s">
        <v>427</v>
      </c>
      <c r="D66" s="245" t="s">
        <v>640</v>
      </c>
      <c r="E66" s="500"/>
      <c r="F66" s="493"/>
      <c r="G66" s="271"/>
      <c r="H66" s="271">
        <v>2</v>
      </c>
      <c r="I66" s="271"/>
      <c r="J66" s="287"/>
      <c r="K66" s="486"/>
      <c r="L66" s="467"/>
      <c r="M66" s="467"/>
      <c r="N66" s="467"/>
      <c r="O66" s="487"/>
      <c r="P66" s="486"/>
      <c r="Q66" s="467"/>
      <c r="R66" s="467"/>
      <c r="S66" s="467"/>
      <c r="T66" s="487"/>
      <c r="U66" s="486"/>
      <c r="V66" s="467"/>
      <c r="W66" s="467"/>
      <c r="X66" s="467"/>
      <c r="Y66" s="487"/>
    </row>
    <row r="67" spans="1:25" hidden="1" outlineLevel="1" x14ac:dyDescent="0.2">
      <c r="A67" s="505"/>
      <c r="B67" s="506"/>
      <c r="C67" s="507"/>
      <c r="D67" s="506" t="s">
        <v>641</v>
      </c>
      <c r="E67" s="508"/>
      <c r="F67" s="513"/>
      <c r="G67" s="271"/>
      <c r="H67" s="514"/>
      <c r="I67" s="514">
        <v>1</v>
      </c>
      <c r="J67" s="518"/>
      <c r="K67" s="512"/>
      <c r="L67" s="510"/>
      <c r="M67" s="510"/>
      <c r="N67" s="510"/>
      <c r="O67" s="511"/>
      <c r="P67" s="512"/>
      <c r="Q67" s="510"/>
      <c r="R67" s="510"/>
      <c r="S67" s="510"/>
      <c r="T67" s="511"/>
      <c r="U67" s="512"/>
      <c r="V67" s="510"/>
      <c r="W67" s="510"/>
      <c r="X67" s="510"/>
      <c r="Y67" s="511"/>
    </row>
    <row r="68" spans="1:25" ht="16" hidden="1" outlineLevel="1" thickBot="1" x14ac:dyDescent="0.25">
      <c r="A68" s="505"/>
      <c r="B68" s="506"/>
      <c r="C68" s="507" t="s">
        <v>429</v>
      </c>
      <c r="D68" s="506"/>
      <c r="E68" s="508"/>
      <c r="F68" s="521"/>
      <c r="G68" s="506"/>
      <c r="H68" s="506"/>
      <c r="I68" s="506"/>
      <c r="J68" s="508"/>
      <c r="K68" s="512"/>
      <c r="L68" s="510"/>
      <c r="M68" s="510"/>
      <c r="N68" s="510"/>
      <c r="O68" s="511"/>
      <c r="P68" s="512"/>
      <c r="Q68" s="510"/>
      <c r="R68" s="510"/>
      <c r="S68" s="510"/>
      <c r="T68" s="511"/>
      <c r="U68" s="512"/>
      <c r="V68" s="510"/>
      <c r="W68" s="510">
        <v>1</v>
      </c>
      <c r="X68" s="510"/>
      <c r="Y68" s="511"/>
    </row>
    <row r="69" spans="1:25" collapsed="1" x14ac:dyDescent="0.2">
      <c r="A69" s="475">
        <v>11</v>
      </c>
      <c r="B69" s="476" t="s">
        <v>43</v>
      </c>
      <c r="C69" s="476"/>
      <c r="D69" s="477" t="s">
        <v>512</v>
      </c>
      <c r="E69" s="499"/>
      <c r="F69" s="490">
        <f>+SUM(F70:F81)</f>
        <v>0</v>
      </c>
      <c r="G69" s="490">
        <f t="shared" ref="G69:Y69" si="70">+SUM(G70:G81)</f>
        <v>1</v>
      </c>
      <c r="H69" s="490">
        <f t="shared" si="70"/>
        <v>6</v>
      </c>
      <c r="I69" s="490">
        <f t="shared" si="70"/>
        <v>4</v>
      </c>
      <c r="J69" s="490">
        <f t="shared" si="70"/>
        <v>0</v>
      </c>
      <c r="K69" s="490">
        <f t="shared" si="70"/>
        <v>0</v>
      </c>
      <c r="L69" s="490">
        <f t="shared" si="70"/>
        <v>0</v>
      </c>
      <c r="M69" s="490">
        <f t="shared" si="70"/>
        <v>0</v>
      </c>
      <c r="N69" s="490">
        <f t="shared" si="70"/>
        <v>0</v>
      </c>
      <c r="O69" s="490">
        <f t="shared" si="70"/>
        <v>0</v>
      </c>
      <c r="P69" s="490">
        <f t="shared" si="70"/>
        <v>0</v>
      </c>
      <c r="Q69" s="490">
        <f t="shared" si="70"/>
        <v>0</v>
      </c>
      <c r="R69" s="490">
        <f t="shared" si="70"/>
        <v>0</v>
      </c>
      <c r="S69" s="490">
        <f t="shared" si="70"/>
        <v>0</v>
      </c>
      <c r="T69" s="490">
        <f t="shared" si="70"/>
        <v>0</v>
      </c>
      <c r="U69" s="490">
        <f t="shared" si="70"/>
        <v>0</v>
      </c>
      <c r="V69" s="490">
        <f t="shared" si="70"/>
        <v>0</v>
      </c>
      <c r="W69" s="490">
        <f t="shared" si="70"/>
        <v>0</v>
      </c>
      <c r="X69" s="490">
        <f t="shared" si="70"/>
        <v>0</v>
      </c>
      <c r="Y69" s="490">
        <f t="shared" si="70"/>
        <v>0</v>
      </c>
    </row>
    <row r="70" spans="1:25" hidden="1" outlineLevel="1" x14ac:dyDescent="0.2">
      <c r="A70" s="478"/>
      <c r="B70" s="245"/>
      <c r="C70" s="270" t="s">
        <v>423</v>
      </c>
      <c r="D70" s="245" t="s">
        <v>513</v>
      </c>
      <c r="E70" s="500"/>
      <c r="F70" s="478"/>
      <c r="G70" s="271"/>
      <c r="H70" s="271"/>
      <c r="I70" s="474">
        <v>3</v>
      </c>
      <c r="J70" s="287"/>
      <c r="K70" s="486"/>
      <c r="L70" s="467"/>
      <c r="M70" s="467"/>
      <c r="N70" s="467"/>
      <c r="O70" s="487"/>
      <c r="P70" s="486"/>
      <c r="Q70" s="467"/>
      <c r="R70" s="467"/>
      <c r="S70" s="467"/>
      <c r="T70" s="487"/>
      <c r="U70" s="486"/>
      <c r="V70" s="467"/>
      <c r="W70" s="467"/>
      <c r="X70" s="467"/>
      <c r="Y70" s="487"/>
    </row>
    <row r="71" spans="1:25" hidden="1" outlineLevel="1" x14ac:dyDescent="0.2">
      <c r="A71" s="478"/>
      <c r="B71" s="245"/>
      <c r="C71" s="270" t="s">
        <v>425</v>
      </c>
      <c r="D71" s="245" t="s">
        <v>642</v>
      </c>
      <c r="E71" s="500"/>
      <c r="F71" s="478"/>
      <c r="G71" s="271"/>
      <c r="H71" s="271"/>
      <c r="I71" s="474">
        <v>1</v>
      </c>
      <c r="J71" s="287"/>
      <c r="K71" s="486"/>
      <c r="L71" s="467"/>
      <c r="M71" s="467"/>
      <c r="N71" s="467"/>
      <c r="O71" s="487"/>
      <c r="P71" s="486"/>
      <c r="Q71" s="467"/>
      <c r="R71" s="467"/>
      <c r="S71" s="467"/>
      <c r="T71" s="487"/>
      <c r="U71" s="486"/>
      <c r="V71" s="467"/>
      <c r="W71" s="467"/>
      <c r="X71" s="467"/>
      <c r="Y71" s="487"/>
    </row>
    <row r="72" spans="1:25" hidden="1" outlineLevel="1" x14ac:dyDescent="0.2">
      <c r="A72" s="478"/>
      <c r="B72" s="245"/>
      <c r="C72" s="270" t="s">
        <v>427</v>
      </c>
      <c r="D72" s="245" t="s">
        <v>484</v>
      </c>
      <c r="E72" s="500"/>
      <c r="F72" s="478"/>
      <c r="G72" s="245"/>
      <c r="H72" s="271"/>
      <c r="I72" s="271"/>
      <c r="J72" s="287"/>
      <c r="K72" s="486"/>
      <c r="L72" s="467"/>
      <c r="M72" s="467"/>
      <c r="N72" s="467"/>
      <c r="O72" s="487"/>
      <c r="P72" s="486"/>
      <c r="Q72" s="467"/>
      <c r="R72" s="467"/>
      <c r="S72" s="467"/>
      <c r="T72" s="487"/>
      <c r="U72" s="486"/>
      <c r="V72" s="467"/>
      <c r="W72" s="467"/>
      <c r="X72" s="467"/>
      <c r="Y72" s="487"/>
    </row>
    <row r="73" spans="1:25" hidden="1" outlineLevel="1" x14ac:dyDescent="0.2">
      <c r="A73" s="478"/>
      <c r="B73" s="245"/>
      <c r="C73" s="270" t="s">
        <v>429</v>
      </c>
      <c r="D73" s="245" t="s">
        <v>643</v>
      </c>
      <c r="E73" s="500"/>
      <c r="F73" s="282"/>
      <c r="G73" s="245">
        <v>0.5</v>
      </c>
      <c r="H73" s="245"/>
      <c r="I73" s="245"/>
      <c r="J73" s="500"/>
      <c r="K73" s="486"/>
      <c r="L73" s="467"/>
      <c r="M73" s="467"/>
      <c r="N73" s="467"/>
      <c r="O73" s="487"/>
      <c r="P73" s="486"/>
      <c r="Q73" s="467"/>
      <c r="R73" s="467"/>
      <c r="S73" s="467"/>
      <c r="T73" s="487"/>
      <c r="U73" s="486"/>
      <c r="V73" s="467"/>
      <c r="W73" s="467"/>
      <c r="X73" s="467"/>
      <c r="Y73" s="487"/>
    </row>
    <row r="74" spans="1:25" hidden="1" outlineLevel="1" x14ac:dyDescent="0.2">
      <c r="A74" s="282"/>
      <c r="B74" s="245"/>
      <c r="C74" s="270" t="s">
        <v>431</v>
      </c>
      <c r="D74" s="245" t="s">
        <v>644</v>
      </c>
      <c r="E74" s="500"/>
      <c r="F74" s="478"/>
      <c r="G74" s="245">
        <v>0.5</v>
      </c>
      <c r="H74" s="271"/>
      <c r="I74" s="271"/>
      <c r="J74" s="287"/>
      <c r="K74" s="478"/>
      <c r="L74" s="271"/>
      <c r="M74" s="271"/>
      <c r="N74" s="271"/>
      <c r="O74" s="287"/>
      <c r="P74" s="478"/>
      <c r="Q74" s="271"/>
      <c r="R74" s="271"/>
      <c r="S74" s="271"/>
      <c r="T74" s="287"/>
      <c r="U74" s="478"/>
      <c r="V74" s="271"/>
      <c r="W74" s="271"/>
      <c r="X74" s="271"/>
      <c r="Y74" s="287"/>
    </row>
    <row r="75" spans="1:25" hidden="1" outlineLevel="1" x14ac:dyDescent="0.2">
      <c r="A75" s="282"/>
      <c r="B75" s="245"/>
      <c r="C75" s="270" t="s">
        <v>432</v>
      </c>
      <c r="D75" s="245" t="s">
        <v>645</v>
      </c>
      <c r="E75" s="500"/>
      <c r="F75" s="478"/>
      <c r="G75" s="271"/>
      <c r="H75" s="271">
        <v>3</v>
      </c>
      <c r="I75" s="271"/>
      <c r="J75" s="287"/>
      <c r="K75" s="478"/>
      <c r="L75" s="271"/>
      <c r="M75" s="271"/>
      <c r="N75" s="271"/>
      <c r="O75" s="287"/>
      <c r="P75" s="478"/>
      <c r="Q75" s="271"/>
      <c r="R75" s="271"/>
      <c r="S75" s="271"/>
      <c r="T75" s="287"/>
      <c r="U75" s="478"/>
      <c r="V75" s="271"/>
      <c r="W75" s="271"/>
      <c r="X75" s="271"/>
      <c r="Y75" s="287"/>
    </row>
    <row r="76" spans="1:25" hidden="1" outlineLevel="1" x14ac:dyDescent="0.2">
      <c r="A76" s="282"/>
      <c r="B76" s="245"/>
      <c r="C76" s="270" t="s">
        <v>433</v>
      </c>
      <c r="D76" s="245" t="s">
        <v>646</v>
      </c>
      <c r="E76" s="500"/>
      <c r="F76" s="478"/>
      <c r="G76" s="271"/>
      <c r="H76" s="271">
        <v>3</v>
      </c>
      <c r="I76" s="271"/>
      <c r="J76" s="287"/>
      <c r="K76" s="478"/>
      <c r="L76" s="271"/>
      <c r="M76" s="271"/>
      <c r="N76" s="271"/>
      <c r="O76" s="287"/>
      <c r="P76" s="478"/>
      <c r="Q76" s="271"/>
      <c r="R76" s="271"/>
      <c r="S76" s="271"/>
      <c r="T76" s="287"/>
      <c r="U76" s="478"/>
      <c r="V76" s="271"/>
      <c r="W76" s="271"/>
      <c r="X76" s="271"/>
      <c r="Y76" s="287"/>
    </row>
    <row r="77" spans="1:25" hidden="1" outlineLevel="1" x14ac:dyDescent="0.2">
      <c r="A77" s="282"/>
      <c r="B77" s="245"/>
      <c r="C77" s="270" t="s">
        <v>435</v>
      </c>
      <c r="D77" s="245"/>
      <c r="E77" s="500"/>
      <c r="F77" s="478"/>
      <c r="G77" s="271"/>
      <c r="H77" s="271"/>
      <c r="I77" s="271"/>
      <c r="J77" s="287"/>
      <c r="K77" s="478"/>
      <c r="L77" s="271"/>
      <c r="M77" s="271"/>
      <c r="N77" s="271"/>
      <c r="O77" s="287"/>
      <c r="P77" s="478"/>
      <c r="Q77" s="271"/>
      <c r="R77" s="271"/>
      <c r="S77" s="271"/>
      <c r="T77" s="287"/>
      <c r="U77" s="478"/>
      <c r="V77" s="271"/>
      <c r="W77" s="271"/>
      <c r="X77" s="271"/>
      <c r="Y77" s="287"/>
    </row>
    <row r="78" spans="1:25" hidden="1" outlineLevel="1" x14ac:dyDescent="0.2">
      <c r="A78" s="282"/>
      <c r="B78" s="245"/>
      <c r="C78" s="270" t="s">
        <v>478</v>
      </c>
      <c r="D78" s="245"/>
      <c r="E78" s="500"/>
      <c r="F78" s="478"/>
      <c r="G78" s="271"/>
      <c r="H78" s="271"/>
      <c r="I78" s="271"/>
      <c r="J78" s="287"/>
      <c r="K78" s="478"/>
      <c r="L78" s="271"/>
      <c r="M78" s="271"/>
      <c r="N78" s="271"/>
      <c r="O78" s="287"/>
      <c r="P78" s="478"/>
      <c r="Q78" s="271"/>
      <c r="R78" s="271"/>
      <c r="S78" s="271"/>
      <c r="T78" s="287"/>
      <c r="U78" s="478"/>
      <c r="V78" s="271"/>
      <c r="W78" s="271"/>
      <c r="X78" s="271"/>
      <c r="Y78" s="287"/>
    </row>
    <row r="79" spans="1:25" hidden="1" outlineLevel="1" x14ac:dyDescent="0.2">
      <c r="A79" s="282"/>
      <c r="B79" s="245"/>
      <c r="C79" s="270" t="s">
        <v>522</v>
      </c>
      <c r="D79" s="245"/>
      <c r="E79" s="500"/>
      <c r="F79" s="478"/>
      <c r="G79" s="271"/>
      <c r="H79" s="271"/>
      <c r="I79" s="271"/>
      <c r="J79" s="287"/>
      <c r="K79" s="478"/>
      <c r="L79" s="271"/>
      <c r="M79" s="271"/>
      <c r="N79" s="271"/>
      <c r="O79" s="287"/>
      <c r="P79" s="478"/>
      <c r="Q79" s="271"/>
      <c r="R79" s="271"/>
      <c r="S79" s="271"/>
      <c r="T79" s="287"/>
      <c r="U79" s="478"/>
      <c r="V79" s="271"/>
      <c r="W79" s="271"/>
      <c r="X79" s="271"/>
      <c r="Y79" s="287"/>
    </row>
    <row r="80" spans="1:25" hidden="1" outlineLevel="1" x14ac:dyDescent="0.2">
      <c r="A80" s="282"/>
      <c r="B80" s="245"/>
      <c r="C80" s="270" t="s">
        <v>523</v>
      </c>
      <c r="D80" s="245"/>
      <c r="E80" s="500"/>
      <c r="F80" s="478"/>
      <c r="G80" s="271"/>
      <c r="H80" s="271"/>
      <c r="I80" s="271"/>
      <c r="J80" s="287"/>
      <c r="K80" s="478"/>
      <c r="L80" s="271"/>
      <c r="M80" s="271"/>
      <c r="N80" s="271"/>
      <c r="O80" s="287"/>
      <c r="P80" s="478"/>
      <c r="Q80" s="271"/>
      <c r="R80" s="271"/>
      <c r="S80" s="271"/>
      <c r="T80" s="287"/>
      <c r="U80" s="478"/>
      <c r="V80" s="271"/>
      <c r="W80" s="271"/>
      <c r="X80" s="271"/>
      <c r="Y80" s="287"/>
    </row>
    <row r="81" spans="1:25" ht="16" hidden="1" outlineLevel="1" thickBot="1" x14ac:dyDescent="0.25">
      <c r="A81" s="283"/>
      <c r="B81" s="468"/>
      <c r="C81" s="481" t="s">
        <v>524</v>
      </c>
      <c r="D81" s="468"/>
      <c r="E81" s="469"/>
      <c r="F81" s="479"/>
      <c r="G81" s="480"/>
      <c r="H81" s="480"/>
      <c r="I81" s="480"/>
      <c r="J81" s="288"/>
      <c r="K81" s="479"/>
      <c r="L81" s="480"/>
      <c r="M81" s="480"/>
      <c r="N81" s="480"/>
      <c r="O81" s="288"/>
      <c r="P81" s="479"/>
      <c r="Q81" s="480"/>
      <c r="R81" s="480"/>
      <c r="S81" s="480"/>
      <c r="T81" s="288"/>
      <c r="U81" s="479"/>
      <c r="V81" s="480"/>
      <c r="W81" s="480"/>
      <c r="X81" s="480"/>
      <c r="Y81" s="288"/>
    </row>
    <row r="82" spans="1:25" collapsed="1" x14ac:dyDescent="0.2">
      <c r="A82"/>
      <c r="B82" t="s">
        <v>48</v>
      </c>
      <c r="C82" t="s">
        <v>647</v>
      </c>
    </row>
    <row r="83" spans="1:25" x14ac:dyDescent="0.2">
      <c r="B83" t="s">
        <v>43</v>
      </c>
      <c r="C83" s="268" t="s">
        <v>250</v>
      </c>
      <c r="D83" t="s">
        <v>648</v>
      </c>
    </row>
    <row r="84" spans="1:25" x14ac:dyDescent="0.2">
      <c r="D84" t="s">
        <v>649</v>
      </c>
    </row>
    <row r="85" spans="1:25" x14ac:dyDescent="0.2">
      <c r="C85" s="268" t="s">
        <v>650</v>
      </c>
      <c r="D85" t="s">
        <v>651</v>
      </c>
      <c r="F85">
        <v>250</v>
      </c>
    </row>
    <row r="86" spans="1:25" x14ac:dyDescent="0.2">
      <c r="C86" t="s">
        <v>168</v>
      </c>
      <c r="D86" t="s">
        <v>652</v>
      </c>
      <c r="F86">
        <v>1200</v>
      </c>
    </row>
  </sheetData>
  <dataConsolidate/>
  <mergeCells count="4">
    <mergeCell ref="F3:J3"/>
    <mergeCell ref="K3:O3"/>
    <mergeCell ref="P3:T3"/>
    <mergeCell ref="U3:Y3"/>
  </mergeCells>
  <conditionalFormatting sqref="F75:J81 F41:Y44 F74 H74:J74">
    <cfRule type="colorScale" priority="30">
      <colorScale>
        <cfvo type="num" val="0"/>
        <cfvo type="num" val="10"/>
        <color theme="0"/>
        <color rgb="FF00B050"/>
      </colorScale>
    </cfRule>
  </conditionalFormatting>
  <conditionalFormatting sqref="F6:Y13">
    <cfRule type="colorScale" priority="25">
      <colorScale>
        <cfvo type="num" val="0"/>
        <cfvo type="num" val="10"/>
        <color theme="0"/>
        <color rgb="FF00B050"/>
      </colorScale>
    </cfRule>
  </conditionalFormatting>
  <conditionalFormatting sqref="F15:Y19 F46:Y48 F59:Y62 F28:Y33 F35:Y39 F54:Y57 F70:Y73 F21:Y26 F64:Y68 F50:Y52">
    <cfRule type="colorScale" priority="31">
      <colorScale>
        <cfvo type="num" val="0"/>
        <cfvo type="num" val="10"/>
        <color theme="0"/>
        <color rgb="FF00B050"/>
      </colorScale>
    </cfRule>
  </conditionalFormatting>
  <conditionalFormatting sqref="G74">
    <cfRule type="colorScale" priority="1">
      <colorScale>
        <cfvo type="num" val="0"/>
        <cfvo type="num" val="10"/>
        <color theme="0"/>
        <color rgb="FF00B050"/>
      </colorScale>
    </cfRule>
  </conditionalFormatting>
  <conditionalFormatting sqref="K74:O81">
    <cfRule type="colorScale" priority="29">
      <colorScale>
        <cfvo type="num" val="0"/>
        <cfvo type="num" val="10"/>
        <color theme="0"/>
        <color rgb="FF00B050"/>
      </colorScale>
    </cfRule>
  </conditionalFormatting>
  <conditionalFormatting sqref="P74:T81">
    <cfRule type="colorScale" priority="28">
      <colorScale>
        <cfvo type="num" val="0"/>
        <cfvo type="num" val="10"/>
        <color theme="0"/>
        <color rgb="FF00B050"/>
      </colorScale>
    </cfRule>
  </conditionalFormatting>
  <conditionalFormatting sqref="U74:Y81">
    <cfRule type="colorScale" priority="27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0EC8-CE01-4B47-BA01-E812F16612F6}">
  <dimension ref="E6:J24"/>
  <sheetViews>
    <sheetView topLeftCell="A4" zoomScale="110" zoomScaleNormal="110" workbookViewId="0">
      <selection activeCell="C28" sqref="C28"/>
    </sheetView>
  </sheetViews>
  <sheetFormatPr baseColWidth="10" defaultColWidth="11.5" defaultRowHeight="15" x14ac:dyDescent="0.2"/>
  <cols>
    <col min="5" max="5" width="65" bestFit="1" customWidth="1"/>
  </cols>
  <sheetData>
    <row r="6" spans="5:10" ht="16" thickBot="1" x14ac:dyDescent="0.25"/>
    <row r="7" spans="5:10" ht="16" thickBot="1" x14ac:dyDescent="0.25">
      <c r="F7" s="470" t="s">
        <v>416</v>
      </c>
      <c r="G7" s="471" t="s">
        <v>417</v>
      </c>
      <c r="H7" s="471" t="s">
        <v>418</v>
      </c>
      <c r="I7" s="471" t="s">
        <v>419</v>
      </c>
      <c r="J7" s="473" t="s">
        <v>420</v>
      </c>
    </row>
    <row r="8" spans="5:10" x14ac:dyDescent="0.2">
      <c r="F8" s="482">
        <f>+SUM(F9:F24)</f>
        <v>2.5</v>
      </c>
      <c r="G8" s="482">
        <f>+SUM(G9:G24)</f>
        <v>7</v>
      </c>
      <c r="H8" s="482">
        <f>+SUM(H9:H24)</f>
        <v>3</v>
      </c>
      <c r="I8" s="482">
        <f>+SUM(I9:I24)</f>
        <v>8</v>
      </c>
      <c r="J8" s="495">
        <f>+SUM(J9:J24)</f>
        <v>2</v>
      </c>
    </row>
    <row r="9" spans="5:10" x14ac:dyDescent="0.2">
      <c r="E9" s="245" t="s">
        <v>653</v>
      </c>
      <c r="F9" s="467">
        <v>1</v>
      </c>
      <c r="G9" s="467"/>
      <c r="H9" s="467"/>
      <c r="I9" s="467"/>
      <c r="J9" s="467"/>
    </row>
    <row r="10" spans="5:10" x14ac:dyDescent="0.2">
      <c r="E10" s="245" t="s">
        <v>654</v>
      </c>
      <c r="F10" s="467">
        <v>0.5</v>
      </c>
      <c r="G10" s="467"/>
      <c r="H10" s="467"/>
      <c r="I10" s="467"/>
      <c r="J10" s="467"/>
    </row>
    <row r="11" spans="5:10" x14ac:dyDescent="0.2">
      <c r="E11" s="245" t="s">
        <v>655</v>
      </c>
      <c r="F11" s="245"/>
      <c r="G11" s="245">
        <v>5</v>
      </c>
      <c r="H11" s="245"/>
      <c r="I11" s="245"/>
      <c r="J11" s="245"/>
    </row>
    <row r="12" spans="5:10" x14ac:dyDescent="0.2">
      <c r="E12" s="245" t="s">
        <v>469</v>
      </c>
      <c r="F12" s="245"/>
      <c r="G12" s="245"/>
      <c r="H12" s="245">
        <v>1</v>
      </c>
      <c r="I12" s="245"/>
      <c r="J12" s="245"/>
    </row>
    <row r="13" spans="5:10" x14ac:dyDescent="0.2">
      <c r="E13" s="245" t="s">
        <v>656</v>
      </c>
      <c r="F13" s="245"/>
      <c r="G13" s="245"/>
      <c r="H13" s="245"/>
      <c r="I13" s="245">
        <v>8</v>
      </c>
      <c r="J13" s="245"/>
    </row>
    <row r="14" spans="5:10" x14ac:dyDescent="0.2">
      <c r="E14" s="245" t="s">
        <v>469</v>
      </c>
      <c r="F14" s="245"/>
      <c r="G14" s="245"/>
      <c r="H14" s="245"/>
      <c r="I14" s="245"/>
      <c r="J14" s="245">
        <v>0.5</v>
      </c>
    </row>
    <row r="15" spans="5:10" x14ac:dyDescent="0.2">
      <c r="E15" s="245" t="s">
        <v>657</v>
      </c>
      <c r="F15" s="245"/>
      <c r="G15" s="245"/>
      <c r="H15" s="245"/>
      <c r="I15" s="245"/>
      <c r="J15" s="245">
        <v>1</v>
      </c>
    </row>
    <row r="16" spans="5:10" x14ac:dyDescent="0.2">
      <c r="E16" s="245" t="s">
        <v>658</v>
      </c>
      <c r="F16" s="245"/>
      <c r="G16" s="245"/>
      <c r="H16" s="245"/>
      <c r="I16" s="245"/>
      <c r="J16" s="245">
        <v>0.5</v>
      </c>
    </row>
    <row r="18" spans="5:10" x14ac:dyDescent="0.2">
      <c r="E18" s="245" t="s">
        <v>446</v>
      </c>
      <c r="F18" s="491">
        <v>1</v>
      </c>
      <c r="G18" s="460"/>
      <c r="H18" s="467"/>
      <c r="I18" s="467"/>
      <c r="J18" s="487"/>
    </row>
    <row r="19" spans="5:10" x14ac:dyDescent="0.2">
      <c r="E19" s="245" t="s">
        <v>447</v>
      </c>
      <c r="F19" s="491"/>
      <c r="G19" s="467"/>
      <c r="H19" s="267">
        <v>1</v>
      </c>
      <c r="I19" s="467"/>
      <c r="J19" s="487"/>
    </row>
    <row r="20" spans="5:10" x14ac:dyDescent="0.2">
      <c r="E20" s="245" t="s">
        <v>469</v>
      </c>
      <c r="F20" s="491"/>
      <c r="G20" s="467"/>
      <c r="H20" s="267">
        <v>1</v>
      </c>
      <c r="I20" s="467"/>
      <c r="J20" s="487"/>
    </row>
    <row r="21" spans="5:10" x14ac:dyDescent="0.2">
      <c r="E21" s="245" t="s">
        <v>448</v>
      </c>
      <c r="F21" s="512"/>
      <c r="G21" s="510"/>
      <c r="H21" s="524"/>
      <c r="I21" s="510"/>
      <c r="J21" s="511"/>
    </row>
    <row r="22" spans="5:10" x14ac:dyDescent="0.2">
      <c r="E22" s="245" t="s">
        <v>469</v>
      </c>
      <c r="F22" s="512"/>
      <c r="G22" s="510"/>
      <c r="H22" s="524"/>
      <c r="I22" s="510"/>
      <c r="J22" s="511"/>
    </row>
    <row r="23" spans="5:10" ht="16" thickBot="1" x14ac:dyDescent="0.25">
      <c r="E23" s="468" t="s">
        <v>449</v>
      </c>
      <c r="F23" s="512"/>
      <c r="G23" s="510">
        <v>2</v>
      </c>
      <c r="H23" s="524"/>
      <c r="I23" s="510"/>
      <c r="J23" s="511"/>
    </row>
    <row r="24" spans="5:10" x14ac:dyDescent="0.2">
      <c r="F24" s="512"/>
      <c r="G24" s="510"/>
      <c r="H24" s="510"/>
      <c r="I24" s="510"/>
      <c r="J24" s="511"/>
    </row>
  </sheetData>
  <conditionalFormatting sqref="F9:J10 F18:J24">
    <cfRule type="colorScale" priority="1">
      <colorScale>
        <cfvo type="num" val="0"/>
        <cfvo type="num" val="10"/>
        <color theme="0"/>
        <color rgb="FF00B05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61C4-C036-4B1B-870A-13C18D3D60F0}">
  <dimension ref="A1:AB289"/>
  <sheetViews>
    <sheetView zoomScale="78" workbookViewId="0">
      <selection activeCell="D21" sqref="D21"/>
    </sheetView>
  </sheetViews>
  <sheetFormatPr baseColWidth="10" defaultColWidth="11.5" defaultRowHeight="14" x14ac:dyDescent="0.2"/>
  <cols>
    <col min="1" max="1" width="24.6640625" style="316" bestFit="1" customWidth="1"/>
    <col min="2" max="2" width="53.33203125" style="316" bestFit="1" customWidth="1"/>
    <col min="3" max="3" width="6.1640625" style="316" bestFit="1" customWidth="1"/>
    <col min="4" max="4" width="56.5" style="316" bestFit="1" customWidth="1"/>
    <col min="5" max="5" width="16.83203125" style="316" bestFit="1" customWidth="1"/>
    <col min="6" max="6" width="12.1640625" style="316" bestFit="1" customWidth="1"/>
    <col min="7" max="7" width="13.5" style="323" bestFit="1" customWidth="1"/>
    <col min="8" max="8" width="13" style="316" bestFit="1" customWidth="1"/>
    <col min="9" max="9" width="12.6640625" style="321" bestFit="1" customWidth="1"/>
    <col min="10" max="10" width="12.6640625" style="321" customWidth="1"/>
    <col min="11" max="11" width="12.6640625" style="321" bestFit="1" customWidth="1"/>
    <col min="12" max="16384" width="11.5" style="316"/>
  </cols>
  <sheetData>
    <row r="1" spans="1:28" ht="28" x14ac:dyDescent="0.2">
      <c r="A1" s="313" t="s">
        <v>659</v>
      </c>
      <c r="B1" s="313" t="s">
        <v>660</v>
      </c>
      <c r="C1" s="313" t="s">
        <v>661</v>
      </c>
      <c r="D1" s="313" t="s">
        <v>662</v>
      </c>
      <c r="E1" s="313" t="s">
        <v>663</v>
      </c>
      <c r="F1" s="313" t="s">
        <v>664</v>
      </c>
      <c r="G1" s="313" t="s">
        <v>665</v>
      </c>
      <c r="H1" s="314" t="s">
        <v>666</v>
      </c>
      <c r="I1" s="315" t="s">
        <v>667</v>
      </c>
      <c r="J1" s="315" t="s">
        <v>668</v>
      </c>
      <c r="K1" s="315" t="s">
        <v>669</v>
      </c>
      <c r="L1" s="325" t="s">
        <v>670</v>
      </c>
      <c r="M1" s="325" t="s">
        <v>671</v>
      </c>
      <c r="N1" s="335" t="s">
        <v>672</v>
      </c>
      <c r="O1" s="348"/>
      <c r="P1" s="339" t="s">
        <v>673</v>
      </c>
      <c r="Q1" s="330">
        <v>45292</v>
      </c>
      <c r="R1" s="330">
        <v>45323</v>
      </c>
      <c r="S1" s="340">
        <v>45352</v>
      </c>
      <c r="T1" s="340">
        <v>45383</v>
      </c>
      <c r="U1" s="341">
        <v>45413</v>
      </c>
      <c r="V1" s="340">
        <v>45444</v>
      </c>
      <c r="W1" s="342">
        <v>45474</v>
      </c>
      <c r="X1" s="336">
        <v>45505</v>
      </c>
      <c r="Y1" s="205">
        <v>45536</v>
      </c>
      <c r="Z1" s="205">
        <v>45566</v>
      </c>
      <c r="AA1" s="205">
        <v>45597</v>
      </c>
      <c r="AB1" s="205">
        <v>45627</v>
      </c>
    </row>
    <row r="2" spans="1:28" x14ac:dyDescent="0.2">
      <c r="A2" s="316" t="s">
        <v>674</v>
      </c>
      <c r="B2" s="316" t="s">
        <v>675</v>
      </c>
      <c r="C2" s="316" t="s">
        <v>46</v>
      </c>
      <c r="D2" s="322" t="s">
        <v>676</v>
      </c>
      <c r="E2" s="316" t="s">
        <v>677</v>
      </c>
      <c r="F2" s="316" t="s">
        <v>678</v>
      </c>
      <c r="G2" s="317">
        <v>1</v>
      </c>
      <c r="H2" s="318">
        <v>160000</v>
      </c>
      <c r="I2" s="321">
        <v>45229</v>
      </c>
      <c r="J2" s="321">
        <f>+I2+2</f>
        <v>45231</v>
      </c>
      <c r="K2" s="321">
        <v>45439</v>
      </c>
      <c r="L2" s="324">
        <v>7</v>
      </c>
      <c r="M2" s="326">
        <f>+H2/L2</f>
        <v>22857.142857142859</v>
      </c>
      <c r="N2" s="334">
        <f>+H2-P2</f>
        <v>160000</v>
      </c>
      <c r="O2" s="334">
        <f t="shared" ref="O2:O15" si="0">+H2-(P2+SUM(Q2:W2))</f>
        <v>0</v>
      </c>
      <c r="P2" s="343">
        <v>0</v>
      </c>
      <c r="Q2" s="332">
        <f>+_xlfn.XLOOKUP($A2,Hoja1!$A:$A,Hoja1!Z:Z)</f>
        <v>0</v>
      </c>
      <c r="R2" s="332">
        <f>+_xlfn.XLOOKUP($A2,Hoja1!$A:$A,Hoja1!AA:AA)</f>
        <v>72174</v>
      </c>
      <c r="S2" s="332">
        <f>+_xlfn.XLOOKUP($A2,Hoja1!$A:$A,Hoja1!AB:AB)</f>
        <v>29275.333333333332</v>
      </c>
      <c r="T2" s="332">
        <f>+_xlfn.XLOOKUP($A2,Hoja1!$A:$A,Hoja1!AC:AC)</f>
        <v>29275.333333333332</v>
      </c>
      <c r="U2" s="332">
        <f>+_xlfn.XLOOKUP($A2,Hoja1!$A:$A,Hoja1!AD:AD)</f>
        <v>29275.333333333332</v>
      </c>
      <c r="V2" s="332">
        <f>+_xlfn.XLOOKUP($A2,Hoja1!$A:$A,Hoja1!AE:AE)</f>
        <v>0</v>
      </c>
      <c r="W2" s="344">
        <f>+_xlfn.XLOOKUP($A2,Hoja1!$A:$A,Hoja1!AF:AF)</f>
        <v>0</v>
      </c>
      <c r="X2" s="337">
        <f>+_xlfn.XLOOKUP($A2,Hoja1!$A:$A,Hoja1!AG:AG)</f>
        <v>0</v>
      </c>
      <c r="Y2" s="331">
        <f>+_xlfn.XLOOKUP($A2,Hoja1!$A:$A,Hoja1!AH:AH)</f>
        <v>0</v>
      </c>
      <c r="Z2" s="331">
        <f>+_xlfn.XLOOKUP($A2,Hoja1!$A:$A,Hoja1!AI:AI)</f>
        <v>0</v>
      </c>
      <c r="AA2" s="331">
        <f>+_xlfn.XLOOKUP($A2,Hoja1!$A:$A,Hoja1!AJ:AJ)</f>
        <v>0</v>
      </c>
      <c r="AB2" s="331">
        <f>+_xlfn.XLOOKUP($A2,Hoja1!$A:$A,Hoja1!AK:AK)</f>
        <v>0</v>
      </c>
    </row>
    <row r="3" spans="1:28" x14ac:dyDescent="0.2">
      <c r="A3" s="316" t="s">
        <v>679</v>
      </c>
      <c r="B3" s="316" t="s">
        <v>680</v>
      </c>
      <c r="C3" s="316" t="s">
        <v>46</v>
      </c>
      <c r="D3" s="316" t="s">
        <v>680</v>
      </c>
      <c r="E3" s="316" t="s">
        <v>681</v>
      </c>
      <c r="F3" s="316" t="s">
        <v>678</v>
      </c>
      <c r="G3" s="317">
        <v>1</v>
      </c>
      <c r="H3" s="319">
        <v>917313</v>
      </c>
      <c r="I3" s="321">
        <v>45201</v>
      </c>
      <c r="J3" s="321">
        <f t="shared" ref="J3:J16" si="1">+I3+2</f>
        <v>45203</v>
      </c>
      <c r="K3" s="321">
        <v>45488</v>
      </c>
      <c r="L3" s="324">
        <v>9.5666666666666664</v>
      </c>
      <c r="M3" s="326">
        <f t="shared" ref="M3:M16" si="2">+H3/L3</f>
        <v>95886.376306620208</v>
      </c>
      <c r="N3" s="334">
        <f t="shared" ref="N3:N16" si="3">+H3-P3</f>
        <v>825582</v>
      </c>
      <c r="O3" s="334">
        <f t="shared" si="0"/>
        <v>0</v>
      </c>
      <c r="P3" s="343">
        <v>91731</v>
      </c>
      <c r="Q3" s="332">
        <f>+_xlfn.XLOOKUP($A3,Hoja1!$A:$A,Hoja1!Z:Z)</f>
        <v>100441</v>
      </c>
      <c r="R3" s="332">
        <f>+_xlfn.XLOOKUP($A3,Hoja1!$A:$A,Hoja1!AA:AA)</f>
        <v>29776</v>
      </c>
      <c r="S3" s="332">
        <f>+_xlfn.XLOOKUP($A3,Hoja1!$A:$A,Hoja1!AB:AB)</f>
        <v>70005</v>
      </c>
      <c r="T3" s="332">
        <f>+_xlfn.XLOOKUP($A3,Hoja1!$A:$A,Hoja1!AC:AC)</f>
        <v>201211.33333333334</v>
      </c>
      <c r="U3" s="332">
        <f>+_xlfn.XLOOKUP($A3,Hoja1!$A:$A,Hoja1!AD:AD)</f>
        <v>201211.33333333334</v>
      </c>
      <c r="V3" s="332">
        <f>+H3-(SUM(P3:U3))</f>
        <v>222937.33333333326</v>
      </c>
      <c r="W3" s="344">
        <f>+_xlfn.XLOOKUP($A3,Hoja1!$A:$A,Hoja1!AF:AF)</f>
        <v>0</v>
      </c>
      <c r="X3" s="337">
        <f>+_xlfn.XLOOKUP($A3,Hoja1!$A:$A,Hoja1!AG:AG)</f>
        <v>0</v>
      </c>
      <c r="Y3" s="331">
        <f>+_xlfn.XLOOKUP($A3,Hoja1!$A:$A,Hoja1!AH:AH)</f>
        <v>0</v>
      </c>
      <c r="Z3" s="331">
        <f>+_xlfn.XLOOKUP($A3,Hoja1!$A:$A,Hoja1!AI:AI)</f>
        <v>0</v>
      </c>
      <c r="AA3" s="331">
        <f>+_xlfn.XLOOKUP($A3,Hoja1!$A:$A,Hoja1!AJ:AJ)</f>
        <v>0</v>
      </c>
      <c r="AB3" s="331">
        <f>+_xlfn.XLOOKUP($A3,Hoja1!$A:$A,Hoja1!AK:AK)</f>
        <v>0</v>
      </c>
    </row>
    <row r="4" spans="1:28" x14ac:dyDescent="0.2">
      <c r="A4" s="316" t="s">
        <v>682</v>
      </c>
      <c r="B4" s="316" t="s">
        <v>683</v>
      </c>
      <c r="C4" s="316" t="s">
        <v>45</v>
      </c>
      <c r="D4" s="316" t="s">
        <v>330</v>
      </c>
      <c r="E4" s="316" t="s">
        <v>195</v>
      </c>
      <c r="F4" s="316" t="s">
        <v>678</v>
      </c>
      <c r="G4" s="317">
        <v>1</v>
      </c>
      <c r="H4" s="319">
        <v>555021</v>
      </c>
      <c r="I4" s="321">
        <v>44984</v>
      </c>
      <c r="J4" s="321">
        <f t="shared" si="1"/>
        <v>44986</v>
      </c>
      <c r="K4" s="321">
        <v>45383</v>
      </c>
      <c r="L4" s="324">
        <v>13.3</v>
      </c>
      <c r="M4" s="326">
        <f t="shared" si="2"/>
        <v>41730.902255639092</v>
      </c>
      <c r="N4" s="334">
        <f t="shared" si="3"/>
        <v>362437</v>
      </c>
      <c r="O4" s="334">
        <f t="shared" si="0"/>
        <v>0</v>
      </c>
      <c r="P4" s="343">
        <v>192584</v>
      </c>
      <c r="Q4" s="332">
        <f>+_xlfn.XLOOKUP($A4,Hoja1!$A:$A,Hoja1!Z:Z)</f>
        <v>155916</v>
      </c>
      <c r="R4" s="332">
        <f>+_xlfn.XLOOKUP($A4,Hoja1!$A:$A,Hoja1!AA:AA)</f>
        <v>11081</v>
      </c>
      <c r="S4" s="332">
        <f>+_xlfn.XLOOKUP($A4,Hoja1!$A:$A,Hoja1!AB:AB)</f>
        <v>65146.666666666664</v>
      </c>
      <c r="T4" s="332">
        <f>+_xlfn.XLOOKUP($A4,Hoja1!$A:$A,Hoja1!AC:AC)</f>
        <v>65146.666666666664</v>
      </c>
      <c r="U4" s="332">
        <f>+_xlfn.XLOOKUP($A4,Hoja1!$A:$A,Hoja1!AD:AD)</f>
        <v>65146.666666666664</v>
      </c>
      <c r="V4" s="332">
        <f>+_xlfn.XLOOKUP($A4,Hoja1!$A:$A,Hoja1!AE:AE)</f>
        <v>0</v>
      </c>
      <c r="W4" s="344">
        <f>+_xlfn.XLOOKUP($A4,Hoja1!$A:$A,Hoja1!AF:AF)</f>
        <v>0</v>
      </c>
      <c r="X4" s="337">
        <f>+_xlfn.XLOOKUP($A4,Hoja1!$A:$A,Hoja1!AG:AG)</f>
        <v>0</v>
      </c>
      <c r="Y4" s="331">
        <f>+_xlfn.XLOOKUP($A4,Hoja1!$A:$A,Hoja1!AH:AH)</f>
        <v>0</v>
      </c>
      <c r="Z4" s="331">
        <f>+_xlfn.XLOOKUP($A4,Hoja1!$A:$A,Hoja1!AI:AI)</f>
        <v>0</v>
      </c>
      <c r="AA4" s="331">
        <f>+_xlfn.XLOOKUP($A4,Hoja1!$A:$A,Hoja1!AJ:AJ)</f>
        <v>0</v>
      </c>
      <c r="AB4" s="331">
        <f>+_xlfn.XLOOKUP($A4,Hoja1!$A:$A,Hoja1!AK:AK)</f>
        <v>0</v>
      </c>
    </row>
    <row r="5" spans="1:28" x14ac:dyDescent="0.2">
      <c r="A5" s="316" t="s">
        <v>684</v>
      </c>
      <c r="B5" s="316" t="s">
        <v>685</v>
      </c>
      <c r="C5" s="316" t="s">
        <v>45</v>
      </c>
      <c r="D5" s="316" t="s">
        <v>686</v>
      </c>
      <c r="E5" s="316" t="s">
        <v>687</v>
      </c>
      <c r="F5" s="316" t="s">
        <v>678</v>
      </c>
      <c r="G5" s="317">
        <v>1</v>
      </c>
      <c r="H5" s="319">
        <v>203609</v>
      </c>
      <c r="I5" s="321">
        <v>45159</v>
      </c>
      <c r="J5" s="321">
        <f t="shared" si="1"/>
        <v>45161</v>
      </c>
      <c r="K5" s="321">
        <v>45292</v>
      </c>
      <c r="L5" s="324">
        <v>4.4333333333333336</v>
      </c>
      <c r="M5" s="326">
        <f t="shared" si="2"/>
        <v>45926.842105263153</v>
      </c>
      <c r="N5" s="334">
        <f t="shared" si="3"/>
        <v>192685</v>
      </c>
      <c r="O5" s="334">
        <f t="shared" si="0"/>
        <v>0</v>
      </c>
      <c r="P5" s="343">
        <v>10924</v>
      </c>
      <c r="Q5" s="332">
        <f>+_xlfn.XLOOKUP($A5,Hoja1!$A:$A,Hoja1!Z:Z)</f>
        <v>15096</v>
      </c>
      <c r="R5" s="332">
        <f>+_xlfn.XLOOKUP($A5,Hoja1!$A:$A,Hoja1!AA:AA)</f>
        <v>27426</v>
      </c>
      <c r="S5" s="332">
        <f>+_xlfn.XLOOKUP($A5,Hoja1!$A:$A,Hoja1!AB:AB)</f>
        <v>75081.5</v>
      </c>
      <c r="T5" s="332">
        <f>+_xlfn.XLOOKUP($A5,Hoja1!$A:$A,Hoja1!AC:AC)</f>
        <v>75081.5</v>
      </c>
      <c r="U5" s="332">
        <f>+_xlfn.XLOOKUP($A5,Hoja1!$A:$A,Hoja1!AD:AD)</f>
        <v>0</v>
      </c>
      <c r="V5" s="332">
        <f>+_xlfn.XLOOKUP($A5,Hoja1!$A:$A,Hoja1!AE:AE)</f>
        <v>0</v>
      </c>
      <c r="W5" s="344">
        <f>+_xlfn.XLOOKUP($A5,Hoja1!$A:$A,Hoja1!AF:AF)</f>
        <v>0</v>
      </c>
      <c r="X5" s="337">
        <f>+_xlfn.XLOOKUP($A5,Hoja1!$A:$A,Hoja1!AG:AG)</f>
        <v>0</v>
      </c>
      <c r="Y5" s="331">
        <f>+_xlfn.XLOOKUP($A5,Hoja1!$A:$A,Hoja1!AH:AH)</f>
        <v>0</v>
      </c>
      <c r="Z5" s="331">
        <f>+_xlfn.XLOOKUP($A5,Hoja1!$A:$A,Hoja1!AI:AI)</f>
        <v>0</v>
      </c>
      <c r="AA5" s="331">
        <f>+_xlfn.XLOOKUP($A5,Hoja1!$A:$A,Hoja1!AJ:AJ)</f>
        <v>0</v>
      </c>
      <c r="AB5" s="331">
        <f>+_xlfn.XLOOKUP($A5,Hoja1!$A:$A,Hoja1!AK:AK)</f>
        <v>0</v>
      </c>
    </row>
    <row r="6" spans="1:28" x14ac:dyDescent="0.2">
      <c r="A6" s="316" t="s">
        <v>688</v>
      </c>
      <c r="B6" s="316" t="s">
        <v>689</v>
      </c>
      <c r="C6" s="316" t="s">
        <v>45</v>
      </c>
      <c r="D6" s="316" t="s">
        <v>690</v>
      </c>
      <c r="E6" s="316" t="s">
        <v>195</v>
      </c>
      <c r="F6" s="316" t="s">
        <v>678</v>
      </c>
      <c r="G6" s="317">
        <v>1</v>
      </c>
      <c r="H6" s="318">
        <v>284633</v>
      </c>
      <c r="I6" s="321">
        <v>45138</v>
      </c>
      <c r="J6" s="321">
        <f t="shared" si="1"/>
        <v>45140</v>
      </c>
      <c r="K6" s="321">
        <v>45312</v>
      </c>
      <c r="L6" s="324">
        <v>5.8</v>
      </c>
      <c r="M6" s="326">
        <f t="shared" si="2"/>
        <v>49074.655172413797</v>
      </c>
      <c r="N6" s="334">
        <f t="shared" si="3"/>
        <v>284633</v>
      </c>
      <c r="O6" s="334">
        <f t="shared" si="0"/>
        <v>2846</v>
      </c>
      <c r="P6" s="343">
        <v>0</v>
      </c>
      <c r="Q6" s="332">
        <f>+_xlfn.XLOOKUP($A6,Hoja1!$A:$A,Hoja1!Z:Z)</f>
        <v>68185</v>
      </c>
      <c r="R6" s="332">
        <f>+_xlfn.XLOOKUP($A6,Hoja1!$A:$A,Hoja1!AA:AA)</f>
        <v>145213</v>
      </c>
      <c r="S6" s="332">
        <f>+_xlfn.XLOOKUP($A6,Hoja1!$A:$A,Hoja1!AB:AB)</f>
        <v>68389</v>
      </c>
      <c r="T6" s="332">
        <f>+_xlfn.XLOOKUP($A6,Hoja1!$A:$A,Hoja1!AC:AC)</f>
        <v>0</v>
      </c>
      <c r="U6" s="332">
        <f>+_xlfn.XLOOKUP($A6,Hoja1!$A:$A,Hoja1!AD:AD)</f>
        <v>0</v>
      </c>
      <c r="V6" s="332">
        <f>+_xlfn.XLOOKUP($A6,Hoja1!$A:$A,Hoja1!AE:AE)</f>
        <v>0</v>
      </c>
      <c r="W6" s="344">
        <f>+_xlfn.XLOOKUP($A6,Hoja1!$A:$A,Hoja1!AF:AF)</f>
        <v>0</v>
      </c>
      <c r="X6" s="337">
        <f>+_xlfn.XLOOKUP($A6,Hoja1!$A:$A,Hoja1!AG:AG)</f>
        <v>0</v>
      </c>
      <c r="Y6" s="331">
        <f>+_xlfn.XLOOKUP($A6,Hoja1!$A:$A,Hoja1!AH:AH)</f>
        <v>0</v>
      </c>
      <c r="Z6" s="331">
        <f>+_xlfn.XLOOKUP($A6,Hoja1!$A:$A,Hoja1!AI:AI)</f>
        <v>0</v>
      </c>
      <c r="AA6" s="331">
        <f>+_xlfn.XLOOKUP($A6,Hoja1!$A:$A,Hoja1!AJ:AJ)</f>
        <v>0</v>
      </c>
      <c r="AB6" s="331">
        <f>+_xlfn.XLOOKUP($A6,Hoja1!$A:$A,Hoja1!AK:AK)</f>
        <v>0</v>
      </c>
    </row>
    <row r="7" spans="1:28" x14ac:dyDescent="0.2">
      <c r="A7" s="316" t="s">
        <v>691</v>
      </c>
      <c r="B7" s="316" t="s">
        <v>692</v>
      </c>
      <c r="C7" s="316" t="s">
        <v>43</v>
      </c>
      <c r="D7" s="316" t="s">
        <v>693</v>
      </c>
      <c r="E7" s="316" t="s">
        <v>168</v>
      </c>
      <c r="F7" s="316" t="s">
        <v>678</v>
      </c>
      <c r="G7" s="317">
        <v>1</v>
      </c>
      <c r="H7" s="318">
        <v>427230</v>
      </c>
      <c r="I7" s="321">
        <v>45228</v>
      </c>
      <c r="J7" s="321">
        <f t="shared" si="1"/>
        <v>45230</v>
      </c>
      <c r="K7" s="321">
        <v>45292</v>
      </c>
      <c r="L7" s="324">
        <v>2.1333333333333333</v>
      </c>
      <c r="M7" s="326">
        <f t="shared" si="2"/>
        <v>200264.0625</v>
      </c>
      <c r="N7" s="334">
        <f t="shared" si="3"/>
        <v>231483</v>
      </c>
      <c r="O7" s="334">
        <f t="shared" si="0"/>
        <v>0</v>
      </c>
      <c r="P7" s="343">
        <v>195747</v>
      </c>
      <c r="Q7" s="332">
        <f>+_xlfn.XLOOKUP($A7,Hoja1!$A:$A,Hoja1!Z:Z)</f>
        <v>231483</v>
      </c>
      <c r="R7" s="332">
        <f>+_xlfn.XLOOKUP($A7,Hoja1!$A:$A,Hoja1!AA:AA)</f>
        <v>0</v>
      </c>
      <c r="S7" s="332">
        <f>+_xlfn.XLOOKUP($A7,Hoja1!$A:$A,Hoja1!AB:AB)</f>
        <v>0</v>
      </c>
      <c r="T7" s="332">
        <f>+_xlfn.XLOOKUP($A7,Hoja1!$A:$A,Hoja1!AC:AC)</f>
        <v>0</v>
      </c>
      <c r="U7" s="332">
        <f>+_xlfn.XLOOKUP($A7,Hoja1!$A:$A,Hoja1!AD:AD)</f>
        <v>0</v>
      </c>
      <c r="V7" s="332">
        <f>+_xlfn.XLOOKUP($A7,Hoja1!$A:$A,Hoja1!AE:AE)</f>
        <v>0</v>
      </c>
      <c r="W7" s="344">
        <f>+_xlfn.XLOOKUP($A7,Hoja1!$A:$A,Hoja1!AF:AF)</f>
        <v>0</v>
      </c>
      <c r="X7" s="337">
        <f>+_xlfn.XLOOKUP($A7,Hoja1!$A:$A,Hoja1!AG:AG)</f>
        <v>0</v>
      </c>
      <c r="Y7" s="331">
        <f>+_xlfn.XLOOKUP($A7,Hoja1!$A:$A,Hoja1!AH:AH)</f>
        <v>0</v>
      </c>
      <c r="Z7" s="331">
        <f>+_xlfn.XLOOKUP($A7,Hoja1!$A:$A,Hoja1!AI:AI)</f>
        <v>0</v>
      </c>
      <c r="AA7" s="331">
        <f>+_xlfn.XLOOKUP($A7,Hoja1!$A:$A,Hoja1!AJ:AJ)</f>
        <v>0</v>
      </c>
      <c r="AB7" s="331">
        <f>+_xlfn.XLOOKUP($A7,Hoja1!$A:$A,Hoja1!AK:AK)</f>
        <v>0</v>
      </c>
    </row>
    <row r="8" spans="1:28" x14ac:dyDescent="0.2">
      <c r="A8" s="316" t="s">
        <v>694</v>
      </c>
      <c r="B8" s="316" t="s">
        <v>695</v>
      </c>
      <c r="C8" s="316" t="s">
        <v>43</v>
      </c>
      <c r="D8" s="316" t="s">
        <v>696</v>
      </c>
      <c r="E8" s="316" t="s">
        <v>249</v>
      </c>
      <c r="F8" s="316" t="s">
        <v>678</v>
      </c>
      <c r="G8" s="317">
        <v>1</v>
      </c>
      <c r="H8" s="318">
        <v>75000</v>
      </c>
      <c r="I8" s="321">
        <v>45215</v>
      </c>
      <c r="J8" s="321">
        <f t="shared" si="1"/>
        <v>45217</v>
      </c>
      <c r="K8" s="321">
        <v>45341</v>
      </c>
      <c r="L8" s="324">
        <v>4.2</v>
      </c>
      <c r="M8" s="326">
        <f t="shared" si="2"/>
        <v>17857.142857142855</v>
      </c>
      <c r="N8" s="334">
        <f t="shared" si="3"/>
        <v>75000</v>
      </c>
      <c r="O8" s="334">
        <f t="shared" si="0"/>
        <v>0</v>
      </c>
      <c r="P8" s="343">
        <v>0</v>
      </c>
      <c r="Q8" s="332">
        <f>+_xlfn.XLOOKUP($A8,Hoja1!$A:$A,Hoja1!Z:Z)</f>
        <v>0</v>
      </c>
      <c r="R8" s="332">
        <f>+_xlfn.XLOOKUP($A8,Hoja1!$A:$A,Hoja1!AA:AA)</f>
        <v>29752</v>
      </c>
      <c r="S8" s="332">
        <f>+_xlfn.XLOOKUP($A8,Hoja1!$A:$A,Hoja1!AB:AB)</f>
        <v>45248</v>
      </c>
      <c r="T8" s="332">
        <f>+_xlfn.XLOOKUP($A8,Hoja1!$A:$A,Hoja1!AC:AC)</f>
        <v>0</v>
      </c>
      <c r="U8" s="332">
        <f>+_xlfn.XLOOKUP($A8,Hoja1!$A:$A,Hoja1!AD:AD)</f>
        <v>0</v>
      </c>
      <c r="V8" s="332">
        <f>+_xlfn.XLOOKUP($A8,Hoja1!$A:$A,Hoja1!AE:AE)</f>
        <v>0</v>
      </c>
      <c r="W8" s="344">
        <f>+_xlfn.XLOOKUP($A8,Hoja1!$A:$A,Hoja1!AF:AF)</f>
        <v>0</v>
      </c>
      <c r="X8" s="337">
        <f>+_xlfn.XLOOKUP($A8,Hoja1!$A:$A,Hoja1!AG:AG)</f>
        <v>0</v>
      </c>
      <c r="Y8" s="331">
        <f>+_xlfn.XLOOKUP($A8,Hoja1!$A:$A,Hoja1!AH:AH)</f>
        <v>0</v>
      </c>
      <c r="Z8" s="331">
        <f>+_xlfn.XLOOKUP($A8,Hoja1!$A:$A,Hoja1!AI:AI)</f>
        <v>0</v>
      </c>
      <c r="AA8" s="331">
        <f>+_xlfn.XLOOKUP($A8,Hoja1!$A:$A,Hoja1!AJ:AJ)</f>
        <v>0</v>
      </c>
      <c r="AB8" s="331">
        <f>+_xlfn.XLOOKUP($A8,Hoja1!$A:$A,Hoja1!AK:AK)</f>
        <v>0</v>
      </c>
    </row>
    <row r="9" spans="1:28" x14ac:dyDescent="0.2">
      <c r="A9" s="316" t="s">
        <v>697</v>
      </c>
      <c r="B9" s="316" t="s">
        <v>698</v>
      </c>
      <c r="C9" s="316" t="s">
        <v>43</v>
      </c>
      <c r="D9" s="316" t="s">
        <v>699</v>
      </c>
      <c r="E9" s="316" t="s">
        <v>700</v>
      </c>
      <c r="F9" s="316" t="s">
        <v>678</v>
      </c>
      <c r="G9" s="317">
        <v>1</v>
      </c>
      <c r="H9" s="318">
        <v>114390</v>
      </c>
      <c r="I9" s="321">
        <v>45264</v>
      </c>
      <c r="J9" s="321">
        <f t="shared" si="1"/>
        <v>45266</v>
      </c>
      <c r="K9" s="321">
        <v>45362</v>
      </c>
      <c r="L9" s="324">
        <v>3.2666666666666666</v>
      </c>
      <c r="M9" s="326">
        <f t="shared" si="2"/>
        <v>35017.34693877551</v>
      </c>
      <c r="N9" s="334">
        <f t="shared" si="3"/>
        <v>114390</v>
      </c>
      <c r="O9" s="334">
        <f t="shared" si="0"/>
        <v>0</v>
      </c>
      <c r="P9" s="343">
        <v>0</v>
      </c>
      <c r="Q9" s="332">
        <f>+_xlfn.XLOOKUP($A9,Hoja1!$A:$A,Hoja1!Z:Z)</f>
        <v>0</v>
      </c>
      <c r="R9" s="332">
        <f>+_xlfn.XLOOKUP($A9,Hoja1!$A:$A,Hoja1!AA:AA)</f>
        <v>19065</v>
      </c>
      <c r="S9" s="332">
        <f>+_xlfn.XLOOKUP($A9,Hoja1!$A:$A,Hoja1!AB:AB)</f>
        <v>19065</v>
      </c>
      <c r="T9" s="332">
        <f>+_xlfn.XLOOKUP($A9,Hoja1!$A:$A,Hoja1!AC:AC)</f>
        <v>19065</v>
      </c>
      <c r="U9" s="332">
        <f>+_xlfn.XLOOKUP($A9,Hoja1!$A:$A,Hoja1!AD:AD)</f>
        <v>19065</v>
      </c>
      <c r="V9" s="332">
        <f>+_xlfn.XLOOKUP($A9,Hoja1!$A:$A,Hoja1!AE:AE)</f>
        <v>19065</v>
      </c>
      <c r="W9" s="344">
        <f>+_xlfn.XLOOKUP($A9,Hoja1!$A:$A,Hoja1!AF:AF)</f>
        <v>19065</v>
      </c>
      <c r="X9" s="337">
        <f>+_xlfn.XLOOKUP($A9,Hoja1!$A:$A,Hoja1!AG:AG)</f>
        <v>0</v>
      </c>
      <c r="Y9" s="331">
        <f>+_xlfn.XLOOKUP($A9,Hoja1!$A:$A,Hoja1!AH:AH)</f>
        <v>0</v>
      </c>
      <c r="Z9" s="331">
        <f>+_xlfn.XLOOKUP($A9,Hoja1!$A:$A,Hoja1!AI:AI)</f>
        <v>0</v>
      </c>
      <c r="AA9" s="331">
        <f>+_xlfn.XLOOKUP($A9,Hoja1!$A:$A,Hoja1!AJ:AJ)</f>
        <v>0</v>
      </c>
      <c r="AB9" s="331">
        <f>+_xlfn.XLOOKUP($A9,Hoja1!$A:$A,Hoja1!AK:AK)</f>
        <v>0</v>
      </c>
    </row>
    <row r="10" spans="1:28" x14ac:dyDescent="0.2">
      <c r="A10" s="316" t="s">
        <v>701</v>
      </c>
      <c r="B10" s="316" t="s">
        <v>702</v>
      </c>
      <c r="C10" s="316" t="s">
        <v>46</v>
      </c>
      <c r="D10" s="316" t="s">
        <v>703</v>
      </c>
      <c r="E10" s="316" t="s">
        <v>308</v>
      </c>
      <c r="F10" s="316" t="s">
        <v>678</v>
      </c>
      <c r="G10" s="317">
        <v>1</v>
      </c>
      <c r="H10" s="319">
        <v>47960</v>
      </c>
      <c r="I10" s="321">
        <v>45201</v>
      </c>
      <c r="J10" s="321">
        <f t="shared" si="1"/>
        <v>45203</v>
      </c>
      <c r="K10" s="321">
        <v>45313</v>
      </c>
      <c r="L10" s="324">
        <v>3.7333333333333334</v>
      </c>
      <c r="M10" s="326">
        <f t="shared" si="2"/>
        <v>12846.428571428571</v>
      </c>
      <c r="N10" s="334">
        <f t="shared" si="3"/>
        <v>47960</v>
      </c>
      <c r="O10" s="334">
        <f t="shared" si="0"/>
        <v>47960</v>
      </c>
      <c r="P10" s="343">
        <v>0</v>
      </c>
      <c r="Q10" s="332">
        <f>+_xlfn.XLOOKUP($A10,Hoja1!$A:$A,Hoja1!Z:Z)</f>
        <v>0</v>
      </c>
      <c r="R10" s="332">
        <f>+_xlfn.XLOOKUP($A10,Hoja1!$A:$A,Hoja1!AA:AA)</f>
        <v>0</v>
      </c>
      <c r="S10" s="332">
        <f>+_xlfn.XLOOKUP($A10,Hoja1!$A:$A,Hoja1!AB:AB)</f>
        <v>0</v>
      </c>
      <c r="T10" s="332">
        <f>+_xlfn.XLOOKUP($A10,Hoja1!$A:$A,Hoja1!AC:AC)</f>
        <v>0</v>
      </c>
      <c r="U10" s="332">
        <f>+_xlfn.XLOOKUP($A10,Hoja1!$A:$A,Hoja1!AD:AD)</f>
        <v>0</v>
      </c>
      <c r="V10" s="332">
        <f>+_xlfn.XLOOKUP($A10,Hoja1!$A:$A,Hoja1!AE:AE)</f>
        <v>0</v>
      </c>
      <c r="W10" s="344">
        <f>+_xlfn.XLOOKUP($A10,Hoja1!$A:$A,Hoja1!AF:AF)</f>
        <v>0</v>
      </c>
      <c r="X10" s="337">
        <f>+_xlfn.XLOOKUP($A10,Hoja1!$A:$A,Hoja1!AG:AG)</f>
        <v>0</v>
      </c>
      <c r="Y10" s="331">
        <f>+_xlfn.XLOOKUP($A10,Hoja1!$A:$A,Hoja1!AH:AH)</f>
        <v>0</v>
      </c>
      <c r="Z10" s="331">
        <f>+_xlfn.XLOOKUP($A10,Hoja1!$A:$A,Hoja1!AI:AI)</f>
        <v>0</v>
      </c>
      <c r="AA10" s="331">
        <f>+_xlfn.XLOOKUP($A10,Hoja1!$A:$A,Hoja1!AJ:AJ)</f>
        <v>0</v>
      </c>
      <c r="AB10" s="331">
        <f>+_xlfn.XLOOKUP($A10,Hoja1!$A:$A,Hoja1!AK:AK)</f>
        <v>0</v>
      </c>
    </row>
    <row r="11" spans="1:28" x14ac:dyDescent="0.2">
      <c r="A11" s="316" t="s">
        <v>704</v>
      </c>
      <c r="B11" s="316" t="s">
        <v>705</v>
      </c>
      <c r="C11" s="316" t="s">
        <v>43</v>
      </c>
      <c r="D11" s="322" t="s">
        <v>706</v>
      </c>
      <c r="E11" s="316" t="s">
        <v>249</v>
      </c>
      <c r="F11" s="316" t="s">
        <v>678</v>
      </c>
      <c r="G11" s="317">
        <v>1</v>
      </c>
      <c r="H11" s="319">
        <v>82787</v>
      </c>
      <c r="I11" s="321">
        <v>45236</v>
      </c>
      <c r="J11" s="321">
        <f t="shared" si="1"/>
        <v>45238</v>
      </c>
      <c r="K11" s="321">
        <v>45320</v>
      </c>
      <c r="L11" s="324">
        <v>2.8</v>
      </c>
      <c r="M11" s="326">
        <f t="shared" si="2"/>
        <v>29566.785714285717</v>
      </c>
      <c r="N11" s="334">
        <f t="shared" si="3"/>
        <v>82787</v>
      </c>
      <c r="O11" s="334">
        <f t="shared" si="0"/>
        <v>-1262.473684210534</v>
      </c>
      <c r="P11" s="343">
        <v>0</v>
      </c>
      <c r="Q11" s="332">
        <f>+_xlfn.XLOOKUP($A11,Hoja1!$A:$A,Hoja1!Z:Z)</f>
        <v>0</v>
      </c>
      <c r="R11" s="332">
        <f>+_xlfn.XLOOKUP($A11,Hoja1!$A:$A,Hoja1!AA:AA)</f>
        <v>41755</v>
      </c>
      <c r="S11" s="332">
        <f>+_xlfn.XLOOKUP($A11,Hoja1!$A:$A,Hoja1!AB:AB)</f>
        <v>38092</v>
      </c>
      <c r="T11" s="332">
        <f>+_xlfn.XLOOKUP($A11,Hoja1!$A:$A,Hoja1!AC:AC)</f>
        <v>4202.4736842105267</v>
      </c>
      <c r="U11" s="332">
        <f>+_xlfn.XLOOKUP($A11,Hoja1!$A:$A,Hoja1!AD:AD)</f>
        <v>0</v>
      </c>
      <c r="V11" s="332">
        <f>+_xlfn.XLOOKUP($A11,Hoja1!$A:$A,Hoja1!AE:AE)</f>
        <v>0</v>
      </c>
      <c r="W11" s="344">
        <f>+_xlfn.XLOOKUP($A11,Hoja1!$A:$A,Hoja1!AF:AF)</f>
        <v>0</v>
      </c>
      <c r="X11" s="337">
        <f>+_xlfn.XLOOKUP($A11,Hoja1!$A:$A,Hoja1!AG:AG)</f>
        <v>0</v>
      </c>
      <c r="Y11" s="331">
        <f>+_xlfn.XLOOKUP($A11,Hoja1!$A:$A,Hoja1!AH:AH)</f>
        <v>0</v>
      </c>
      <c r="Z11" s="331">
        <f>+_xlfn.XLOOKUP($A11,Hoja1!$A:$A,Hoja1!AI:AI)</f>
        <v>0</v>
      </c>
      <c r="AA11" s="331">
        <f>+_xlfn.XLOOKUP($A11,Hoja1!$A:$A,Hoja1!AJ:AJ)</f>
        <v>0</v>
      </c>
      <c r="AB11" s="331">
        <f>+_xlfn.XLOOKUP($A11,Hoja1!$A:$A,Hoja1!AK:AK)</f>
        <v>0</v>
      </c>
    </row>
    <row r="12" spans="1:28" x14ac:dyDescent="0.2">
      <c r="A12" s="316" t="s">
        <v>707</v>
      </c>
      <c r="B12" s="316" t="s">
        <v>708</v>
      </c>
      <c r="C12" s="316" t="s">
        <v>43</v>
      </c>
      <c r="D12" s="322" t="s">
        <v>709</v>
      </c>
      <c r="E12" s="316" t="s">
        <v>143</v>
      </c>
      <c r="F12" s="316" t="s">
        <v>678</v>
      </c>
      <c r="G12" s="317">
        <v>1</v>
      </c>
      <c r="H12" s="318">
        <v>250000</v>
      </c>
      <c r="I12" s="321">
        <v>45271</v>
      </c>
      <c r="J12" s="321">
        <f t="shared" si="1"/>
        <v>45273</v>
      </c>
      <c r="K12" s="321">
        <v>45327</v>
      </c>
      <c r="L12" s="324">
        <v>1.8666666666666667</v>
      </c>
      <c r="M12" s="326">
        <f t="shared" si="2"/>
        <v>133928.57142857142</v>
      </c>
      <c r="N12" s="334">
        <f t="shared" si="3"/>
        <v>250000</v>
      </c>
      <c r="O12" s="334">
        <f t="shared" si="0"/>
        <v>0</v>
      </c>
      <c r="P12" s="343">
        <v>0</v>
      </c>
      <c r="Q12" s="332">
        <f>+_xlfn.XLOOKUP($A12,Hoja1!$A:$A,Hoja1!Z:Z)</f>
        <v>31977.949999999997</v>
      </c>
      <c r="R12" s="332">
        <f>+_xlfn.XLOOKUP($A12,Hoja1!$A:$A,Hoja1!AA:AA)</f>
        <v>16146</v>
      </c>
      <c r="S12" s="332">
        <f>+_xlfn.XLOOKUP($A12,Hoja1!$A:$A,Hoja1!AB:AB)</f>
        <v>67292.016666666663</v>
      </c>
      <c r="T12" s="332">
        <f>+_xlfn.XLOOKUP($A12,Hoja1!$A:$A,Hoja1!AC:AC)</f>
        <v>67292.016666666663</v>
      </c>
      <c r="U12" s="332">
        <f>+_xlfn.XLOOKUP($A12,Hoja1!$A:$A,Hoja1!AD:AD)</f>
        <v>67292.016666666663</v>
      </c>
      <c r="V12" s="332">
        <f>+_xlfn.XLOOKUP($A12,Hoja1!$A:$A,Hoja1!AE:AE)</f>
        <v>0</v>
      </c>
      <c r="W12" s="344">
        <f>+_xlfn.XLOOKUP($A12,Hoja1!$A:$A,Hoja1!AF:AF)</f>
        <v>0</v>
      </c>
      <c r="X12" s="337">
        <f>+_xlfn.XLOOKUP($A12,Hoja1!$A:$A,Hoja1!AG:AG)</f>
        <v>0</v>
      </c>
      <c r="Y12" s="331">
        <f>+_xlfn.XLOOKUP($A12,Hoja1!$A:$A,Hoja1!AH:AH)</f>
        <v>0</v>
      </c>
      <c r="Z12" s="331">
        <f>+_xlfn.XLOOKUP($A12,Hoja1!$A:$A,Hoja1!AI:AI)</f>
        <v>0</v>
      </c>
      <c r="AA12" s="331">
        <f>+_xlfn.XLOOKUP($A12,Hoja1!$A:$A,Hoja1!AJ:AJ)</f>
        <v>0</v>
      </c>
      <c r="AB12" s="331">
        <f>+_xlfn.XLOOKUP($A12,Hoja1!$A:$A,Hoja1!AK:AK)</f>
        <v>0</v>
      </c>
    </row>
    <row r="13" spans="1:28" x14ac:dyDescent="0.2">
      <c r="A13" s="316" t="s">
        <v>710</v>
      </c>
      <c r="B13" s="316" t="s">
        <v>711</v>
      </c>
      <c r="C13" s="316" t="s">
        <v>43</v>
      </c>
      <c r="D13" s="322" t="s">
        <v>712</v>
      </c>
      <c r="E13" s="316" t="s">
        <v>249</v>
      </c>
      <c r="F13" s="316" t="s">
        <v>678</v>
      </c>
      <c r="G13" s="317">
        <v>1</v>
      </c>
      <c r="H13" s="318">
        <v>147000</v>
      </c>
      <c r="I13" s="321">
        <v>45236</v>
      </c>
      <c r="J13" s="321">
        <f t="shared" si="1"/>
        <v>45238</v>
      </c>
      <c r="K13" s="321">
        <v>45362</v>
      </c>
      <c r="L13" s="324">
        <v>4.2</v>
      </c>
      <c r="M13" s="326">
        <f t="shared" si="2"/>
        <v>35000</v>
      </c>
      <c r="N13" s="334">
        <f t="shared" si="3"/>
        <v>147000</v>
      </c>
      <c r="O13" s="334">
        <f t="shared" si="0"/>
        <v>0</v>
      </c>
      <c r="P13" s="343">
        <v>0</v>
      </c>
      <c r="Q13" s="332">
        <f>+_xlfn.XLOOKUP($A13,Hoja1!$A:$A,Hoja1!Z:Z)</f>
        <v>0</v>
      </c>
      <c r="R13" s="332">
        <f>+_xlfn.XLOOKUP($A13,Hoja1!$A:$A,Hoja1!AA:AA)</f>
        <v>14688</v>
      </c>
      <c r="S13" s="332">
        <f>+_xlfn.XLOOKUP($A13,Hoja1!$A:$A,Hoja1!AB:AB)</f>
        <v>29292</v>
      </c>
      <c r="T13" s="332">
        <f>+_xlfn.XLOOKUP($A13,Hoja1!$A:$A,Hoja1!AC:AC)</f>
        <v>51510</v>
      </c>
      <c r="U13" s="332">
        <f>+_xlfn.XLOOKUP($A13,Hoja1!$A:$A,Hoja1!AD:AD)</f>
        <v>51510</v>
      </c>
      <c r="V13" s="332">
        <f>+_xlfn.XLOOKUP($A13,Hoja1!$A:$A,Hoja1!AE:AE)</f>
        <v>0</v>
      </c>
      <c r="W13" s="344">
        <f>+_xlfn.XLOOKUP($A13,Hoja1!$A:$A,Hoja1!AF:AF)</f>
        <v>0</v>
      </c>
      <c r="X13" s="337">
        <f>+_xlfn.XLOOKUP($A13,Hoja1!$A:$A,Hoja1!AG:AG)</f>
        <v>0</v>
      </c>
      <c r="Y13" s="331">
        <f>+_xlfn.XLOOKUP($A13,Hoja1!$A:$A,Hoja1!AH:AH)</f>
        <v>0</v>
      </c>
      <c r="Z13" s="331">
        <f>+_xlfn.XLOOKUP($A13,Hoja1!$A:$A,Hoja1!AI:AI)</f>
        <v>0</v>
      </c>
      <c r="AA13" s="331">
        <f>+_xlfn.XLOOKUP($A13,Hoja1!$A:$A,Hoja1!AJ:AJ)</f>
        <v>0</v>
      </c>
      <c r="AB13" s="331">
        <f>+_xlfn.XLOOKUP($A13,Hoja1!$A:$A,Hoja1!AK:AK)</f>
        <v>0</v>
      </c>
    </row>
    <row r="14" spans="1:28" ht="15" x14ac:dyDescent="0.2">
      <c r="A14" s="316" t="s">
        <v>713</v>
      </c>
      <c r="B14" s="316" t="s">
        <v>714</v>
      </c>
      <c r="C14" s="316" t="s">
        <v>43</v>
      </c>
      <c r="D14" s="322" t="s">
        <v>715</v>
      </c>
      <c r="E14" s="316" t="s">
        <v>143</v>
      </c>
      <c r="F14" s="316" t="s">
        <v>678</v>
      </c>
      <c r="G14" s="317">
        <v>1</v>
      </c>
      <c r="H14" s="319">
        <v>370245</v>
      </c>
      <c r="I14" s="320">
        <v>45261</v>
      </c>
      <c r="J14" s="321">
        <f t="shared" si="1"/>
        <v>45263</v>
      </c>
      <c r="K14" s="320">
        <v>45444</v>
      </c>
      <c r="L14" s="324">
        <v>7</v>
      </c>
      <c r="M14" s="326">
        <f t="shared" si="2"/>
        <v>52892.142857142855</v>
      </c>
      <c r="N14" s="334">
        <f t="shared" si="3"/>
        <v>370245</v>
      </c>
      <c r="O14" s="334">
        <f t="shared" si="0"/>
        <v>0</v>
      </c>
      <c r="P14" s="343">
        <v>0</v>
      </c>
      <c r="Q14" s="332">
        <f>+_xlfn.XLOOKUP($A14,Hoja1!$A:$A,Hoja1!Z:Z)</f>
        <v>0</v>
      </c>
      <c r="R14" s="332">
        <f>+_xlfn.XLOOKUP($A14,Hoja1!$A:$A,Hoja1!AA:AA)</f>
        <v>0</v>
      </c>
      <c r="S14" s="332">
        <f>+_xlfn.XLOOKUP($A14,Hoja1!$A:$A,Hoja1!AB:AB)</f>
        <v>74049</v>
      </c>
      <c r="T14" s="332">
        <f>+_xlfn.XLOOKUP($A14,Hoja1!$A:$A,Hoja1!AC:AC)</f>
        <v>74049</v>
      </c>
      <c r="U14" s="332">
        <f>+_xlfn.XLOOKUP($A14,Hoja1!$A:$A,Hoja1!AD:AD)</f>
        <v>74049</v>
      </c>
      <c r="V14" s="332">
        <f>+_xlfn.XLOOKUP($A14,Hoja1!$A:$A,Hoja1!AE:AE)</f>
        <v>74049</v>
      </c>
      <c r="W14" s="344">
        <f>+_xlfn.XLOOKUP($A14,Hoja1!$A:$A,Hoja1!AF:AF)</f>
        <v>74049</v>
      </c>
      <c r="X14" s="337">
        <f>+_xlfn.XLOOKUP($A14,Hoja1!$A:$A,Hoja1!AG:AG)</f>
        <v>0</v>
      </c>
      <c r="Y14" s="331">
        <f>+_xlfn.XLOOKUP($A14,Hoja1!$A:$A,Hoja1!AH:AH)</f>
        <v>0</v>
      </c>
      <c r="Z14" s="331">
        <f>+_xlfn.XLOOKUP($A14,Hoja1!$A:$A,Hoja1!AI:AI)</f>
        <v>0</v>
      </c>
      <c r="AA14" s="331">
        <f>+_xlfn.XLOOKUP($A14,Hoja1!$A:$A,Hoja1!AJ:AJ)</f>
        <v>0</v>
      </c>
      <c r="AB14" s="331">
        <f>+_xlfn.XLOOKUP($A14,Hoja1!$A:$A,Hoja1!AK:AK)</f>
        <v>0</v>
      </c>
    </row>
    <row r="15" spans="1:28" ht="15" thickBot="1" x14ac:dyDescent="0.25">
      <c r="A15" s="316" t="s">
        <v>716</v>
      </c>
      <c r="B15" s="316" t="s">
        <v>717</v>
      </c>
      <c r="C15" s="316" t="s">
        <v>46</v>
      </c>
      <c r="D15" s="316" t="s">
        <v>718</v>
      </c>
      <c r="E15" s="316" t="s">
        <v>626</v>
      </c>
      <c r="F15" s="316" t="s">
        <v>678</v>
      </c>
      <c r="G15" s="317">
        <v>1</v>
      </c>
      <c r="H15" s="319">
        <v>115136</v>
      </c>
      <c r="I15" s="321">
        <v>45235</v>
      </c>
      <c r="J15" s="321">
        <f t="shared" si="1"/>
        <v>45237</v>
      </c>
      <c r="K15" s="321">
        <v>45354</v>
      </c>
      <c r="L15" s="324">
        <v>3.9666666666666668</v>
      </c>
      <c r="M15" s="326">
        <f t="shared" si="2"/>
        <v>29025.882352941175</v>
      </c>
      <c r="N15" s="334">
        <f t="shared" si="3"/>
        <v>91477</v>
      </c>
      <c r="O15" s="334">
        <f t="shared" si="0"/>
        <v>0</v>
      </c>
      <c r="P15" s="345">
        <v>23659</v>
      </c>
      <c r="Q15" s="346">
        <f>+_xlfn.XLOOKUP($A15,Hoja1!$A:$A,Hoja1!Z:Z)</f>
        <v>0</v>
      </c>
      <c r="R15" s="346">
        <f>+_xlfn.XLOOKUP($A15,Hoja1!$A:$A,Hoja1!AA:AA)</f>
        <v>26813</v>
      </c>
      <c r="S15" s="346">
        <f>+_xlfn.XLOOKUP($A15,Hoja1!$A:$A,Hoja1!AB:AB)</f>
        <v>11222</v>
      </c>
      <c r="T15" s="346">
        <f>+_xlfn.XLOOKUP($A15,Hoja1!$A:$A,Hoja1!AC:AC)</f>
        <v>53442</v>
      </c>
      <c r="U15" s="346">
        <f>+_xlfn.XLOOKUP($A15,Hoja1!$A:$A,Hoja1!AD:AD)</f>
        <v>0</v>
      </c>
      <c r="V15" s="346">
        <f>+_xlfn.XLOOKUP($A15,Hoja1!$A:$A,Hoja1!AE:AE)</f>
        <v>0</v>
      </c>
      <c r="W15" s="347">
        <f>+_xlfn.XLOOKUP($A15,Hoja1!$A:$A,Hoja1!AF:AF)</f>
        <v>0</v>
      </c>
      <c r="X15" s="337">
        <f>+_xlfn.XLOOKUP($A15,Hoja1!$A:$A,Hoja1!AG:AG)</f>
        <v>0</v>
      </c>
      <c r="Y15" s="331">
        <f>+_xlfn.XLOOKUP($A15,Hoja1!$A:$A,Hoja1!AH:AH)</f>
        <v>0</v>
      </c>
      <c r="Z15" s="331">
        <f>+_xlfn.XLOOKUP($A15,Hoja1!$A:$A,Hoja1!AI:AI)</f>
        <v>0</v>
      </c>
      <c r="AA15" s="331">
        <f>+_xlfn.XLOOKUP($A15,Hoja1!$A:$A,Hoja1!AJ:AJ)</f>
        <v>0</v>
      </c>
      <c r="AB15" s="331">
        <f>+_xlfn.XLOOKUP($A15,Hoja1!$A:$A,Hoja1!AK:AK)</f>
        <v>0</v>
      </c>
    </row>
    <row r="16" spans="1:28" x14ac:dyDescent="0.2">
      <c r="A16" s="316" t="s">
        <v>719</v>
      </c>
      <c r="B16" s="316" t="s">
        <v>720</v>
      </c>
      <c r="C16" s="316" t="s">
        <v>46</v>
      </c>
      <c r="D16" s="316" t="s">
        <v>720</v>
      </c>
      <c r="E16" s="316" t="s">
        <v>175</v>
      </c>
      <c r="F16" s="316" t="s">
        <v>678</v>
      </c>
      <c r="G16" s="317">
        <v>1</v>
      </c>
      <c r="H16" s="319">
        <v>25600</v>
      </c>
      <c r="I16" s="321">
        <v>45273</v>
      </c>
      <c r="J16" s="321">
        <f t="shared" si="1"/>
        <v>45275</v>
      </c>
      <c r="K16" s="321">
        <v>45328</v>
      </c>
      <c r="L16" s="324">
        <v>1.8333333333333333</v>
      </c>
      <c r="M16" s="326">
        <f t="shared" si="2"/>
        <v>13963.636363636364</v>
      </c>
      <c r="N16" s="334">
        <f t="shared" si="3"/>
        <v>25600</v>
      </c>
      <c r="O16" s="334">
        <f>+H16-(P16+SUM(Q16:W16))</f>
        <v>0</v>
      </c>
      <c r="P16" s="333">
        <v>0</v>
      </c>
      <c r="Q16" s="338">
        <f>+_xlfn.XLOOKUP($A16,Hoja1!$A:$A,Hoja1!Z:Z)</f>
        <v>0</v>
      </c>
      <c r="R16" s="338">
        <f>+_xlfn.XLOOKUP($A16,Hoja1!$A:$A,Hoja1!AA:AA)</f>
        <v>0</v>
      </c>
      <c r="S16" s="338">
        <f>+_xlfn.XLOOKUP($A16,Hoja1!$A:$A,Hoja1!AB:AB)</f>
        <v>25600</v>
      </c>
      <c r="T16" s="338">
        <f>+_xlfn.XLOOKUP($A16,Hoja1!$A:$A,Hoja1!AC:AC)</f>
        <v>0</v>
      </c>
      <c r="U16" s="338">
        <f>+_xlfn.XLOOKUP($A16,Hoja1!$A:$A,Hoja1!AD:AD)</f>
        <v>0</v>
      </c>
      <c r="V16" s="338">
        <f>+_xlfn.XLOOKUP($A16,Hoja1!$A:$A,Hoja1!AE:AE)</f>
        <v>0</v>
      </c>
      <c r="W16" s="338">
        <f>+_xlfn.XLOOKUP($A16,Hoja1!$A:$A,Hoja1!AF:AF)</f>
        <v>0</v>
      </c>
      <c r="X16" s="331">
        <f>+_xlfn.XLOOKUP($A16,Hoja1!$A:$A,Hoja1!AG:AG)</f>
        <v>0</v>
      </c>
      <c r="Y16" s="331">
        <f>+_xlfn.XLOOKUP($A16,Hoja1!$A:$A,Hoja1!AH:AH)</f>
        <v>0</v>
      </c>
      <c r="Z16" s="331">
        <f>+_xlfn.XLOOKUP($A16,Hoja1!$A:$A,Hoja1!AI:AI)</f>
        <v>0</v>
      </c>
      <c r="AA16" s="331">
        <f>+_xlfn.XLOOKUP($A16,Hoja1!$A:$A,Hoja1!AJ:AJ)</f>
        <v>0</v>
      </c>
      <c r="AB16" s="331">
        <f>+_xlfn.XLOOKUP($A16,Hoja1!$A:$A,Hoja1!AK:AK)</f>
        <v>0</v>
      </c>
    </row>
    <row r="17" spans="1:18" x14ac:dyDescent="0.2">
      <c r="G17" s="317"/>
      <c r="H17" s="319"/>
    </row>
    <row r="18" spans="1:18" x14ac:dyDescent="0.2">
      <c r="G18" s="317"/>
      <c r="H18" s="319"/>
    </row>
    <row r="19" spans="1:18" x14ac:dyDescent="0.2">
      <c r="G19" s="317"/>
      <c r="H19" s="319"/>
      <c r="K19" s="321">
        <v>45291</v>
      </c>
      <c r="Q19" s="316">
        <v>26</v>
      </c>
      <c r="R19" s="316">
        <v>27</v>
      </c>
    </row>
    <row r="20" spans="1:18" x14ac:dyDescent="0.2">
      <c r="G20" s="317"/>
      <c r="H20" s="319"/>
    </row>
    <row r="21" spans="1:18" x14ac:dyDescent="0.2">
      <c r="G21" s="317"/>
      <c r="H21" s="319"/>
    </row>
    <row r="22" spans="1:18" x14ac:dyDescent="0.2">
      <c r="A22" s="128"/>
      <c r="G22" s="317"/>
      <c r="H22" s="319"/>
    </row>
    <row r="23" spans="1:18" x14ac:dyDescent="0.2">
      <c r="G23" s="317"/>
      <c r="H23" s="319"/>
    </row>
    <row r="24" spans="1:18" x14ac:dyDescent="0.2">
      <c r="G24" s="317"/>
      <c r="H24" s="319"/>
    </row>
    <row r="25" spans="1:18" x14ac:dyDescent="0.2">
      <c r="G25" s="317"/>
      <c r="H25" s="319"/>
    </row>
    <row r="26" spans="1:18" x14ac:dyDescent="0.2">
      <c r="G26" s="317"/>
      <c r="H26" s="319"/>
    </row>
    <row r="27" spans="1:18" x14ac:dyDescent="0.2">
      <c r="G27" s="317"/>
      <c r="H27" s="319"/>
    </row>
    <row r="28" spans="1:18" x14ac:dyDescent="0.2">
      <c r="G28" s="317"/>
      <c r="H28" s="319"/>
    </row>
    <row r="29" spans="1:18" x14ac:dyDescent="0.2">
      <c r="G29" s="317"/>
      <c r="H29" s="319"/>
    </row>
    <row r="30" spans="1:18" x14ac:dyDescent="0.2">
      <c r="G30" s="317"/>
      <c r="H30" s="319"/>
    </row>
    <row r="31" spans="1:18" x14ac:dyDescent="0.2">
      <c r="G31" s="317"/>
      <c r="H31" s="319"/>
    </row>
    <row r="32" spans="1:18" x14ac:dyDescent="0.2">
      <c r="G32" s="317"/>
      <c r="H32" s="319"/>
    </row>
    <row r="33" spans="7:8" x14ac:dyDescent="0.2">
      <c r="G33" s="317"/>
      <c r="H33" s="319"/>
    </row>
    <row r="34" spans="7:8" x14ac:dyDescent="0.2">
      <c r="G34" s="317"/>
      <c r="H34" s="319"/>
    </row>
    <row r="35" spans="7:8" x14ac:dyDescent="0.2">
      <c r="G35" s="317"/>
      <c r="H35" s="319"/>
    </row>
    <row r="36" spans="7:8" x14ac:dyDescent="0.2">
      <c r="G36" s="317"/>
      <c r="H36" s="319"/>
    </row>
    <row r="37" spans="7:8" x14ac:dyDescent="0.2">
      <c r="G37" s="317"/>
      <c r="H37" s="319"/>
    </row>
    <row r="38" spans="7:8" x14ac:dyDescent="0.2">
      <c r="G38" s="317"/>
      <c r="H38" s="319"/>
    </row>
    <row r="39" spans="7:8" x14ac:dyDescent="0.2">
      <c r="G39" s="317"/>
      <c r="H39" s="319"/>
    </row>
    <row r="40" spans="7:8" x14ac:dyDescent="0.2">
      <c r="G40" s="317"/>
      <c r="H40" s="319"/>
    </row>
    <row r="41" spans="7:8" x14ac:dyDescent="0.2">
      <c r="G41" s="317"/>
      <c r="H41" s="319"/>
    </row>
    <row r="42" spans="7:8" x14ac:dyDescent="0.2">
      <c r="G42" s="317"/>
      <c r="H42" s="319"/>
    </row>
    <row r="43" spans="7:8" x14ac:dyDescent="0.2">
      <c r="G43" s="317"/>
      <c r="H43" s="319"/>
    </row>
    <row r="44" spans="7:8" x14ac:dyDescent="0.2">
      <c r="G44" s="317"/>
      <c r="H44" s="319"/>
    </row>
    <row r="45" spans="7:8" x14ac:dyDescent="0.2">
      <c r="G45" s="317"/>
      <c r="H45" s="319"/>
    </row>
    <row r="46" spans="7:8" x14ac:dyDescent="0.2">
      <c r="G46" s="317"/>
      <c r="H46" s="319"/>
    </row>
    <row r="47" spans="7:8" x14ac:dyDescent="0.2">
      <c r="G47" s="317"/>
      <c r="H47" s="319"/>
    </row>
    <row r="48" spans="7:8" x14ac:dyDescent="0.2">
      <c r="G48" s="317"/>
      <c r="H48" s="319"/>
    </row>
    <row r="49" spans="7:8" x14ac:dyDescent="0.2">
      <c r="G49" s="317"/>
      <c r="H49" s="319"/>
    </row>
    <row r="50" spans="7:8" x14ac:dyDescent="0.2">
      <c r="G50" s="317"/>
      <c r="H50" s="319"/>
    </row>
    <row r="51" spans="7:8" x14ac:dyDescent="0.2">
      <c r="G51" s="317"/>
      <c r="H51" s="319"/>
    </row>
    <row r="52" spans="7:8" x14ac:dyDescent="0.2">
      <c r="G52" s="317"/>
      <c r="H52" s="319"/>
    </row>
    <row r="53" spans="7:8" x14ac:dyDescent="0.2">
      <c r="G53" s="317"/>
      <c r="H53" s="319"/>
    </row>
    <row r="54" spans="7:8" x14ac:dyDescent="0.2">
      <c r="G54" s="317"/>
      <c r="H54" s="319"/>
    </row>
    <row r="55" spans="7:8" x14ac:dyDescent="0.2">
      <c r="G55" s="317"/>
      <c r="H55" s="319"/>
    </row>
    <row r="56" spans="7:8" x14ac:dyDescent="0.2">
      <c r="G56" s="317"/>
      <c r="H56" s="319"/>
    </row>
    <row r="57" spans="7:8" x14ac:dyDescent="0.2">
      <c r="G57" s="317"/>
      <c r="H57" s="319"/>
    </row>
    <row r="58" spans="7:8" x14ac:dyDescent="0.2">
      <c r="G58" s="317"/>
      <c r="H58" s="319"/>
    </row>
    <row r="59" spans="7:8" x14ac:dyDescent="0.2">
      <c r="G59" s="317"/>
      <c r="H59" s="319"/>
    </row>
    <row r="60" spans="7:8" x14ac:dyDescent="0.2">
      <c r="G60" s="317"/>
      <c r="H60" s="319"/>
    </row>
    <row r="61" spans="7:8" x14ac:dyDescent="0.2">
      <c r="G61" s="317"/>
      <c r="H61" s="319"/>
    </row>
    <row r="62" spans="7:8" x14ac:dyDescent="0.2">
      <c r="G62" s="317"/>
      <c r="H62" s="319"/>
    </row>
    <row r="63" spans="7:8" x14ac:dyDescent="0.2">
      <c r="G63" s="317"/>
      <c r="H63" s="319"/>
    </row>
    <row r="64" spans="7:8" x14ac:dyDescent="0.2">
      <c r="G64" s="317"/>
      <c r="H64" s="319"/>
    </row>
    <row r="65" spans="7:8" x14ac:dyDescent="0.2">
      <c r="G65" s="317"/>
      <c r="H65" s="319"/>
    </row>
    <row r="66" spans="7:8" x14ac:dyDescent="0.2">
      <c r="G66" s="317"/>
      <c r="H66" s="319"/>
    </row>
    <row r="67" spans="7:8" x14ac:dyDescent="0.2">
      <c r="G67" s="317"/>
      <c r="H67" s="319"/>
    </row>
    <row r="68" spans="7:8" x14ac:dyDescent="0.2">
      <c r="G68" s="317"/>
      <c r="H68" s="319"/>
    </row>
    <row r="69" spans="7:8" x14ac:dyDescent="0.2">
      <c r="G69" s="317"/>
      <c r="H69" s="319"/>
    </row>
    <row r="70" spans="7:8" x14ac:dyDescent="0.2">
      <c r="G70" s="317"/>
      <c r="H70" s="319"/>
    </row>
    <row r="71" spans="7:8" x14ac:dyDescent="0.2">
      <c r="G71" s="317"/>
      <c r="H71" s="319"/>
    </row>
    <row r="72" spans="7:8" x14ac:dyDescent="0.2">
      <c r="G72" s="317"/>
      <c r="H72" s="319"/>
    </row>
    <row r="73" spans="7:8" x14ac:dyDescent="0.2">
      <c r="G73" s="317"/>
      <c r="H73" s="319"/>
    </row>
    <row r="74" spans="7:8" x14ac:dyDescent="0.2">
      <c r="G74" s="317"/>
      <c r="H74" s="319"/>
    </row>
    <row r="75" spans="7:8" x14ac:dyDescent="0.2">
      <c r="G75" s="317"/>
      <c r="H75" s="319"/>
    </row>
    <row r="76" spans="7:8" x14ac:dyDescent="0.2">
      <c r="G76" s="317"/>
      <c r="H76" s="319"/>
    </row>
    <row r="77" spans="7:8" x14ac:dyDescent="0.2">
      <c r="G77" s="317"/>
      <c r="H77" s="319"/>
    </row>
    <row r="78" spans="7:8" x14ac:dyDescent="0.2">
      <c r="G78" s="317"/>
      <c r="H78" s="319"/>
    </row>
    <row r="79" spans="7:8" x14ac:dyDescent="0.2">
      <c r="G79" s="317"/>
      <c r="H79" s="319"/>
    </row>
    <row r="80" spans="7:8" x14ac:dyDescent="0.2">
      <c r="G80" s="317"/>
      <c r="H80" s="319"/>
    </row>
    <row r="81" spans="7:8" x14ac:dyDescent="0.2">
      <c r="G81" s="317"/>
      <c r="H81" s="319"/>
    </row>
    <row r="82" spans="7:8" x14ac:dyDescent="0.2">
      <c r="G82" s="317"/>
      <c r="H82" s="319"/>
    </row>
    <row r="83" spans="7:8" x14ac:dyDescent="0.2">
      <c r="G83" s="317"/>
      <c r="H83" s="319"/>
    </row>
    <row r="84" spans="7:8" x14ac:dyDescent="0.2">
      <c r="G84" s="317"/>
      <c r="H84" s="319"/>
    </row>
    <row r="85" spans="7:8" x14ac:dyDescent="0.2">
      <c r="G85" s="317"/>
      <c r="H85" s="319"/>
    </row>
    <row r="86" spans="7:8" x14ac:dyDescent="0.2">
      <c r="G86" s="317"/>
      <c r="H86" s="319"/>
    </row>
    <row r="87" spans="7:8" x14ac:dyDescent="0.2">
      <c r="G87" s="317"/>
      <c r="H87" s="319"/>
    </row>
    <row r="88" spans="7:8" x14ac:dyDescent="0.2">
      <c r="G88" s="317"/>
      <c r="H88" s="319"/>
    </row>
    <row r="89" spans="7:8" x14ac:dyDescent="0.2">
      <c r="G89" s="317"/>
      <c r="H89" s="319"/>
    </row>
    <row r="90" spans="7:8" x14ac:dyDescent="0.2">
      <c r="G90" s="317"/>
      <c r="H90" s="319"/>
    </row>
    <row r="91" spans="7:8" x14ac:dyDescent="0.2">
      <c r="G91" s="317"/>
      <c r="H91" s="319"/>
    </row>
    <row r="92" spans="7:8" x14ac:dyDescent="0.2">
      <c r="G92" s="317"/>
      <c r="H92" s="319"/>
    </row>
    <row r="93" spans="7:8" x14ac:dyDescent="0.2">
      <c r="G93" s="317"/>
      <c r="H93" s="319"/>
    </row>
    <row r="94" spans="7:8" x14ac:dyDescent="0.2">
      <c r="G94" s="317"/>
      <c r="H94" s="319"/>
    </row>
    <row r="95" spans="7:8" x14ac:dyDescent="0.2">
      <c r="G95" s="317"/>
      <c r="H95" s="319"/>
    </row>
    <row r="96" spans="7:8" x14ac:dyDescent="0.2">
      <c r="G96" s="317"/>
      <c r="H96" s="319"/>
    </row>
    <row r="97" spans="7:8" x14ac:dyDescent="0.2">
      <c r="G97" s="317"/>
      <c r="H97" s="319"/>
    </row>
    <row r="98" spans="7:8" x14ac:dyDescent="0.2">
      <c r="G98" s="317"/>
      <c r="H98" s="319"/>
    </row>
    <row r="99" spans="7:8" x14ac:dyDescent="0.2">
      <c r="G99" s="317"/>
      <c r="H99" s="319"/>
    </row>
    <row r="100" spans="7:8" x14ac:dyDescent="0.2">
      <c r="G100" s="317"/>
      <c r="H100" s="319"/>
    </row>
    <row r="101" spans="7:8" x14ac:dyDescent="0.2">
      <c r="G101" s="317"/>
      <c r="H101" s="319"/>
    </row>
    <row r="102" spans="7:8" x14ac:dyDescent="0.2">
      <c r="G102" s="317"/>
      <c r="H102" s="319"/>
    </row>
    <row r="103" spans="7:8" x14ac:dyDescent="0.2">
      <c r="G103" s="317"/>
      <c r="H103" s="319"/>
    </row>
    <row r="104" spans="7:8" x14ac:dyDescent="0.2">
      <c r="G104" s="317"/>
      <c r="H104" s="319"/>
    </row>
    <row r="105" spans="7:8" x14ac:dyDescent="0.2">
      <c r="G105" s="317"/>
      <c r="H105" s="319"/>
    </row>
    <row r="106" spans="7:8" x14ac:dyDescent="0.2">
      <c r="G106" s="317"/>
      <c r="H106" s="319"/>
    </row>
    <row r="107" spans="7:8" x14ac:dyDescent="0.2">
      <c r="G107" s="317"/>
      <c r="H107" s="319"/>
    </row>
    <row r="108" spans="7:8" x14ac:dyDescent="0.2">
      <c r="G108" s="317"/>
      <c r="H108" s="319"/>
    </row>
    <row r="109" spans="7:8" x14ac:dyDescent="0.2">
      <c r="G109" s="317"/>
      <c r="H109" s="319"/>
    </row>
    <row r="110" spans="7:8" x14ac:dyDescent="0.2">
      <c r="G110" s="317"/>
      <c r="H110" s="319"/>
    </row>
    <row r="111" spans="7:8" x14ac:dyDescent="0.2">
      <c r="G111" s="317"/>
      <c r="H111" s="319"/>
    </row>
    <row r="112" spans="7:8" x14ac:dyDescent="0.2">
      <c r="G112" s="317"/>
      <c r="H112" s="319"/>
    </row>
    <row r="113" spans="7:8" x14ac:dyDescent="0.2">
      <c r="G113" s="317"/>
      <c r="H113" s="319"/>
    </row>
    <row r="114" spans="7:8" x14ac:dyDescent="0.2">
      <c r="G114" s="317"/>
      <c r="H114" s="319"/>
    </row>
    <row r="115" spans="7:8" x14ac:dyDescent="0.2">
      <c r="G115" s="317"/>
      <c r="H115" s="319"/>
    </row>
    <row r="116" spans="7:8" x14ac:dyDescent="0.2">
      <c r="G116" s="317"/>
      <c r="H116" s="319"/>
    </row>
    <row r="117" spans="7:8" x14ac:dyDescent="0.2">
      <c r="G117" s="317"/>
      <c r="H117" s="319"/>
    </row>
    <row r="118" spans="7:8" x14ac:dyDescent="0.2">
      <c r="G118" s="317"/>
      <c r="H118" s="319"/>
    </row>
    <row r="119" spans="7:8" x14ac:dyDescent="0.2">
      <c r="G119" s="317"/>
      <c r="H119" s="319"/>
    </row>
    <row r="120" spans="7:8" x14ac:dyDescent="0.2">
      <c r="G120" s="317"/>
      <c r="H120" s="319"/>
    </row>
    <row r="121" spans="7:8" x14ac:dyDescent="0.2">
      <c r="G121" s="317"/>
      <c r="H121" s="319"/>
    </row>
    <row r="122" spans="7:8" x14ac:dyDescent="0.2">
      <c r="G122" s="317"/>
      <c r="H122" s="319"/>
    </row>
    <row r="123" spans="7:8" x14ac:dyDescent="0.2">
      <c r="G123" s="317"/>
      <c r="H123" s="319"/>
    </row>
    <row r="124" spans="7:8" x14ac:dyDescent="0.2">
      <c r="G124" s="317"/>
      <c r="H124" s="319"/>
    </row>
    <row r="125" spans="7:8" x14ac:dyDescent="0.2">
      <c r="G125" s="317"/>
      <c r="H125" s="319"/>
    </row>
    <row r="126" spans="7:8" x14ac:dyDescent="0.2">
      <c r="G126" s="317"/>
      <c r="H126" s="319"/>
    </row>
    <row r="127" spans="7:8" x14ac:dyDescent="0.2">
      <c r="G127" s="317"/>
      <c r="H127" s="319"/>
    </row>
    <row r="128" spans="7:8" x14ac:dyDescent="0.2">
      <c r="G128" s="317"/>
      <c r="H128" s="319"/>
    </row>
    <row r="129" spans="7:8" x14ac:dyDescent="0.2">
      <c r="G129" s="317"/>
      <c r="H129" s="319"/>
    </row>
    <row r="130" spans="7:8" x14ac:dyDescent="0.2">
      <c r="G130" s="317"/>
      <c r="H130" s="319"/>
    </row>
    <row r="131" spans="7:8" x14ac:dyDescent="0.2">
      <c r="G131" s="317"/>
      <c r="H131" s="319"/>
    </row>
    <row r="132" spans="7:8" x14ac:dyDescent="0.2">
      <c r="G132" s="317"/>
      <c r="H132" s="319"/>
    </row>
    <row r="133" spans="7:8" x14ac:dyDescent="0.2">
      <c r="G133" s="317"/>
      <c r="H133" s="319"/>
    </row>
    <row r="134" spans="7:8" x14ac:dyDescent="0.2">
      <c r="G134" s="317"/>
      <c r="H134" s="319"/>
    </row>
    <row r="135" spans="7:8" x14ac:dyDescent="0.2">
      <c r="G135" s="317"/>
      <c r="H135" s="319"/>
    </row>
    <row r="136" spans="7:8" x14ac:dyDescent="0.2">
      <c r="G136" s="317"/>
      <c r="H136" s="319"/>
    </row>
    <row r="137" spans="7:8" x14ac:dyDescent="0.2">
      <c r="G137" s="317"/>
      <c r="H137" s="319"/>
    </row>
    <row r="138" spans="7:8" x14ac:dyDescent="0.2">
      <c r="G138" s="317"/>
      <c r="H138" s="319"/>
    </row>
    <row r="139" spans="7:8" x14ac:dyDescent="0.2">
      <c r="G139" s="317"/>
      <c r="H139" s="319"/>
    </row>
    <row r="140" spans="7:8" x14ac:dyDescent="0.2">
      <c r="G140" s="317"/>
      <c r="H140" s="319"/>
    </row>
    <row r="141" spans="7:8" x14ac:dyDescent="0.2">
      <c r="G141" s="317"/>
      <c r="H141" s="319"/>
    </row>
    <row r="142" spans="7:8" x14ac:dyDescent="0.2">
      <c r="G142" s="317"/>
      <c r="H142" s="319"/>
    </row>
    <row r="143" spans="7:8" x14ac:dyDescent="0.2">
      <c r="G143" s="317"/>
      <c r="H143" s="319"/>
    </row>
    <row r="144" spans="7:8" x14ac:dyDescent="0.2">
      <c r="G144" s="317"/>
      <c r="H144" s="319"/>
    </row>
    <row r="145" spans="7:8" x14ac:dyDescent="0.2">
      <c r="G145" s="317"/>
      <c r="H145" s="319"/>
    </row>
    <row r="146" spans="7:8" x14ac:dyDescent="0.2">
      <c r="G146" s="317"/>
      <c r="H146" s="319"/>
    </row>
    <row r="147" spans="7:8" x14ac:dyDescent="0.2">
      <c r="G147" s="317"/>
      <c r="H147" s="319"/>
    </row>
    <row r="148" spans="7:8" x14ac:dyDescent="0.2">
      <c r="G148" s="317"/>
      <c r="H148" s="319"/>
    </row>
    <row r="149" spans="7:8" x14ac:dyDescent="0.2">
      <c r="G149" s="317"/>
      <c r="H149" s="319"/>
    </row>
    <row r="150" spans="7:8" x14ac:dyDescent="0.2">
      <c r="G150" s="317"/>
      <c r="H150" s="319"/>
    </row>
    <row r="151" spans="7:8" x14ac:dyDescent="0.2">
      <c r="G151" s="317"/>
      <c r="H151" s="319"/>
    </row>
    <row r="152" spans="7:8" x14ac:dyDescent="0.2">
      <c r="G152" s="317"/>
      <c r="H152" s="319"/>
    </row>
    <row r="153" spans="7:8" x14ac:dyDescent="0.2">
      <c r="G153" s="317"/>
      <c r="H153" s="319"/>
    </row>
    <row r="154" spans="7:8" x14ac:dyDescent="0.2">
      <c r="G154" s="317"/>
      <c r="H154" s="319"/>
    </row>
    <row r="155" spans="7:8" x14ac:dyDescent="0.2">
      <c r="G155" s="317"/>
      <c r="H155" s="319"/>
    </row>
    <row r="156" spans="7:8" x14ac:dyDescent="0.2">
      <c r="G156" s="317"/>
      <c r="H156" s="319"/>
    </row>
    <row r="157" spans="7:8" x14ac:dyDescent="0.2">
      <c r="G157" s="317"/>
      <c r="H157" s="319"/>
    </row>
    <row r="158" spans="7:8" x14ac:dyDescent="0.2">
      <c r="G158" s="317"/>
      <c r="H158" s="319"/>
    </row>
    <row r="159" spans="7:8" x14ac:dyDescent="0.2">
      <c r="G159" s="317"/>
      <c r="H159" s="319"/>
    </row>
    <row r="160" spans="7:8" x14ac:dyDescent="0.2">
      <c r="G160" s="317"/>
      <c r="H160" s="319"/>
    </row>
    <row r="161" spans="7:8" x14ac:dyDescent="0.2">
      <c r="G161" s="317"/>
      <c r="H161" s="319"/>
    </row>
    <row r="162" spans="7:8" x14ac:dyDescent="0.2">
      <c r="G162" s="317"/>
      <c r="H162" s="319"/>
    </row>
    <row r="163" spans="7:8" x14ac:dyDescent="0.2">
      <c r="G163" s="317"/>
      <c r="H163" s="319"/>
    </row>
    <row r="164" spans="7:8" x14ac:dyDescent="0.2">
      <c r="G164" s="317"/>
      <c r="H164" s="319"/>
    </row>
    <row r="165" spans="7:8" x14ac:dyDescent="0.2">
      <c r="G165" s="317"/>
      <c r="H165" s="319"/>
    </row>
    <row r="166" spans="7:8" x14ac:dyDescent="0.2">
      <c r="G166" s="317"/>
      <c r="H166" s="319"/>
    </row>
    <row r="167" spans="7:8" x14ac:dyDescent="0.2">
      <c r="G167" s="317"/>
      <c r="H167" s="319"/>
    </row>
    <row r="168" spans="7:8" x14ac:dyDescent="0.2">
      <c r="G168" s="317"/>
      <c r="H168" s="319"/>
    </row>
    <row r="169" spans="7:8" x14ac:dyDescent="0.2">
      <c r="G169" s="317"/>
      <c r="H169" s="319"/>
    </row>
    <row r="170" spans="7:8" x14ac:dyDescent="0.2">
      <c r="G170" s="317"/>
      <c r="H170" s="319"/>
    </row>
    <row r="171" spans="7:8" x14ac:dyDescent="0.2">
      <c r="G171" s="317"/>
      <c r="H171" s="319"/>
    </row>
    <row r="172" spans="7:8" x14ac:dyDescent="0.2">
      <c r="G172" s="317"/>
      <c r="H172" s="319"/>
    </row>
    <row r="173" spans="7:8" x14ac:dyDescent="0.2">
      <c r="G173" s="317"/>
      <c r="H173" s="319"/>
    </row>
    <row r="174" spans="7:8" x14ac:dyDescent="0.2">
      <c r="G174" s="317"/>
      <c r="H174" s="319"/>
    </row>
    <row r="175" spans="7:8" x14ac:dyDescent="0.2">
      <c r="G175" s="317"/>
      <c r="H175" s="319"/>
    </row>
    <row r="176" spans="7:8" x14ac:dyDescent="0.2">
      <c r="G176" s="317"/>
      <c r="H176" s="319"/>
    </row>
    <row r="177" spans="7:8" x14ac:dyDescent="0.2">
      <c r="G177" s="317"/>
      <c r="H177" s="319"/>
    </row>
    <row r="178" spans="7:8" x14ac:dyDescent="0.2">
      <c r="G178" s="317"/>
      <c r="H178" s="319"/>
    </row>
    <row r="179" spans="7:8" x14ac:dyDescent="0.2">
      <c r="G179" s="317"/>
      <c r="H179" s="319"/>
    </row>
    <row r="180" spans="7:8" x14ac:dyDescent="0.2">
      <c r="G180" s="317"/>
      <c r="H180" s="319"/>
    </row>
    <row r="181" spans="7:8" x14ac:dyDescent="0.2">
      <c r="G181" s="317"/>
      <c r="H181" s="319"/>
    </row>
    <row r="182" spans="7:8" x14ac:dyDescent="0.2">
      <c r="G182" s="317"/>
      <c r="H182" s="319"/>
    </row>
    <row r="183" spans="7:8" x14ac:dyDescent="0.2">
      <c r="G183" s="317"/>
      <c r="H183" s="319"/>
    </row>
    <row r="184" spans="7:8" x14ac:dyDescent="0.2">
      <c r="G184" s="317"/>
      <c r="H184" s="319"/>
    </row>
    <row r="185" spans="7:8" x14ac:dyDescent="0.2">
      <c r="G185" s="317"/>
      <c r="H185" s="319"/>
    </row>
    <row r="186" spans="7:8" x14ac:dyDescent="0.2">
      <c r="G186" s="317"/>
      <c r="H186" s="319"/>
    </row>
    <row r="187" spans="7:8" x14ac:dyDescent="0.2">
      <c r="G187" s="317"/>
      <c r="H187" s="319"/>
    </row>
    <row r="188" spans="7:8" x14ac:dyDescent="0.2">
      <c r="G188" s="317"/>
      <c r="H188" s="319"/>
    </row>
    <row r="189" spans="7:8" x14ac:dyDescent="0.2">
      <c r="G189" s="317"/>
      <c r="H189" s="319"/>
    </row>
    <row r="190" spans="7:8" x14ac:dyDescent="0.2">
      <c r="G190" s="317"/>
      <c r="H190" s="319"/>
    </row>
    <row r="191" spans="7:8" x14ac:dyDescent="0.2">
      <c r="G191" s="317"/>
      <c r="H191" s="319"/>
    </row>
    <row r="192" spans="7:8" x14ac:dyDescent="0.2">
      <c r="G192" s="317"/>
      <c r="H192" s="319"/>
    </row>
    <row r="193" spans="7:8" x14ac:dyDescent="0.2">
      <c r="G193" s="317"/>
      <c r="H193" s="319"/>
    </row>
    <row r="194" spans="7:8" x14ac:dyDescent="0.2">
      <c r="G194" s="317"/>
      <c r="H194" s="319"/>
    </row>
    <row r="195" spans="7:8" x14ac:dyDescent="0.2">
      <c r="G195" s="317"/>
      <c r="H195" s="319"/>
    </row>
    <row r="196" spans="7:8" x14ac:dyDescent="0.2">
      <c r="G196" s="317"/>
      <c r="H196" s="319"/>
    </row>
    <row r="197" spans="7:8" x14ac:dyDescent="0.2">
      <c r="G197" s="317"/>
      <c r="H197" s="319"/>
    </row>
    <row r="198" spans="7:8" x14ac:dyDescent="0.2">
      <c r="G198" s="317"/>
      <c r="H198" s="319"/>
    </row>
    <row r="199" spans="7:8" x14ac:dyDescent="0.2">
      <c r="G199" s="317"/>
      <c r="H199" s="319"/>
    </row>
    <row r="200" spans="7:8" x14ac:dyDescent="0.2">
      <c r="G200" s="317"/>
      <c r="H200" s="319"/>
    </row>
    <row r="201" spans="7:8" x14ac:dyDescent="0.2">
      <c r="G201" s="317"/>
      <c r="H201" s="319"/>
    </row>
    <row r="202" spans="7:8" x14ac:dyDescent="0.2">
      <c r="G202" s="317"/>
      <c r="H202" s="319"/>
    </row>
    <row r="203" spans="7:8" x14ac:dyDescent="0.2">
      <c r="G203" s="317"/>
      <c r="H203" s="319"/>
    </row>
    <row r="204" spans="7:8" x14ac:dyDescent="0.2">
      <c r="G204" s="317"/>
      <c r="H204" s="319"/>
    </row>
    <row r="205" spans="7:8" x14ac:dyDescent="0.2">
      <c r="G205" s="317"/>
      <c r="H205" s="319"/>
    </row>
    <row r="206" spans="7:8" x14ac:dyDescent="0.2">
      <c r="G206" s="317"/>
      <c r="H206" s="319"/>
    </row>
    <row r="207" spans="7:8" x14ac:dyDescent="0.2">
      <c r="G207" s="317"/>
      <c r="H207" s="319"/>
    </row>
    <row r="208" spans="7:8" x14ac:dyDescent="0.2">
      <c r="G208" s="317"/>
      <c r="H208" s="319"/>
    </row>
    <row r="209" spans="1:8" x14ac:dyDescent="0.2">
      <c r="G209" s="317"/>
      <c r="H209" s="319"/>
    </row>
    <row r="210" spans="1:8" x14ac:dyDescent="0.2">
      <c r="G210" s="317"/>
      <c r="H210" s="319"/>
    </row>
    <row r="211" spans="1:8" x14ac:dyDescent="0.2">
      <c r="G211" s="317"/>
      <c r="H211" s="319"/>
    </row>
    <row r="212" spans="1:8" x14ac:dyDescent="0.2">
      <c r="G212" s="317"/>
      <c r="H212" s="319"/>
    </row>
    <row r="213" spans="1:8" x14ac:dyDescent="0.2">
      <c r="G213" s="317"/>
      <c r="H213" s="319"/>
    </row>
    <row r="214" spans="1:8" x14ac:dyDescent="0.2">
      <c r="G214" s="317"/>
      <c r="H214" s="319"/>
    </row>
    <row r="215" spans="1:8" x14ac:dyDescent="0.2">
      <c r="G215" s="317"/>
      <c r="H215" s="319"/>
    </row>
    <row r="216" spans="1:8" x14ac:dyDescent="0.2">
      <c r="G216" s="317"/>
      <c r="H216" s="319"/>
    </row>
    <row r="217" spans="1:8" x14ac:dyDescent="0.2">
      <c r="G217" s="317"/>
      <c r="H217" s="319"/>
    </row>
    <row r="218" spans="1:8" x14ac:dyDescent="0.2">
      <c r="G218" s="317"/>
      <c r="H218" s="319"/>
    </row>
    <row r="219" spans="1:8" x14ac:dyDescent="0.2">
      <c r="G219" s="317"/>
      <c r="H219" s="319"/>
    </row>
    <row r="220" spans="1:8" x14ac:dyDescent="0.2">
      <c r="G220" s="317"/>
      <c r="H220" s="319"/>
    </row>
    <row r="221" spans="1:8" x14ac:dyDescent="0.2">
      <c r="G221" s="317"/>
      <c r="H221" s="319"/>
    </row>
    <row r="222" spans="1:8" x14ac:dyDescent="0.2">
      <c r="A222" s="316" t="s">
        <v>721</v>
      </c>
      <c r="G222" s="317"/>
      <c r="H222" s="319"/>
    </row>
    <row r="223" spans="1:8" x14ac:dyDescent="0.2">
      <c r="A223" s="316" t="s">
        <v>722</v>
      </c>
      <c r="G223" s="317"/>
      <c r="H223" s="319"/>
    </row>
    <row r="224" spans="1:8" x14ac:dyDescent="0.2">
      <c r="A224" s="316" t="s">
        <v>723</v>
      </c>
      <c r="G224" s="317"/>
      <c r="H224" s="319"/>
    </row>
    <row r="225" spans="1:8" x14ac:dyDescent="0.2">
      <c r="A225" s="316" t="s">
        <v>724</v>
      </c>
      <c r="G225" s="317"/>
      <c r="H225" s="319"/>
    </row>
    <row r="226" spans="1:8" x14ac:dyDescent="0.2">
      <c r="A226" s="316" t="s">
        <v>725</v>
      </c>
      <c r="G226" s="317"/>
      <c r="H226" s="319"/>
    </row>
    <row r="227" spans="1:8" x14ac:dyDescent="0.2">
      <c r="A227" s="316" t="s">
        <v>726</v>
      </c>
      <c r="G227" s="317"/>
      <c r="H227" s="319"/>
    </row>
    <row r="228" spans="1:8" x14ac:dyDescent="0.2">
      <c r="A228" s="316" t="s">
        <v>727</v>
      </c>
      <c r="G228" s="317"/>
      <c r="H228" s="319"/>
    </row>
    <row r="229" spans="1:8" x14ac:dyDescent="0.2">
      <c r="A229" s="316" t="s">
        <v>728</v>
      </c>
      <c r="G229" s="317"/>
      <c r="H229" s="319"/>
    </row>
    <row r="230" spans="1:8" x14ac:dyDescent="0.2">
      <c r="A230" s="316" t="s">
        <v>729</v>
      </c>
      <c r="G230" s="317"/>
      <c r="H230" s="319"/>
    </row>
    <row r="231" spans="1:8" x14ac:dyDescent="0.2">
      <c r="A231" s="316" t="s">
        <v>730</v>
      </c>
      <c r="G231" s="317"/>
      <c r="H231" s="319"/>
    </row>
    <row r="232" spans="1:8" x14ac:dyDescent="0.2">
      <c r="A232" s="316" t="s">
        <v>731</v>
      </c>
      <c r="G232" s="317"/>
      <c r="H232" s="319"/>
    </row>
    <row r="233" spans="1:8" x14ac:dyDescent="0.2">
      <c r="A233" s="316" t="s">
        <v>732</v>
      </c>
      <c r="G233" s="317"/>
      <c r="H233" s="319"/>
    </row>
    <row r="234" spans="1:8" x14ac:dyDescent="0.2">
      <c r="A234" s="316" t="s">
        <v>733</v>
      </c>
      <c r="G234" s="317"/>
      <c r="H234" s="319"/>
    </row>
    <row r="235" spans="1:8" x14ac:dyDescent="0.2">
      <c r="G235" s="317"/>
      <c r="H235" s="319"/>
    </row>
    <row r="236" spans="1:8" x14ac:dyDescent="0.2">
      <c r="G236" s="317"/>
      <c r="H236" s="319"/>
    </row>
    <row r="237" spans="1:8" x14ac:dyDescent="0.2">
      <c r="G237" s="317"/>
      <c r="H237" s="319"/>
    </row>
    <row r="238" spans="1:8" x14ac:dyDescent="0.2">
      <c r="G238" s="317"/>
      <c r="H238" s="319"/>
    </row>
    <row r="239" spans="1:8" x14ac:dyDescent="0.2">
      <c r="G239" s="317"/>
      <c r="H239" s="319"/>
    </row>
    <row r="240" spans="1:8" x14ac:dyDescent="0.2">
      <c r="G240" s="317"/>
      <c r="H240" s="319"/>
    </row>
    <row r="241" spans="7:8" x14ac:dyDescent="0.2">
      <c r="G241" s="317"/>
      <c r="H241" s="319"/>
    </row>
    <row r="242" spans="7:8" x14ac:dyDescent="0.2">
      <c r="G242" s="317"/>
      <c r="H242" s="319"/>
    </row>
    <row r="243" spans="7:8" x14ac:dyDescent="0.2">
      <c r="G243" s="317"/>
      <c r="H243" s="319"/>
    </row>
    <row r="244" spans="7:8" x14ac:dyDescent="0.2">
      <c r="G244" s="317"/>
      <c r="H244" s="319"/>
    </row>
    <row r="245" spans="7:8" x14ac:dyDescent="0.2">
      <c r="G245" s="317"/>
      <c r="H245" s="319"/>
    </row>
    <row r="246" spans="7:8" x14ac:dyDescent="0.2">
      <c r="G246" s="317"/>
      <c r="H246" s="319"/>
    </row>
    <row r="247" spans="7:8" x14ac:dyDescent="0.2">
      <c r="G247" s="317"/>
      <c r="H247" s="319"/>
    </row>
    <row r="248" spans="7:8" x14ac:dyDescent="0.2">
      <c r="G248" s="317"/>
      <c r="H248" s="319"/>
    </row>
    <row r="249" spans="7:8" x14ac:dyDescent="0.2">
      <c r="G249" s="317"/>
      <c r="H249" s="319"/>
    </row>
    <row r="250" spans="7:8" x14ac:dyDescent="0.2">
      <c r="G250" s="317"/>
      <c r="H250" s="319"/>
    </row>
    <row r="251" spans="7:8" x14ac:dyDescent="0.2">
      <c r="G251" s="317"/>
      <c r="H251" s="319"/>
    </row>
    <row r="252" spans="7:8" x14ac:dyDescent="0.2">
      <c r="G252" s="317"/>
      <c r="H252" s="319"/>
    </row>
    <row r="253" spans="7:8" x14ac:dyDescent="0.2">
      <c r="G253" s="317"/>
      <c r="H253" s="319"/>
    </row>
    <row r="254" spans="7:8" x14ac:dyDescent="0.2">
      <c r="G254" s="317"/>
      <c r="H254" s="319"/>
    </row>
    <row r="255" spans="7:8" x14ac:dyDescent="0.2">
      <c r="G255" s="317"/>
      <c r="H255" s="319"/>
    </row>
    <row r="256" spans="7:8" x14ac:dyDescent="0.2">
      <c r="G256" s="317"/>
      <c r="H256" s="319"/>
    </row>
    <row r="257" spans="7:8" x14ac:dyDescent="0.2">
      <c r="G257" s="317"/>
      <c r="H257" s="319"/>
    </row>
    <row r="258" spans="7:8" x14ac:dyDescent="0.2">
      <c r="G258" s="317"/>
      <c r="H258" s="319"/>
    </row>
    <row r="259" spans="7:8" x14ac:dyDescent="0.2">
      <c r="G259" s="317"/>
      <c r="H259" s="319"/>
    </row>
    <row r="260" spans="7:8" x14ac:dyDescent="0.2">
      <c r="G260" s="317"/>
      <c r="H260" s="319"/>
    </row>
    <row r="261" spans="7:8" x14ac:dyDescent="0.2">
      <c r="G261" s="317"/>
      <c r="H261" s="319"/>
    </row>
    <row r="262" spans="7:8" x14ac:dyDescent="0.2">
      <c r="G262" s="317"/>
      <c r="H262" s="319"/>
    </row>
    <row r="263" spans="7:8" x14ac:dyDescent="0.2">
      <c r="G263" s="317"/>
      <c r="H263" s="319"/>
    </row>
    <row r="264" spans="7:8" x14ac:dyDescent="0.2">
      <c r="G264" s="317"/>
      <c r="H264" s="319"/>
    </row>
    <row r="265" spans="7:8" x14ac:dyDescent="0.2">
      <c r="G265" s="317"/>
      <c r="H265" s="319"/>
    </row>
    <row r="266" spans="7:8" x14ac:dyDescent="0.2">
      <c r="G266" s="317"/>
      <c r="H266" s="319"/>
    </row>
    <row r="267" spans="7:8" x14ac:dyDescent="0.2">
      <c r="G267" s="317"/>
      <c r="H267" s="319"/>
    </row>
    <row r="268" spans="7:8" x14ac:dyDescent="0.2">
      <c r="G268" s="317"/>
      <c r="H268" s="319"/>
    </row>
    <row r="269" spans="7:8" x14ac:dyDescent="0.2">
      <c r="G269" s="317"/>
      <c r="H269" s="319"/>
    </row>
    <row r="270" spans="7:8" x14ac:dyDescent="0.2">
      <c r="G270" s="317"/>
      <c r="H270" s="319"/>
    </row>
    <row r="271" spans="7:8" x14ac:dyDescent="0.2">
      <c r="G271" s="317"/>
      <c r="H271" s="319"/>
    </row>
    <row r="272" spans="7:8" x14ac:dyDescent="0.2">
      <c r="G272" s="317"/>
      <c r="H272" s="319"/>
    </row>
    <row r="273" spans="7:8" x14ac:dyDescent="0.2">
      <c r="G273" s="317"/>
      <c r="H273" s="319"/>
    </row>
    <row r="274" spans="7:8" x14ac:dyDescent="0.2">
      <c r="G274" s="317"/>
      <c r="H274" s="319"/>
    </row>
    <row r="275" spans="7:8" x14ac:dyDescent="0.2">
      <c r="G275" s="317"/>
      <c r="H275" s="319"/>
    </row>
    <row r="276" spans="7:8" x14ac:dyDescent="0.2">
      <c r="G276" s="317"/>
      <c r="H276" s="319"/>
    </row>
    <row r="277" spans="7:8" x14ac:dyDescent="0.2">
      <c r="G277" s="317"/>
      <c r="H277" s="319"/>
    </row>
    <row r="278" spans="7:8" x14ac:dyDescent="0.2">
      <c r="G278" s="317"/>
      <c r="H278" s="319"/>
    </row>
    <row r="279" spans="7:8" x14ac:dyDescent="0.2">
      <c r="G279" s="317"/>
      <c r="H279" s="319"/>
    </row>
    <row r="280" spans="7:8" x14ac:dyDescent="0.2">
      <c r="G280" s="317"/>
      <c r="H280" s="319"/>
    </row>
    <row r="281" spans="7:8" x14ac:dyDescent="0.2">
      <c r="G281" s="317"/>
      <c r="H281" s="319"/>
    </row>
    <row r="282" spans="7:8" x14ac:dyDescent="0.2">
      <c r="G282" s="317"/>
      <c r="H282" s="319"/>
    </row>
    <row r="283" spans="7:8" x14ac:dyDescent="0.2">
      <c r="G283" s="317"/>
      <c r="H283" s="319"/>
    </row>
    <row r="284" spans="7:8" x14ac:dyDescent="0.2">
      <c r="G284" s="317"/>
      <c r="H284" s="319"/>
    </row>
    <row r="285" spans="7:8" x14ac:dyDescent="0.2">
      <c r="G285" s="317"/>
      <c r="H285" s="319"/>
    </row>
    <row r="286" spans="7:8" x14ac:dyDescent="0.2">
      <c r="G286" s="317"/>
      <c r="H286" s="319"/>
    </row>
    <row r="287" spans="7:8" x14ac:dyDescent="0.2">
      <c r="G287" s="317"/>
      <c r="H287" s="319"/>
    </row>
    <row r="288" spans="7:8" x14ac:dyDescent="0.2">
      <c r="G288" s="317"/>
      <c r="H288" s="319"/>
    </row>
    <row r="289" spans="7:8" x14ac:dyDescent="0.2">
      <c r="G289" s="317"/>
      <c r="H289" s="319"/>
    </row>
  </sheetData>
  <conditionalFormatting sqref="F1:F1048576">
    <cfRule type="containsText" dxfId="2" priority="1" operator="containsText" text="Pipeline">
      <formula>NOT(ISERROR(SEARCH("Pipeline",F1)))</formula>
    </cfRule>
    <cfRule type="containsText" dxfId="1" priority="2" operator="containsText" text="Finalizado">
      <formula>NOT(ISERROR(SEARCH("Finalizado",F1)))</formula>
    </cfRule>
    <cfRule type="containsText" dxfId="0" priority="3" operator="containsText" text="En Ejecución">
      <formula>NOT(ISERROR(SEARCH("En Ejecución",F1)))</formula>
    </cfRule>
  </conditionalFormatting>
  <conditionalFormatting sqref="G2:G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2A7D-831A-4742-95E9-227531917936}">
  <dimension ref="A1:AK57"/>
  <sheetViews>
    <sheetView topLeftCell="G14" zoomScale="58" workbookViewId="0">
      <selection activeCell="AE21" sqref="AE21"/>
    </sheetView>
  </sheetViews>
  <sheetFormatPr baseColWidth="10" defaultColWidth="11.5" defaultRowHeight="15" x14ac:dyDescent="0.2"/>
  <cols>
    <col min="1" max="1" width="21.5" bestFit="1" customWidth="1"/>
    <col min="2" max="2" width="34.33203125" bestFit="1" customWidth="1"/>
  </cols>
  <sheetData>
    <row r="1" spans="1:37" ht="43" thickBot="1" x14ac:dyDescent="0.25">
      <c r="A1" s="43" t="s">
        <v>734</v>
      </c>
      <c r="B1" s="43" t="s">
        <v>660</v>
      </c>
      <c r="C1" s="43" t="s">
        <v>661</v>
      </c>
      <c r="D1" s="43" t="s">
        <v>662</v>
      </c>
      <c r="E1" s="44" t="s">
        <v>663</v>
      </c>
      <c r="F1" s="45" t="s">
        <v>664</v>
      </c>
      <c r="G1" s="46" t="s">
        <v>735</v>
      </c>
      <c r="H1" s="47" t="s">
        <v>665</v>
      </c>
      <c r="I1" s="34" t="s">
        <v>666</v>
      </c>
      <c r="J1" s="34" t="s">
        <v>736</v>
      </c>
      <c r="K1" s="34" t="s">
        <v>737</v>
      </c>
      <c r="L1" s="34" t="s">
        <v>738</v>
      </c>
      <c r="M1" s="32" t="s">
        <v>739</v>
      </c>
      <c r="N1" s="48">
        <v>44927</v>
      </c>
      <c r="O1" s="49">
        <v>44958</v>
      </c>
      <c r="P1" s="49">
        <v>44986</v>
      </c>
      <c r="Q1" s="49">
        <v>45017</v>
      </c>
      <c r="R1" s="49">
        <v>45047</v>
      </c>
      <c r="S1" s="49">
        <v>45078</v>
      </c>
      <c r="T1" s="49">
        <v>45108</v>
      </c>
      <c r="U1" s="49">
        <v>45139</v>
      </c>
      <c r="V1" s="49">
        <v>45170</v>
      </c>
      <c r="W1" s="49">
        <v>45200</v>
      </c>
      <c r="X1" s="49">
        <v>45231</v>
      </c>
      <c r="Y1" s="125">
        <v>45261</v>
      </c>
      <c r="Z1" s="126">
        <v>45292</v>
      </c>
      <c r="AA1" s="126">
        <v>45323</v>
      </c>
      <c r="AB1" s="126">
        <v>45352</v>
      </c>
      <c r="AC1" s="126">
        <v>45383</v>
      </c>
      <c r="AD1" s="126">
        <v>45413</v>
      </c>
      <c r="AE1" s="126">
        <v>45444</v>
      </c>
      <c r="AF1" s="126">
        <v>45474</v>
      </c>
      <c r="AG1" s="126">
        <v>45505</v>
      </c>
      <c r="AH1" s="126">
        <v>45536</v>
      </c>
      <c r="AI1" s="126">
        <v>45566</v>
      </c>
      <c r="AJ1" s="126">
        <v>45597</v>
      </c>
      <c r="AK1" s="127">
        <v>45627</v>
      </c>
    </row>
    <row r="2" spans="1:37" x14ac:dyDescent="0.2">
      <c r="A2" s="128" t="s">
        <v>740</v>
      </c>
      <c r="B2" s="128" t="s">
        <v>741</v>
      </c>
      <c r="C2" s="128" t="s">
        <v>43</v>
      </c>
      <c r="D2" s="129" t="s">
        <v>742</v>
      </c>
      <c r="E2" s="129" t="s">
        <v>143</v>
      </c>
      <c r="F2" s="129" t="s">
        <v>743</v>
      </c>
      <c r="G2" s="129" t="s">
        <v>744</v>
      </c>
      <c r="H2" s="130">
        <v>1</v>
      </c>
      <c r="I2" s="16">
        <v>179433</v>
      </c>
      <c r="J2" s="131">
        <v>202930</v>
      </c>
      <c r="K2" s="131">
        <v>202930</v>
      </c>
      <c r="L2" s="132">
        <v>1.1309513857540141</v>
      </c>
      <c r="M2" s="133">
        <v>-23497</v>
      </c>
      <c r="N2" s="134">
        <v>46514</v>
      </c>
      <c r="O2" s="135">
        <v>0</v>
      </c>
      <c r="P2" s="135">
        <v>36425</v>
      </c>
      <c r="Q2" s="135">
        <v>19249</v>
      </c>
      <c r="R2" s="135">
        <v>0</v>
      </c>
      <c r="S2" s="136">
        <v>67380</v>
      </c>
      <c r="T2" s="136">
        <v>23028</v>
      </c>
      <c r="U2" s="136">
        <v>0</v>
      </c>
      <c r="V2" s="136">
        <v>10060</v>
      </c>
      <c r="W2" s="137">
        <v>0</v>
      </c>
      <c r="X2" s="137">
        <v>274</v>
      </c>
      <c r="Y2" s="138">
        <v>0</v>
      </c>
      <c r="Z2" s="139">
        <v>0</v>
      </c>
      <c r="AA2" s="139">
        <v>0</v>
      </c>
      <c r="AB2" s="139">
        <v>0</v>
      </c>
      <c r="AC2" s="139">
        <v>0</v>
      </c>
      <c r="AD2" s="139">
        <v>0</v>
      </c>
      <c r="AE2" s="139">
        <v>0</v>
      </c>
      <c r="AF2" s="139">
        <v>0</v>
      </c>
      <c r="AG2" s="139">
        <v>0</v>
      </c>
      <c r="AH2" s="139">
        <v>0</v>
      </c>
      <c r="AI2" s="139">
        <v>0</v>
      </c>
      <c r="AJ2" s="139">
        <v>0</v>
      </c>
      <c r="AK2" s="140">
        <v>0</v>
      </c>
    </row>
    <row r="3" spans="1:37" x14ac:dyDescent="0.2">
      <c r="A3" s="128" t="s">
        <v>745</v>
      </c>
      <c r="B3" s="128" t="s">
        <v>741</v>
      </c>
      <c r="C3" s="128" t="s">
        <v>43</v>
      </c>
      <c r="D3" s="129" t="s">
        <v>746</v>
      </c>
      <c r="E3" s="129" t="s">
        <v>143</v>
      </c>
      <c r="F3" s="129" t="s">
        <v>743</v>
      </c>
      <c r="G3" s="129" t="s">
        <v>744</v>
      </c>
      <c r="H3" s="130">
        <v>1</v>
      </c>
      <c r="I3" s="16">
        <v>52447</v>
      </c>
      <c r="J3" s="131">
        <v>51143</v>
      </c>
      <c r="K3" s="131">
        <v>51143</v>
      </c>
      <c r="L3" s="132">
        <v>0.97513680477434361</v>
      </c>
      <c r="M3" s="133">
        <v>1304</v>
      </c>
      <c r="N3" s="134">
        <v>0</v>
      </c>
      <c r="O3" s="136">
        <v>0</v>
      </c>
      <c r="P3" s="136">
        <v>0</v>
      </c>
      <c r="Q3" s="136">
        <v>0</v>
      </c>
      <c r="R3" s="136">
        <v>0</v>
      </c>
      <c r="S3" s="136">
        <v>0</v>
      </c>
      <c r="T3" s="136">
        <v>0</v>
      </c>
      <c r="U3" s="136">
        <v>0</v>
      </c>
      <c r="V3" s="136">
        <v>0</v>
      </c>
      <c r="W3" s="137">
        <v>0</v>
      </c>
      <c r="X3" s="137">
        <v>51143</v>
      </c>
      <c r="Y3" s="141">
        <v>0</v>
      </c>
      <c r="Z3" s="139">
        <v>0</v>
      </c>
      <c r="AA3" s="139">
        <v>0</v>
      </c>
      <c r="AB3" s="139">
        <v>0</v>
      </c>
      <c r="AC3" s="139">
        <v>0</v>
      </c>
      <c r="AD3" s="139">
        <v>0</v>
      </c>
      <c r="AE3" s="139">
        <v>0</v>
      </c>
      <c r="AF3" s="139">
        <v>0</v>
      </c>
      <c r="AG3" s="139">
        <v>0</v>
      </c>
      <c r="AH3" s="139">
        <v>0</v>
      </c>
      <c r="AI3" s="139">
        <v>0</v>
      </c>
      <c r="AJ3" s="139">
        <v>0</v>
      </c>
      <c r="AK3" s="140">
        <v>0</v>
      </c>
    </row>
    <row r="4" spans="1:37" x14ac:dyDescent="0.2">
      <c r="A4" s="128" t="s">
        <v>747</v>
      </c>
      <c r="B4" s="128" t="s">
        <v>748</v>
      </c>
      <c r="C4" s="128" t="s">
        <v>43</v>
      </c>
      <c r="D4" s="129" t="s">
        <v>749</v>
      </c>
      <c r="E4" s="129" t="s">
        <v>181</v>
      </c>
      <c r="F4" s="129" t="s">
        <v>743</v>
      </c>
      <c r="G4" s="129" t="s">
        <v>744</v>
      </c>
      <c r="H4" s="130">
        <v>1</v>
      </c>
      <c r="I4" s="16">
        <v>50688</v>
      </c>
      <c r="J4" s="131">
        <v>50688</v>
      </c>
      <c r="K4" s="131">
        <v>50688</v>
      </c>
      <c r="L4" s="132">
        <v>1</v>
      </c>
      <c r="M4" s="133">
        <v>0</v>
      </c>
      <c r="N4" s="134">
        <v>0</v>
      </c>
      <c r="O4" s="136">
        <v>0</v>
      </c>
      <c r="P4" s="136">
        <v>50688</v>
      </c>
      <c r="Q4" s="136">
        <v>0</v>
      </c>
      <c r="R4" s="136">
        <v>0</v>
      </c>
      <c r="S4" s="136">
        <v>0</v>
      </c>
      <c r="T4" s="136">
        <v>0</v>
      </c>
      <c r="U4" s="136">
        <v>0</v>
      </c>
      <c r="V4" s="136">
        <v>0</v>
      </c>
      <c r="W4" s="137">
        <v>0</v>
      </c>
      <c r="X4" s="137">
        <v>0</v>
      </c>
      <c r="Y4" s="138">
        <v>0</v>
      </c>
      <c r="Z4" s="139">
        <v>0</v>
      </c>
      <c r="AA4" s="139">
        <v>0</v>
      </c>
      <c r="AB4" s="139">
        <v>0</v>
      </c>
      <c r="AC4" s="139">
        <v>0</v>
      </c>
      <c r="AD4" s="139">
        <v>0</v>
      </c>
      <c r="AE4" s="139">
        <v>0</v>
      </c>
      <c r="AF4" s="139">
        <v>0</v>
      </c>
      <c r="AG4" s="139">
        <v>0</v>
      </c>
      <c r="AH4" s="139">
        <v>0</v>
      </c>
      <c r="AI4" s="139">
        <v>0</v>
      </c>
      <c r="AJ4" s="139">
        <v>0</v>
      </c>
      <c r="AK4" s="140">
        <v>0</v>
      </c>
    </row>
    <row r="5" spans="1:37" x14ac:dyDescent="0.2">
      <c r="A5" s="128" t="s">
        <v>750</v>
      </c>
      <c r="B5" s="128" t="s">
        <v>751</v>
      </c>
      <c r="C5" s="128" t="s">
        <v>43</v>
      </c>
      <c r="D5" s="129" t="s">
        <v>751</v>
      </c>
      <c r="E5" s="129" t="s">
        <v>97</v>
      </c>
      <c r="F5" s="129" t="s">
        <v>743</v>
      </c>
      <c r="G5" s="129" t="s">
        <v>744</v>
      </c>
      <c r="H5" s="130">
        <v>1</v>
      </c>
      <c r="I5" s="16">
        <v>260550</v>
      </c>
      <c r="J5" s="131">
        <v>140949</v>
      </c>
      <c r="K5" s="131">
        <v>140949</v>
      </c>
      <c r="L5" s="132">
        <v>0.54096718480138173</v>
      </c>
      <c r="M5" s="133">
        <v>119601</v>
      </c>
      <c r="N5" s="134">
        <v>0</v>
      </c>
      <c r="O5" s="135">
        <v>0</v>
      </c>
      <c r="P5" s="135">
        <v>0</v>
      </c>
      <c r="Q5" s="135">
        <v>0</v>
      </c>
      <c r="R5" s="135">
        <v>0</v>
      </c>
      <c r="S5" s="136">
        <v>90837</v>
      </c>
      <c r="T5" s="135">
        <v>36666</v>
      </c>
      <c r="U5" s="135">
        <v>0</v>
      </c>
      <c r="V5" s="142">
        <v>0</v>
      </c>
      <c r="W5" s="137">
        <v>13446</v>
      </c>
      <c r="X5" s="137">
        <v>0</v>
      </c>
      <c r="Y5" s="138">
        <v>0</v>
      </c>
      <c r="Z5" s="139">
        <v>0</v>
      </c>
      <c r="AA5" s="139">
        <v>0</v>
      </c>
      <c r="AB5" s="139">
        <v>0</v>
      </c>
      <c r="AC5" s="139">
        <v>0</v>
      </c>
      <c r="AD5" s="139">
        <v>0</v>
      </c>
      <c r="AE5" s="139">
        <v>0</v>
      </c>
      <c r="AF5" s="139">
        <v>0</v>
      </c>
      <c r="AG5" s="139">
        <v>0</v>
      </c>
      <c r="AH5" s="139">
        <v>0</v>
      </c>
      <c r="AI5" s="139">
        <v>0</v>
      </c>
      <c r="AJ5" s="139">
        <v>0</v>
      </c>
      <c r="AK5" s="140">
        <v>0</v>
      </c>
    </row>
    <row r="6" spans="1:37" x14ac:dyDescent="0.2">
      <c r="A6" s="128" t="s">
        <v>752</v>
      </c>
      <c r="B6" s="128" t="s">
        <v>753</v>
      </c>
      <c r="C6" s="128" t="s">
        <v>43</v>
      </c>
      <c r="D6" s="129" t="s">
        <v>754</v>
      </c>
      <c r="E6" s="129" t="s">
        <v>97</v>
      </c>
      <c r="F6" s="129" t="s">
        <v>743</v>
      </c>
      <c r="G6" s="129" t="s">
        <v>744</v>
      </c>
      <c r="H6" s="130">
        <v>1</v>
      </c>
      <c r="I6" s="16">
        <v>74080</v>
      </c>
      <c r="J6" s="131">
        <v>73107</v>
      </c>
      <c r="K6" s="131">
        <v>73107</v>
      </c>
      <c r="L6" s="132">
        <v>0.98686555075593951</v>
      </c>
      <c r="M6" s="133">
        <v>973</v>
      </c>
      <c r="N6" s="134">
        <v>0</v>
      </c>
      <c r="O6" s="135">
        <v>0</v>
      </c>
      <c r="P6" s="135">
        <v>0</v>
      </c>
      <c r="Q6" s="135">
        <v>0</v>
      </c>
      <c r="R6" s="135">
        <v>0</v>
      </c>
      <c r="S6" s="136">
        <v>0</v>
      </c>
      <c r="T6" s="136">
        <v>0</v>
      </c>
      <c r="U6" s="136">
        <v>0</v>
      </c>
      <c r="V6" s="136">
        <v>71362</v>
      </c>
      <c r="W6" s="137">
        <v>1745</v>
      </c>
      <c r="X6" s="137">
        <v>0</v>
      </c>
      <c r="Y6" s="141">
        <v>0</v>
      </c>
      <c r="Z6" s="150">
        <v>0</v>
      </c>
      <c r="AA6" s="150">
        <v>973</v>
      </c>
      <c r="AB6" s="139">
        <v>0</v>
      </c>
      <c r="AC6" s="139">
        <v>0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139">
        <v>0</v>
      </c>
      <c r="AJ6" s="139">
        <v>0</v>
      </c>
      <c r="AK6" s="140">
        <v>0</v>
      </c>
    </row>
    <row r="7" spans="1:37" x14ac:dyDescent="0.2">
      <c r="A7" s="128" t="s">
        <v>755</v>
      </c>
      <c r="B7" s="128" t="s">
        <v>756</v>
      </c>
      <c r="C7" s="128" t="s">
        <v>43</v>
      </c>
      <c r="D7" s="129" t="s">
        <v>757</v>
      </c>
      <c r="E7" s="129" t="s">
        <v>143</v>
      </c>
      <c r="F7" s="129" t="s">
        <v>743</v>
      </c>
      <c r="G7" s="129" t="s">
        <v>744</v>
      </c>
      <c r="H7" s="130">
        <v>1</v>
      </c>
      <c r="I7" s="16">
        <v>296990</v>
      </c>
      <c r="J7" s="131">
        <v>153748.16</v>
      </c>
      <c r="K7" s="131">
        <v>153748.16</v>
      </c>
      <c r="L7" s="132">
        <v>0.51768800296306272</v>
      </c>
      <c r="M7" s="133">
        <v>143241.84</v>
      </c>
      <c r="N7" s="134">
        <v>32039</v>
      </c>
      <c r="O7" s="135">
        <v>0</v>
      </c>
      <c r="P7" s="135">
        <v>59914</v>
      </c>
      <c r="Q7" s="135">
        <v>25685.41</v>
      </c>
      <c r="R7" s="135">
        <v>0</v>
      </c>
      <c r="S7" s="136">
        <v>24609.75</v>
      </c>
      <c r="T7" s="136">
        <v>0</v>
      </c>
      <c r="U7" s="136">
        <v>11500</v>
      </c>
      <c r="V7" s="136">
        <v>0</v>
      </c>
      <c r="W7" s="137">
        <v>0</v>
      </c>
      <c r="X7" s="137">
        <v>0</v>
      </c>
      <c r="Y7" s="138">
        <v>0</v>
      </c>
      <c r="Z7" s="139">
        <v>0</v>
      </c>
      <c r="AA7" s="139">
        <v>0</v>
      </c>
      <c r="AB7" s="139">
        <v>0</v>
      </c>
      <c r="AC7" s="139">
        <v>0</v>
      </c>
      <c r="AD7" s="139">
        <v>0</v>
      </c>
      <c r="AE7" s="139">
        <v>0</v>
      </c>
      <c r="AF7" s="139">
        <v>0</v>
      </c>
      <c r="AG7" s="139">
        <v>0</v>
      </c>
      <c r="AH7" s="139">
        <v>0</v>
      </c>
      <c r="AI7" s="139">
        <v>0</v>
      </c>
      <c r="AJ7" s="139">
        <v>0</v>
      </c>
      <c r="AK7" s="140">
        <v>0</v>
      </c>
    </row>
    <row r="8" spans="1:37" x14ac:dyDescent="0.2">
      <c r="A8" s="128" t="s">
        <v>758</v>
      </c>
      <c r="B8" s="128" t="s">
        <v>759</v>
      </c>
      <c r="C8" s="128" t="s">
        <v>43</v>
      </c>
      <c r="D8" s="129" t="s">
        <v>759</v>
      </c>
      <c r="E8" s="129" t="s">
        <v>97</v>
      </c>
      <c r="F8" s="129" t="s">
        <v>743</v>
      </c>
      <c r="G8" s="129" t="s">
        <v>744</v>
      </c>
      <c r="H8" s="130">
        <v>1</v>
      </c>
      <c r="I8" s="16">
        <v>183024</v>
      </c>
      <c r="J8" s="131">
        <v>180812</v>
      </c>
      <c r="K8" s="131">
        <v>180812</v>
      </c>
      <c r="L8" s="132">
        <v>0.9879141533350817</v>
      </c>
      <c r="M8" s="133">
        <v>2212</v>
      </c>
      <c r="N8" s="134">
        <v>0</v>
      </c>
      <c r="O8" s="135">
        <v>0</v>
      </c>
      <c r="P8" s="135">
        <v>0</v>
      </c>
      <c r="Q8" s="135">
        <v>0</v>
      </c>
      <c r="R8" s="135">
        <v>0</v>
      </c>
      <c r="S8" s="135">
        <v>96154</v>
      </c>
      <c r="T8" s="135">
        <v>0</v>
      </c>
      <c r="U8" s="136">
        <v>0</v>
      </c>
      <c r="V8" s="142">
        <v>0</v>
      </c>
      <c r="W8" s="137">
        <v>84658</v>
      </c>
      <c r="X8" s="142">
        <v>0</v>
      </c>
      <c r="Y8" s="138">
        <v>0</v>
      </c>
      <c r="Z8" s="139">
        <v>0</v>
      </c>
      <c r="AA8" s="139">
        <v>0</v>
      </c>
      <c r="AB8" s="139">
        <v>0</v>
      </c>
      <c r="AC8" s="139">
        <v>0</v>
      </c>
      <c r="AD8" s="139">
        <v>0</v>
      </c>
      <c r="AE8" s="139">
        <v>0</v>
      </c>
      <c r="AF8" s="139">
        <v>0</v>
      </c>
      <c r="AG8" s="139">
        <v>0</v>
      </c>
      <c r="AH8" s="139">
        <v>0</v>
      </c>
      <c r="AI8" s="139">
        <v>0</v>
      </c>
      <c r="AJ8" s="139">
        <v>0</v>
      </c>
      <c r="AK8" s="140">
        <v>0</v>
      </c>
    </row>
    <row r="9" spans="1:37" x14ac:dyDescent="0.2">
      <c r="A9" s="128" t="s">
        <v>760</v>
      </c>
      <c r="B9" s="128" t="s">
        <v>761</v>
      </c>
      <c r="C9" s="128" t="s">
        <v>46</v>
      </c>
      <c r="D9" s="129" t="s">
        <v>762</v>
      </c>
      <c r="E9" s="129" t="s">
        <v>175</v>
      </c>
      <c r="F9" s="129" t="s">
        <v>743</v>
      </c>
      <c r="G9" s="129" t="s">
        <v>744</v>
      </c>
      <c r="H9" s="130">
        <v>1</v>
      </c>
      <c r="I9" s="16">
        <v>165237</v>
      </c>
      <c r="J9" s="131">
        <v>165237</v>
      </c>
      <c r="K9" s="131">
        <v>165237</v>
      </c>
      <c r="L9" s="132">
        <v>1</v>
      </c>
      <c r="M9" s="133">
        <v>0</v>
      </c>
      <c r="N9" s="134">
        <v>0</v>
      </c>
      <c r="O9" s="135">
        <v>0</v>
      </c>
      <c r="P9" s="135">
        <v>0</v>
      </c>
      <c r="Q9" s="135">
        <v>0</v>
      </c>
      <c r="R9" s="135">
        <v>0</v>
      </c>
      <c r="S9" s="136">
        <v>0</v>
      </c>
      <c r="T9" s="136">
        <v>0</v>
      </c>
      <c r="U9" s="136">
        <v>0</v>
      </c>
      <c r="V9" s="136">
        <v>0</v>
      </c>
      <c r="W9" s="137">
        <v>0</v>
      </c>
      <c r="X9" s="137">
        <v>165237</v>
      </c>
      <c r="Y9" s="138">
        <v>0</v>
      </c>
      <c r="Z9" s="139">
        <v>0</v>
      </c>
      <c r="AA9" s="139">
        <v>0</v>
      </c>
      <c r="AB9" s="139">
        <v>0</v>
      </c>
      <c r="AC9" s="139">
        <v>0</v>
      </c>
      <c r="AD9" s="139">
        <v>0</v>
      </c>
      <c r="AE9" s="139">
        <v>0</v>
      </c>
      <c r="AF9" s="139">
        <v>0</v>
      </c>
      <c r="AG9" s="139">
        <v>0</v>
      </c>
      <c r="AH9" s="139">
        <v>0</v>
      </c>
      <c r="AI9" s="139">
        <v>0</v>
      </c>
      <c r="AJ9" s="139">
        <v>0</v>
      </c>
      <c r="AK9" s="140">
        <v>0</v>
      </c>
    </row>
    <row r="10" spans="1:37" x14ac:dyDescent="0.2">
      <c r="A10" s="128" t="s">
        <v>763</v>
      </c>
      <c r="B10" s="128" t="s">
        <v>764</v>
      </c>
      <c r="C10" s="128" t="s">
        <v>46</v>
      </c>
      <c r="D10" s="129" t="s">
        <v>764</v>
      </c>
      <c r="E10" s="129" t="s">
        <v>175</v>
      </c>
      <c r="F10" s="129" t="s">
        <v>743</v>
      </c>
      <c r="G10" s="129" t="s">
        <v>744</v>
      </c>
      <c r="H10" s="130">
        <v>1</v>
      </c>
      <c r="I10" s="16">
        <v>27907</v>
      </c>
      <c r="J10" s="131">
        <v>27907</v>
      </c>
      <c r="K10" s="131">
        <v>45815.49</v>
      </c>
      <c r="L10" s="132">
        <v>1.6417203568997025</v>
      </c>
      <c r="M10" s="133">
        <v>-17908.489999999998</v>
      </c>
      <c r="N10" s="134">
        <v>0</v>
      </c>
      <c r="O10" s="136">
        <v>0</v>
      </c>
      <c r="P10" s="136">
        <v>19250.8</v>
      </c>
      <c r="Q10" s="136">
        <v>0</v>
      </c>
      <c r="R10" s="136">
        <v>0</v>
      </c>
      <c r="S10" s="136">
        <v>0</v>
      </c>
      <c r="T10" s="136">
        <v>0</v>
      </c>
      <c r="U10" s="136">
        <v>8656.69</v>
      </c>
      <c r="V10" s="136">
        <v>0</v>
      </c>
      <c r="W10" s="137">
        <v>0</v>
      </c>
      <c r="X10" s="137">
        <v>17908</v>
      </c>
      <c r="Y10" s="138">
        <v>0</v>
      </c>
      <c r="Z10" s="139">
        <v>0</v>
      </c>
      <c r="AA10" s="139">
        <v>0</v>
      </c>
      <c r="AB10" s="139">
        <v>0</v>
      </c>
      <c r="AC10" s="139">
        <v>0</v>
      </c>
      <c r="AD10" s="139">
        <v>0</v>
      </c>
      <c r="AE10" s="139">
        <v>0</v>
      </c>
      <c r="AF10" s="139">
        <v>0</v>
      </c>
      <c r="AG10" s="139">
        <v>0</v>
      </c>
      <c r="AH10" s="139">
        <v>0</v>
      </c>
      <c r="AI10" s="139">
        <v>0</v>
      </c>
      <c r="AJ10" s="139">
        <v>0</v>
      </c>
      <c r="AK10" s="140">
        <v>0</v>
      </c>
    </row>
    <row r="11" spans="1:37" x14ac:dyDescent="0.2">
      <c r="A11" s="128" t="s">
        <v>765</v>
      </c>
      <c r="B11" s="128" t="s">
        <v>766</v>
      </c>
      <c r="C11" s="128" t="s">
        <v>43</v>
      </c>
      <c r="D11" s="129" t="s">
        <v>767</v>
      </c>
      <c r="E11" s="129" t="s">
        <v>143</v>
      </c>
      <c r="F11" s="129" t="s">
        <v>743</v>
      </c>
      <c r="G11" s="129"/>
      <c r="H11" s="130">
        <v>1</v>
      </c>
      <c r="I11" s="16">
        <v>40859.57</v>
      </c>
      <c r="J11" s="131">
        <v>38221.35</v>
      </c>
      <c r="K11" s="131">
        <v>38221.35</v>
      </c>
      <c r="L11" s="132">
        <v>0.93543201751756078</v>
      </c>
      <c r="M11" s="133">
        <v>2638.2200000000012</v>
      </c>
      <c r="N11" s="134">
        <v>0</v>
      </c>
      <c r="O11" s="136">
        <v>0</v>
      </c>
      <c r="P11" s="136">
        <v>0</v>
      </c>
      <c r="Q11" s="136">
        <v>0</v>
      </c>
      <c r="R11" s="136">
        <v>0</v>
      </c>
      <c r="S11" s="136">
        <v>0</v>
      </c>
      <c r="T11" s="136">
        <v>0</v>
      </c>
      <c r="U11" s="136">
        <v>0</v>
      </c>
      <c r="V11" s="136">
        <v>0</v>
      </c>
      <c r="W11" s="137">
        <v>38221.35</v>
      </c>
      <c r="X11" s="137">
        <v>0</v>
      </c>
      <c r="Y11" s="138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</v>
      </c>
      <c r="AE11" s="139">
        <v>0</v>
      </c>
      <c r="AF11" s="139">
        <v>0</v>
      </c>
      <c r="AG11" s="139">
        <v>0</v>
      </c>
      <c r="AH11" s="139">
        <v>0</v>
      </c>
      <c r="AI11" s="139">
        <v>0</v>
      </c>
      <c r="AJ11" s="139">
        <v>0</v>
      </c>
      <c r="AK11" s="140">
        <v>0</v>
      </c>
    </row>
    <row r="12" spans="1:37" x14ac:dyDescent="0.2">
      <c r="A12" s="128" t="s">
        <v>768</v>
      </c>
      <c r="B12" s="128" t="s">
        <v>769</v>
      </c>
      <c r="C12" s="128" t="s">
        <v>43</v>
      </c>
      <c r="D12" s="129" t="s">
        <v>770</v>
      </c>
      <c r="E12" s="129" t="s">
        <v>143</v>
      </c>
      <c r="F12" s="129" t="s">
        <v>743</v>
      </c>
      <c r="G12" s="129"/>
      <c r="H12" s="130">
        <v>1</v>
      </c>
      <c r="I12" s="16">
        <v>27860.87</v>
      </c>
      <c r="J12" s="131">
        <v>26093.649999999998</v>
      </c>
      <c r="K12" s="131">
        <v>26093.649999999998</v>
      </c>
      <c r="L12" s="132">
        <v>0.93656981996613886</v>
      </c>
      <c r="M12" s="133">
        <v>1767.2200000000012</v>
      </c>
      <c r="N12" s="134">
        <v>0</v>
      </c>
      <c r="O12" s="136">
        <v>0</v>
      </c>
      <c r="P12" s="136">
        <v>0</v>
      </c>
      <c r="Q12" s="136">
        <v>0</v>
      </c>
      <c r="R12" s="136">
        <v>0</v>
      </c>
      <c r="S12" s="136">
        <v>0</v>
      </c>
      <c r="T12" s="136">
        <v>0</v>
      </c>
      <c r="U12" s="136">
        <v>0</v>
      </c>
      <c r="V12" s="136">
        <v>0</v>
      </c>
      <c r="W12" s="137">
        <v>26093.649999999998</v>
      </c>
      <c r="X12" s="137">
        <v>0</v>
      </c>
      <c r="Y12" s="138">
        <v>0</v>
      </c>
      <c r="Z12" s="139">
        <v>0</v>
      </c>
      <c r="AA12" s="139">
        <v>0</v>
      </c>
      <c r="AB12" s="139">
        <v>0</v>
      </c>
      <c r="AC12" s="139">
        <v>0</v>
      </c>
      <c r="AD12" s="139">
        <v>0</v>
      </c>
      <c r="AE12" s="139">
        <v>0</v>
      </c>
      <c r="AF12" s="139">
        <v>0</v>
      </c>
      <c r="AG12" s="139">
        <v>0</v>
      </c>
      <c r="AH12" s="139">
        <v>0</v>
      </c>
      <c r="AI12" s="139">
        <v>0</v>
      </c>
      <c r="AJ12" s="139">
        <v>0</v>
      </c>
      <c r="AK12" s="140">
        <v>0</v>
      </c>
    </row>
    <row r="13" spans="1:37" x14ac:dyDescent="0.2">
      <c r="A13" s="128" t="s">
        <v>771</v>
      </c>
      <c r="B13" s="128" t="s">
        <v>772</v>
      </c>
      <c r="C13" s="128" t="s">
        <v>43</v>
      </c>
      <c r="D13" s="129" t="s">
        <v>402</v>
      </c>
      <c r="E13" s="129" t="s">
        <v>232</v>
      </c>
      <c r="F13" s="129" t="s">
        <v>743</v>
      </c>
      <c r="G13" s="129" t="s">
        <v>744</v>
      </c>
      <c r="H13" s="130">
        <v>1</v>
      </c>
      <c r="I13" s="16">
        <v>294845.56</v>
      </c>
      <c r="J13" s="131">
        <v>254964</v>
      </c>
      <c r="K13" s="131">
        <v>254964</v>
      </c>
      <c r="L13" s="132">
        <v>0.86473745780672429</v>
      </c>
      <c r="M13" s="133">
        <v>39881.56</v>
      </c>
      <c r="N13" s="134">
        <v>0</v>
      </c>
      <c r="O13" s="135">
        <v>0</v>
      </c>
      <c r="P13" s="135">
        <v>0</v>
      </c>
      <c r="Q13" s="135">
        <v>0</v>
      </c>
      <c r="R13" s="135">
        <v>0</v>
      </c>
      <c r="S13" s="136">
        <v>0</v>
      </c>
      <c r="T13" s="136">
        <v>62800</v>
      </c>
      <c r="U13" s="136">
        <v>104003</v>
      </c>
      <c r="V13" s="142">
        <v>0</v>
      </c>
      <c r="W13" s="137">
        <v>88161</v>
      </c>
      <c r="X13" s="137">
        <v>0</v>
      </c>
      <c r="Y13" s="141">
        <v>0</v>
      </c>
      <c r="Z13" s="150">
        <v>0</v>
      </c>
      <c r="AA13" s="150">
        <v>3481</v>
      </c>
      <c r="AB13" s="139">
        <v>0</v>
      </c>
      <c r="AC13" s="139">
        <v>0</v>
      </c>
      <c r="AD13" s="139">
        <v>0</v>
      </c>
      <c r="AE13" s="139">
        <v>0</v>
      </c>
      <c r="AF13" s="139">
        <v>0</v>
      </c>
      <c r="AG13" s="139">
        <v>0</v>
      </c>
      <c r="AH13" s="139">
        <v>0</v>
      </c>
      <c r="AI13" s="139">
        <v>0</v>
      </c>
      <c r="AJ13" s="139">
        <v>0</v>
      </c>
      <c r="AK13" s="140">
        <v>0</v>
      </c>
    </row>
    <row r="14" spans="1:37" x14ac:dyDescent="0.2">
      <c r="A14" s="128" t="s">
        <v>773</v>
      </c>
      <c r="B14" s="128" t="s">
        <v>774</v>
      </c>
      <c r="C14" s="128" t="s">
        <v>43</v>
      </c>
      <c r="D14" s="129" t="s">
        <v>775</v>
      </c>
      <c r="E14" s="129" t="s">
        <v>776</v>
      </c>
      <c r="F14" s="129" t="s">
        <v>743</v>
      </c>
      <c r="G14" s="129" t="s">
        <v>744</v>
      </c>
      <c r="H14" s="130">
        <v>1</v>
      </c>
      <c r="I14" s="16">
        <v>67800</v>
      </c>
      <c r="J14" s="131">
        <v>23642</v>
      </c>
      <c r="K14" s="131">
        <v>23642</v>
      </c>
      <c r="L14" s="132">
        <v>0.34870206489675515</v>
      </c>
      <c r="M14" s="133">
        <v>44158</v>
      </c>
      <c r="N14" s="134">
        <v>0</v>
      </c>
      <c r="O14" s="136">
        <v>0</v>
      </c>
      <c r="P14" s="136">
        <v>0</v>
      </c>
      <c r="Q14" s="136">
        <v>0</v>
      </c>
      <c r="R14" s="136">
        <v>23642</v>
      </c>
      <c r="S14" s="136">
        <v>0</v>
      </c>
      <c r="T14" s="136">
        <v>0</v>
      </c>
      <c r="U14" s="136">
        <v>0</v>
      </c>
      <c r="V14" s="136">
        <v>0</v>
      </c>
      <c r="W14" s="137">
        <v>0</v>
      </c>
      <c r="X14" s="137">
        <v>0</v>
      </c>
      <c r="Y14" s="138">
        <v>0</v>
      </c>
      <c r="Z14" s="139">
        <v>0</v>
      </c>
      <c r="AA14" s="139">
        <v>0</v>
      </c>
      <c r="AB14" s="139">
        <v>0</v>
      </c>
      <c r="AC14" s="139">
        <v>0</v>
      </c>
      <c r="AD14" s="139">
        <v>0</v>
      </c>
      <c r="AE14" s="139">
        <v>0</v>
      </c>
      <c r="AF14" s="139">
        <v>0</v>
      </c>
      <c r="AG14" s="139">
        <v>0</v>
      </c>
      <c r="AH14" s="139">
        <v>0</v>
      </c>
      <c r="AI14" s="139">
        <v>0</v>
      </c>
      <c r="AJ14" s="139">
        <v>0</v>
      </c>
      <c r="AK14" s="140">
        <v>0</v>
      </c>
    </row>
    <row r="15" spans="1:37" x14ac:dyDescent="0.2">
      <c r="A15" s="128" t="s">
        <v>777</v>
      </c>
      <c r="B15" s="128" t="s">
        <v>778</v>
      </c>
      <c r="C15" s="128" t="s">
        <v>43</v>
      </c>
      <c r="D15" s="129" t="s">
        <v>779</v>
      </c>
      <c r="E15" s="129" t="s">
        <v>168</v>
      </c>
      <c r="F15" s="129" t="s">
        <v>743</v>
      </c>
      <c r="G15" s="129" t="s">
        <v>744</v>
      </c>
      <c r="H15" s="130">
        <v>1</v>
      </c>
      <c r="I15" s="16">
        <v>369697.48</v>
      </c>
      <c r="J15" s="131">
        <v>338308</v>
      </c>
      <c r="K15" s="131">
        <v>338308</v>
      </c>
      <c r="L15" s="132">
        <v>0.91509414670611233</v>
      </c>
      <c r="M15" s="133">
        <v>31389.479999999981</v>
      </c>
      <c r="N15" s="134">
        <v>101539</v>
      </c>
      <c r="O15" s="135">
        <v>0</v>
      </c>
      <c r="P15" s="135">
        <v>44246</v>
      </c>
      <c r="Q15" s="135">
        <v>81731</v>
      </c>
      <c r="R15" s="135">
        <v>0</v>
      </c>
      <c r="S15" s="136">
        <v>55498</v>
      </c>
      <c r="T15" s="136">
        <v>44745</v>
      </c>
      <c r="U15" s="136">
        <v>10549</v>
      </c>
      <c r="V15" s="136">
        <v>0</v>
      </c>
      <c r="W15" s="137">
        <v>0</v>
      </c>
      <c r="X15" s="137">
        <v>0</v>
      </c>
      <c r="Y15" s="138">
        <v>0</v>
      </c>
      <c r="Z15" s="139">
        <v>0</v>
      </c>
      <c r="AA15" s="139">
        <v>0</v>
      </c>
      <c r="AB15" s="139">
        <v>0</v>
      </c>
      <c r="AC15" s="139">
        <v>0</v>
      </c>
      <c r="AD15" s="139">
        <v>0</v>
      </c>
      <c r="AE15" s="139">
        <v>0</v>
      </c>
      <c r="AF15" s="139">
        <v>0</v>
      </c>
      <c r="AG15" s="139">
        <v>0</v>
      </c>
      <c r="AH15" s="139">
        <v>0</v>
      </c>
      <c r="AI15" s="139">
        <v>0</v>
      </c>
      <c r="AJ15" s="139">
        <v>0</v>
      </c>
      <c r="AK15" s="140">
        <v>0</v>
      </c>
    </row>
    <row r="16" spans="1:37" x14ac:dyDescent="0.2">
      <c r="A16" s="128" t="s">
        <v>780</v>
      </c>
      <c r="B16" s="128" t="s">
        <v>781</v>
      </c>
      <c r="C16" s="128" t="s">
        <v>48</v>
      </c>
      <c r="D16" s="129" t="s">
        <v>782</v>
      </c>
      <c r="E16" s="129" t="s">
        <v>783</v>
      </c>
      <c r="F16" s="129" t="s">
        <v>743</v>
      </c>
      <c r="G16" s="129" t="s">
        <v>744</v>
      </c>
      <c r="H16" s="130">
        <v>1</v>
      </c>
      <c r="I16" s="16">
        <v>45656</v>
      </c>
      <c r="J16" s="131">
        <v>43371</v>
      </c>
      <c r="K16" s="131">
        <v>43371</v>
      </c>
      <c r="L16" s="132">
        <v>0.94995181356229197</v>
      </c>
      <c r="M16" s="133">
        <v>2285</v>
      </c>
      <c r="N16" s="134">
        <v>0</v>
      </c>
      <c r="O16" s="136">
        <v>0</v>
      </c>
      <c r="P16" s="136">
        <v>0</v>
      </c>
      <c r="Q16" s="136">
        <v>0</v>
      </c>
      <c r="R16" s="136">
        <v>0</v>
      </c>
      <c r="S16" s="136">
        <v>0</v>
      </c>
      <c r="T16" s="136">
        <v>0</v>
      </c>
      <c r="U16" s="136">
        <v>0</v>
      </c>
      <c r="V16" s="136">
        <v>0</v>
      </c>
      <c r="W16" s="137">
        <v>43371</v>
      </c>
      <c r="X16" s="137">
        <v>0</v>
      </c>
      <c r="Y16" s="138">
        <v>0</v>
      </c>
      <c r="Z16" s="139">
        <v>0</v>
      </c>
      <c r="AA16" s="139">
        <v>0</v>
      </c>
      <c r="AB16" s="139">
        <v>0</v>
      </c>
      <c r="AC16" s="139">
        <v>0</v>
      </c>
      <c r="AD16" s="139">
        <v>0</v>
      </c>
      <c r="AE16" s="139">
        <v>0</v>
      </c>
      <c r="AF16" s="139">
        <v>0</v>
      </c>
      <c r="AG16" s="139">
        <v>0</v>
      </c>
      <c r="AH16" s="139">
        <v>0</v>
      </c>
      <c r="AI16" s="139">
        <v>0</v>
      </c>
      <c r="AJ16" s="139">
        <v>0</v>
      </c>
      <c r="AK16" s="140">
        <v>0</v>
      </c>
    </row>
    <row r="17" spans="1:37" x14ac:dyDescent="0.2">
      <c r="A17" s="128" t="s">
        <v>784</v>
      </c>
      <c r="B17" s="128" t="s">
        <v>785</v>
      </c>
      <c r="C17" s="128" t="s">
        <v>48</v>
      </c>
      <c r="D17" s="129" t="s">
        <v>786</v>
      </c>
      <c r="E17" s="129" t="s">
        <v>783</v>
      </c>
      <c r="F17" s="129" t="s">
        <v>743</v>
      </c>
      <c r="G17" s="129" t="s">
        <v>744</v>
      </c>
      <c r="H17" s="130">
        <v>1</v>
      </c>
      <c r="I17" s="16">
        <v>180263</v>
      </c>
      <c r="J17" s="131">
        <v>153318</v>
      </c>
      <c r="K17" s="131">
        <v>153318</v>
      </c>
      <c r="L17" s="132">
        <v>0.8505239566633197</v>
      </c>
      <c r="M17" s="133">
        <v>26945</v>
      </c>
      <c r="N17" s="134">
        <v>0</v>
      </c>
      <c r="O17" s="136">
        <v>0</v>
      </c>
      <c r="P17" s="136">
        <v>0</v>
      </c>
      <c r="Q17" s="136">
        <v>0</v>
      </c>
      <c r="R17" s="136">
        <v>0</v>
      </c>
      <c r="S17" s="136">
        <v>46805</v>
      </c>
      <c r="T17" s="136">
        <v>0</v>
      </c>
      <c r="U17" s="136">
        <v>29854</v>
      </c>
      <c r="V17" s="136">
        <v>46805</v>
      </c>
      <c r="W17" s="137">
        <v>0</v>
      </c>
      <c r="X17" s="137">
        <v>0</v>
      </c>
      <c r="Y17" s="141">
        <v>29854</v>
      </c>
      <c r="Z17" s="139">
        <v>0</v>
      </c>
      <c r="AA17" s="139">
        <v>0</v>
      </c>
      <c r="AB17" s="139">
        <v>0</v>
      </c>
      <c r="AC17" s="139">
        <v>0</v>
      </c>
      <c r="AD17" s="139">
        <v>0</v>
      </c>
      <c r="AE17" s="139">
        <v>0</v>
      </c>
      <c r="AF17" s="139">
        <v>0</v>
      </c>
      <c r="AG17" s="139">
        <v>0</v>
      </c>
      <c r="AH17" s="139">
        <v>0</v>
      </c>
      <c r="AI17" s="139">
        <v>0</v>
      </c>
      <c r="AJ17" s="139">
        <v>0</v>
      </c>
      <c r="AK17" s="140">
        <v>0</v>
      </c>
    </row>
    <row r="18" spans="1:37" x14ac:dyDescent="0.2">
      <c r="A18" s="128" t="s">
        <v>787</v>
      </c>
      <c r="B18" s="128" t="s">
        <v>788</v>
      </c>
      <c r="C18" s="128" t="s">
        <v>48</v>
      </c>
      <c r="D18" s="129" t="s">
        <v>789</v>
      </c>
      <c r="E18" s="129" t="s">
        <v>783</v>
      </c>
      <c r="F18" s="129" t="s">
        <v>743</v>
      </c>
      <c r="G18" s="129" t="s">
        <v>744</v>
      </c>
      <c r="H18" s="130">
        <v>1</v>
      </c>
      <c r="I18" s="16">
        <v>123973</v>
      </c>
      <c r="J18" s="131">
        <v>123973</v>
      </c>
      <c r="K18" s="131">
        <v>123973</v>
      </c>
      <c r="L18" s="132">
        <v>1</v>
      </c>
      <c r="M18" s="133">
        <v>0</v>
      </c>
      <c r="N18" s="134">
        <v>0</v>
      </c>
      <c r="O18" s="136">
        <v>0</v>
      </c>
      <c r="P18" s="136">
        <v>0</v>
      </c>
      <c r="Q18" s="136">
        <v>0</v>
      </c>
      <c r="R18" s="136">
        <v>0</v>
      </c>
      <c r="S18" s="136">
        <v>0</v>
      </c>
      <c r="T18" s="136">
        <v>66887</v>
      </c>
      <c r="U18" s="136">
        <v>57086</v>
      </c>
      <c r="V18" s="136">
        <v>0</v>
      </c>
      <c r="W18" s="137">
        <v>0</v>
      </c>
      <c r="X18" s="137">
        <v>0</v>
      </c>
      <c r="Y18" s="138">
        <v>0</v>
      </c>
      <c r="Z18" s="139">
        <v>0</v>
      </c>
      <c r="AA18" s="139">
        <v>0</v>
      </c>
      <c r="AB18" s="139">
        <v>0</v>
      </c>
      <c r="AC18" s="139">
        <v>0</v>
      </c>
      <c r="AD18" s="139">
        <v>0</v>
      </c>
      <c r="AE18" s="139">
        <v>0</v>
      </c>
      <c r="AF18" s="139">
        <v>0</v>
      </c>
      <c r="AG18" s="139">
        <v>0</v>
      </c>
      <c r="AH18" s="139">
        <v>0</v>
      </c>
      <c r="AI18" s="139">
        <v>0</v>
      </c>
      <c r="AJ18" s="139">
        <v>0</v>
      </c>
      <c r="AK18" s="140">
        <v>0</v>
      </c>
    </row>
    <row r="19" spans="1:37" x14ac:dyDescent="0.2">
      <c r="A19" s="128" t="s">
        <v>790</v>
      </c>
      <c r="B19" s="128" t="s">
        <v>748</v>
      </c>
      <c r="C19" s="128" t="s">
        <v>43</v>
      </c>
      <c r="D19" s="129" t="s">
        <v>791</v>
      </c>
      <c r="E19" s="129" t="s">
        <v>249</v>
      </c>
      <c r="F19" s="129" t="s">
        <v>743</v>
      </c>
      <c r="G19" s="129" t="s">
        <v>744</v>
      </c>
      <c r="H19" s="130">
        <v>1</v>
      </c>
      <c r="I19" s="16">
        <v>92002.260000000009</v>
      </c>
      <c r="J19" s="131">
        <v>92002.260000000009</v>
      </c>
      <c r="K19" s="131">
        <v>92002.260000000009</v>
      </c>
      <c r="L19" s="132">
        <v>1</v>
      </c>
      <c r="M19" s="133">
        <v>0</v>
      </c>
      <c r="N19" s="134">
        <v>48365.26</v>
      </c>
      <c r="O19" s="135">
        <v>43637</v>
      </c>
      <c r="P19" s="135" t="s">
        <v>792</v>
      </c>
      <c r="Q19" s="135">
        <v>0</v>
      </c>
      <c r="R19" s="135">
        <v>0</v>
      </c>
      <c r="S19" s="136">
        <v>0</v>
      </c>
      <c r="T19" s="136">
        <v>0</v>
      </c>
      <c r="U19" s="136">
        <v>0</v>
      </c>
      <c r="V19" s="136">
        <v>0</v>
      </c>
      <c r="W19" s="137">
        <v>0</v>
      </c>
      <c r="X19" s="137">
        <v>0</v>
      </c>
      <c r="Y19" s="138">
        <v>0</v>
      </c>
      <c r="Z19" s="139">
        <v>0</v>
      </c>
      <c r="AA19" s="139">
        <v>0</v>
      </c>
      <c r="AB19" s="139">
        <v>0</v>
      </c>
      <c r="AC19" s="139">
        <v>0</v>
      </c>
      <c r="AD19" s="139">
        <v>0</v>
      </c>
      <c r="AE19" s="139">
        <v>0</v>
      </c>
      <c r="AF19" s="139">
        <v>0</v>
      </c>
      <c r="AG19" s="139">
        <v>0</v>
      </c>
      <c r="AH19" s="139">
        <v>0</v>
      </c>
      <c r="AI19" s="139">
        <v>0</v>
      </c>
      <c r="AJ19" s="139">
        <v>0</v>
      </c>
      <c r="AK19" s="140">
        <v>0</v>
      </c>
    </row>
    <row r="20" spans="1:37" x14ac:dyDescent="0.2">
      <c r="A20" s="128" t="s">
        <v>793</v>
      </c>
      <c r="B20" s="128" t="s">
        <v>794</v>
      </c>
      <c r="C20" s="128" t="s">
        <v>46</v>
      </c>
      <c r="D20" s="129" t="s">
        <v>794</v>
      </c>
      <c r="E20" s="129" t="s">
        <v>175</v>
      </c>
      <c r="F20" s="129" t="s">
        <v>743</v>
      </c>
      <c r="G20" s="129" t="s">
        <v>744</v>
      </c>
      <c r="H20" s="130">
        <v>1</v>
      </c>
      <c r="I20" s="16">
        <v>130565.63500000001</v>
      </c>
      <c r="J20" s="131">
        <v>130565.63500000001</v>
      </c>
      <c r="K20" s="131">
        <v>130565.63500000001</v>
      </c>
      <c r="L20" s="132">
        <v>1</v>
      </c>
      <c r="M20" s="133">
        <v>0</v>
      </c>
      <c r="N20" s="134">
        <v>0</v>
      </c>
      <c r="O20" s="136">
        <v>0</v>
      </c>
      <c r="P20" s="136">
        <v>0</v>
      </c>
      <c r="Q20" s="136">
        <v>33038.61</v>
      </c>
      <c r="R20" s="136">
        <v>7732.4</v>
      </c>
      <c r="S20" s="136">
        <v>41477.25</v>
      </c>
      <c r="T20" s="136">
        <v>6840.375</v>
      </c>
      <c r="U20" s="136">
        <v>41477</v>
      </c>
      <c r="V20" s="136">
        <v>0</v>
      </c>
      <c r="W20" s="137">
        <v>0</v>
      </c>
      <c r="X20" s="137">
        <v>0</v>
      </c>
      <c r="Y20" s="138">
        <v>0</v>
      </c>
      <c r="Z20" s="139">
        <v>0</v>
      </c>
      <c r="AA20" s="139">
        <v>0</v>
      </c>
      <c r="AB20" s="139">
        <v>0</v>
      </c>
      <c r="AC20" s="139">
        <v>0</v>
      </c>
      <c r="AD20" s="139">
        <v>0</v>
      </c>
      <c r="AE20" s="139">
        <v>0</v>
      </c>
      <c r="AF20" s="139">
        <v>0</v>
      </c>
      <c r="AG20" s="139">
        <v>0</v>
      </c>
      <c r="AH20" s="139">
        <v>0</v>
      </c>
      <c r="AI20" s="139">
        <v>0</v>
      </c>
      <c r="AJ20" s="139">
        <v>0</v>
      </c>
      <c r="AK20" s="140">
        <v>0</v>
      </c>
    </row>
    <row r="21" spans="1:37" x14ac:dyDescent="0.2">
      <c r="A21" s="128" t="s">
        <v>795</v>
      </c>
      <c r="B21" s="128" t="s">
        <v>244</v>
      </c>
      <c r="C21" s="128" t="s">
        <v>43</v>
      </c>
      <c r="D21" s="129" t="s">
        <v>796</v>
      </c>
      <c r="E21" s="129" t="s">
        <v>244</v>
      </c>
      <c r="F21" s="129" t="s">
        <v>743</v>
      </c>
      <c r="G21" s="129" t="s">
        <v>744</v>
      </c>
      <c r="H21" s="130">
        <v>1</v>
      </c>
      <c r="I21" s="16">
        <v>79918</v>
      </c>
      <c r="J21" s="131">
        <v>190559</v>
      </c>
      <c r="K21" s="131">
        <v>190559</v>
      </c>
      <c r="L21" s="132">
        <v>2.3844315423308893</v>
      </c>
      <c r="M21" s="133">
        <v>-110641</v>
      </c>
      <c r="N21" s="134">
        <v>39901</v>
      </c>
      <c r="O21" s="136">
        <v>0</v>
      </c>
      <c r="P21" s="136">
        <v>109884</v>
      </c>
      <c r="Q21" s="136">
        <v>0</v>
      </c>
      <c r="R21" s="136">
        <v>0</v>
      </c>
      <c r="S21" s="136">
        <v>40774</v>
      </c>
      <c r="T21" s="136">
        <v>0</v>
      </c>
      <c r="U21" s="136">
        <v>0</v>
      </c>
      <c r="V21" s="136">
        <v>0</v>
      </c>
      <c r="W21" s="137">
        <v>0</v>
      </c>
      <c r="X21" s="137">
        <v>0</v>
      </c>
      <c r="Y21" s="138">
        <v>0</v>
      </c>
      <c r="Z21" s="139">
        <v>0</v>
      </c>
      <c r="AA21" s="139">
        <v>0</v>
      </c>
      <c r="AB21" s="139">
        <v>0</v>
      </c>
      <c r="AC21" s="139">
        <v>0</v>
      </c>
      <c r="AD21" s="139">
        <v>0</v>
      </c>
      <c r="AE21" s="139">
        <v>0</v>
      </c>
      <c r="AF21" s="139">
        <v>0</v>
      </c>
      <c r="AG21" s="139">
        <v>0</v>
      </c>
      <c r="AH21" s="139">
        <v>0</v>
      </c>
      <c r="AI21" s="139">
        <v>0</v>
      </c>
      <c r="AJ21" s="139">
        <v>0</v>
      </c>
      <c r="AK21" s="140">
        <v>0</v>
      </c>
    </row>
    <row r="22" spans="1:37" x14ac:dyDescent="0.2">
      <c r="A22" s="128" t="s">
        <v>797</v>
      </c>
      <c r="B22" s="128" t="s">
        <v>798</v>
      </c>
      <c r="C22" s="128" t="s">
        <v>46</v>
      </c>
      <c r="D22" s="129" t="s">
        <v>798</v>
      </c>
      <c r="E22" s="129" t="s">
        <v>799</v>
      </c>
      <c r="F22" s="129" t="s">
        <v>743</v>
      </c>
      <c r="G22" s="129" t="s">
        <v>744</v>
      </c>
      <c r="H22" s="130">
        <v>1</v>
      </c>
      <c r="I22" s="16">
        <v>18991</v>
      </c>
      <c r="J22" s="131">
        <v>18991</v>
      </c>
      <c r="K22" s="131">
        <v>22336</v>
      </c>
      <c r="L22" s="132">
        <v>1.1761360644515824</v>
      </c>
      <c r="M22" s="133">
        <v>-3345</v>
      </c>
      <c r="N22" s="134">
        <v>0</v>
      </c>
      <c r="O22" s="136">
        <v>0</v>
      </c>
      <c r="P22" s="136">
        <v>18991</v>
      </c>
      <c r="Q22" s="136">
        <v>0</v>
      </c>
      <c r="R22" s="136">
        <v>0</v>
      </c>
      <c r="S22" s="136">
        <v>0</v>
      </c>
      <c r="T22" s="136">
        <v>0</v>
      </c>
      <c r="U22" s="136">
        <v>0</v>
      </c>
      <c r="V22" s="136">
        <v>0</v>
      </c>
      <c r="W22" s="137">
        <v>0</v>
      </c>
      <c r="X22" s="137">
        <v>0</v>
      </c>
      <c r="Y22" s="141">
        <v>3345</v>
      </c>
      <c r="Z22" s="139">
        <v>0</v>
      </c>
      <c r="AA22" s="139">
        <v>0</v>
      </c>
      <c r="AB22" s="139">
        <v>0</v>
      </c>
      <c r="AC22" s="139">
        <v>0</v>
      </c>
      <c r="AD22" s="139">
        <v>0</v>
      </c>
      <c r="AE22" s="139">
        <v>0</v>
      </c>
      <c r="AF22" s="139">
        <v>0</v>
      </c>
      <c r="AG22" s="139">
        <v>0</v>
      </c>
      <c r="AH22" s="139">
        <v>0</v>
      </c>
      <c r="AI22" s="139">
        <v>0</v>
      </c>
      <c r="AJ22" s="139">
        <v>0</v>
      </c>
      <c r="AK22" s="140">
        <v>0</v>
      </c>
    </row>
    <row r="23" spans="1:37" x14ac:dyDescent="0.2">
      <c r="A23" s="128" t="s">
        <v>674</v>
      </c>
      <c r="B23" s="327" t="s">
        <v>675</v>
      </c>
      <c r="C23" s="128" t="s">
        <v>46</v>
      </c>
      <c r="D23" s="129" t="s">
        <v>676</v>
      </c>
      <c r="E23" s="129" t="s">
        <v>677</v>
      </c>
      <c r="F23" s="129" t="s">
        <v>678</v>
      </c>
      <c r="G23" s="129" t="s">
        <v>744</v>
      </c>
      <c r="H23" s="130">
        <v>1</v>
      </c>
      <c r="I23" s="16">
        <v>160000</v>
      </c>
      <c r="J23" s="131">
        <v>0</v>
      </c>
      <c r="K23" s="131">
        <v>0</v>
      </c>
      <c r="L23" s="132">
        <v>0</v>
      </c>
      <c r="M23" s="133">
        <v>160000</v>
      </c>
      <c r="N23" s="134">
        <v>0</v>
      </c>
      <c r="O23" s="135">
        <v>0</v>
      </c>
      <c r="P23" s="135">
        <v>0</v>
      </c>
      <c r="Q23" s="135">
        <v>0</v>
      </c>
      <c r="R23" s="135">
        <v>0</v>
      </c>
      <c r="S23" s="136">
        <v>0</v>
      </c>
      <c r="T23" s="136">
        <v>0</v>
      </c>
      <c r="U23" s="136">
        <v>0</v>
      </c>
      <c r="V23" s="136">
        <v>0</v>
      </c>
      <c r="W23" s="137">
        <v>0</v>
      </c>
      <c r="X23" s="137">
        <v>0</v>
      </c>
      <c r="Y23" s="141">
        <v>0</v>
      </c>
      <c r="Z23" s="150">
        <v>0</v>
      </c>
      <c r="AA23" s="150">
        <v>72174</v>
      </c>
      <c r="AB23" s="139">
        <v>29275.333333333332</v>
      </c>
      <c r="AC23" s="139">
        <v>29275.333333333332</v>
      </c>
      <c r="AD23" s="139">
        <v>29275.333333333332</v>
      </c>
      <c r="AE23" s="139">
        <v>0</v>
      </c>
      <c r="AF23" s="139">
        <v>0</v>
      </c>
      <c r="AG23" s="139">
        <v>0</v>
      </c>
      <c r="AH23" s="139">
        <v>0</v>
      </c>
      <c r="AI23" s="139">
        <v>0</v>
      </c>
      <c r="AJ23" s="139">
        <v>0</v>
      </c>
      <c r="AK23" s="140">
        <v>0</v>
      </c>
    </row>
    <row r="24" spans="1:37" x14ac:dyDescent="0.2">
      <c r="A24" s="128" t="s">
        <v>679</v>
      </c>
      <c r="B24" s="327" t="s">
        <v>680</v>
      </c>
      <c r="C24" s="128" t="s">
        <v>46</v>
      </c>
      <c r="D24" s="129" t="s">
        <v>680</v>
      </c>
      <c r="E24" s="129" t="s">
        <v>681</v>
      </c>
      <c r="F24" s="129" t="s">
        <v>678</v>
      </c>
      <c r="G24" s="129" t="s">
        <v>744</v>
      </c>
      <c r="H24" s="130">
        <v>1</v>
      </c>
      <c r="I24" s="16">
        <v>917313</v>
      </c>
      <c r="J24" s="131">
        <v>91731</v>
      </c>
      <c r="K24" s="131">
        <v>91731</v>
      </c>
      <c r="L24" s="132">
        <v>9.9999672957867158E-2</v>
      </c>
      <c r="M24" s="133">
        <v>825582</v>
      </c>
      <c r="N24" s="134">
        <v>0</v>
      </c>
      <c r="O24" s="136">
        <v>0</v>
      </c>
      <c r="P24" s="136">
        <v>0</v>
      </c>
      <c r="Q24" s="136">
        <v>0</v>
      </c>
      <c r="R24" s="136">
        <v>0</v>
      </c>
      <c r="S24" s="136">
        <v>0</v>
      </c>
      <c r="T24" s="136">
        <v>0</v>
      </c>
      <c r="U24" s="136">
        <v>0</v>
      </c>
      <c r="V24" s="136">
        <v>0</v>
      </c>
      <c r="W24" s="137">
        <v>0</v>
      </c>
      <c r="X24" s="148">
        <v>0</v>
      </c>
      <c r="Y24" s="141">
        <v>91731</v>
      </c>
      <c r="Z24" s="150">
        <v>100441</v>
      </c>
      <c r="AA24" s="150">
        <v>29776</v>
      </c>
      <c r="AB24" s="150">
        <v>70005</v>
      </c>
      <c r="AC24" s="149">
        <v>201211.33333333334</v>
      </c>
      <c r="AD24" s="149">
        <v>201211.33333333334</v>
      </c>
      <c r="AE24" s="149">
        <v>201211.33333333334</v>
      </c>
      <c r="AF24" s="139">
        <v>0</v>
      </c>
      <c r="AG24" s="139">
        <v>0</v>
      </c>
      <c r="AH24" s="139">
        <v>0</v>
      </c>
      <c r="AI24" s="139">
        <v>0</v>
      </c>
      <c r="AJ24" s="139">
        <v>0</v>
      </c>
      <c r="AK24" s="140">
        <v>0</v>
      </c>
    </row>
    <row r="25" spans="1:37" x14ac:dyDescent="0.2">
      <c r="A25" s="128" t="s">
        <v>800</v>
      </c>
      <c r="B25" s="128" t="s">
        <v>801</v>
      </c>
      <c r="C25" s="128" t="s">
        <v>46</v>
      </c>
      <c r="D25" s="129" t="s">
        <v>802</v>
      </c>
      <c r="E25" s="129" t="s">
        <v>175</v>
      </c>
      <c r="F25" s="129" t="s">
        <v>743</v>
      </c>
      <c r="G25" s="129" t="s">
        <v>744</v>
      </c>
      <c r="H25" s="130">
        <v>1</v>
      </c>
      <c r="I25" s="16">
        <v>137832</v>
      </c>
      <c r="J25" s="131">
        <v>137832</v>
      </c>
      <c r="K25" s="131">
        <v>137832</v>
      </c>
      <c r="L25" s="132">
        <v>1</v>
      </c>
      <c r="M25" s="133">
        <v>0</v>
      </c>
      <c r="N25" s="134">
        <v>0</v>
      </c>
      <c r="O25" s="135">
        <v>0</v>
      </c>
      <c r="P25" s="135">
        <v>0</v>
      </c>
      <c r="Q25" s="135">
        <v>0</v>
      </c>
      <c r="R25" s="135">
        <v>0</v>
      </c>
      <c r="S25" s="136">
        <v>97467</v>
      </c>
      <c r="T25" s="143">
        <v>0</v>
      </c>
      <c r="U25" s="136">
        <v>29431</v>
      </c>
      <c r="V25" s="136">
        <v>0</v>
      </c>
      <c r="W25" s="137">
        <v>10934</v>
      </c>
      <c r="X25" s="137">
        <v>0</v>
      </c>
      <c r="Y25" s="138">
        <v>0</v>
      </c>
      <c r="Z25" s="139">
        <v>0</v>
      </c>
      <c r="AA25" s="139">
        <v>0</v>
      </c>
      <c r="AB25" s="139">
        <v>0</v>
      </c>
      <c r="AC25" s="139">
        <v>0</v>
      </c>
      <c r="AD25" s="139">
        <v>0</v>
      </c>
      <c r="AE25" s="139">
        <v>0</v>
      </c>
      <c r="AF25" s="139">
        <v>0</v>
      </c>
      <c r="AG25" s="139">
        <v>0</v>
      </c>
      <c r="AH25" s="139">
        <v>0</v>
      </c>
      <c r="AI25" s="139">
        <v>0</v>
      </c>
      <c r="AJ25" s="139">
        <v>0</v>
      </c>
      <c r="AK25" s="140">
        <v>0</v>
      </c>
    </row>
    <row r="26" spans="1:37" x14ac:dyDescent="0.2">
      <c r="A26" s="128" t="s">
        <v>803</v>
      </c>
      <c r="B26" s="128" t="s">
        <v>804</v>
      </c>
      <c r="C26" s="128" t="s">
        <v>43</v>
      </c>
      <c r="D26" s="129" t="s">
        <v>805</v>
      </c>
      <c r="E26" s="129" t="s">
        <v>143</v>
      </c>
      <c r="F26" s="129" t="s">
        <v>743</v>
      </c>
      <c r="G26" s="129" t="s">
        <v>744</v>
      </c>
      <c r="H26" s="130">
        <v>1</v>
      </c>
      <c r="I26" s="16">
        <v>34790</v>
      </c>
      <c r="J26" s="131">
        <v>44990</v>
      </c>
      <c r="K26" s="131">
        <v>44990</v>
      </c>
      <c r="L26" s="132">
        <v>1.2931876976142569</v>
      </c>
      <c r="M26" s="133">
        <v>-10200</v>
      </c>
      <c r="N26" s="134">
        <v>0</v>
      </c>
      <c r="O26" s="135">
        <v>0</v>
      </c>
      <c r="P26" s="135">
        <v>0</v>
      </c>
      <c r="Q26" s="135">
        <v>0</v>
      </c>
      <c r="R26" s="135">
        <v>0</v>
      </c>
      <c r="S26" s="136">
        <v>0</v>
      </c>
      <c r="T26" s="136">
        <v>0</v>
      </c>
      <c r="U26" s="136">
        <v>0</v>
      </c>
      <c r="V26" s="136">
        <v>0</v>
      </c>
      <c r="W26" s="137">
        <v>0</v>
      </c>
      <c r="X26" s="137">
        <v>44990</v>
      </c>
      <c r="Y26" s="141">
        <v>0</v>
      </c>
      <c r="Z26" s="139">
        <v>0</v>
      </c>
      <c r="AA26" s="139">
        <v>0</v>
      </c>
      <c r="AB26" s="139">
        <v>0</v>
      </c>
      <c r="AC26" s="139">
        <v>0</v>
      </c>
      <c r="AD26" s="139">
        <v>0</v>
      </c>
      <c r="AE26" s="139">
        <v>0</v>
      </c>
      <c r="AF26" s="139">
        <v>0</v>
      </c>
      <c r="AG26" s="139">
        <v>0</v>
      </c>
      <c r="AH26" s="139">
        <v>0</v>
      </c>
      <c r="AI26" s="139">
        <v>0</v>
      </c>
      <c r="AJ26" s="139">
        <v>0</v>
      </c>
      <c r="AK26" s="140">
        <v>0</v>
      </c>
    </row>
    <row r="27" spans="1:37" x14ac:dyDescent="0.2">
      <c r="A27" s="128" t="s">
        <v>682</v>
      </c>
      <c r="B27" s="327" t="s">
        <v>683</v>
      </c>
      <c r="C27" s="128" t="s">
        <v>45</v>
      </c>
      <c r="D27" s="129" t="s">
        <v>330</v>
      </c>
      <c r="E27" s="129" t="s">
        <v>195</v>
      </c>
      <c r="F27" s="129" t="s">
        <v>678</v>
      </c>
      <c r="G27" s="129" t="s">
        <v>744</v>
      </c>
      <c r="H27" s="130">
        <v>1</v>
      </c>
      <c r="I27" s="16">
        <v>555021</v>
      </c>
      <c r="J27" s="131">
        <v>192584</v>
      </c>
      <c r="K27" s="131">
        <v>192584</v>
      </c>
      <c r="L27" s="132">
        <v>0.34698506903342397</v>
      </c>
      <c r="M27" s="133">
        <v>362437</v>
      </c>
      <c r="N27" s="134">
        <v>0</v>
      </c>
      <c r="O27" s="135">
        <v>0</v>
      </c>
      <c r="P27" s="135">
        <v>0</v>
      </c>
      <c r="Q27" s="135">
        <v>0</v>
      </c>
      <c r="R27" s="135">
        <v>0</v>
      </c>
      <c r="S27" s="151">
        <v>0</v>
      </c>
      <c r="T27" s="151">
        <v>70821</v>
      </c>
      <c r="U27" s="151">
        <v>14596</v>
      </c>
      <c r="V27" s="151">
        <v>40919</v>
      </c>
      <c r="W27" s="137">
        <v>39419</v>
      </c>
      <c r="X27" s="148">
        <v>0</v>
      </c>
      <c r="Y27" s="141">
        <v>26829</v>
      </c>
      <c r="Z27" s="150">
        <v>155916</v>
      </c>
      <c r="AA27" s="150">
        <v>11081</v>
      </c>
      <c r="AB27" s="139">
        <v>65146.666666666664</v>
      </c>
      <c r="AC27" s="139">
        <v>65146.666666666664</v>
      </c>
      <c r="AD27" s="139">
        <v>65146.666666666664</v>
      </c>
      <c r="AE27" s="139"/>
      <c r="AF27" s="139"/>
      <c r="AG27" s="139"/>
      <c r="AH27" s="139"/>
      <c r="AI27" s="139"/>
      <c r="AJ27" s="139">
        <v>0</v>
      </c>
      <c r="AK27" s="140">
        <v>0</v>
      </c>
    </row>
    <row r="28" spans="1:37" x14ac:dyDescent="0.2">
      <c r="A28" s="128" t="s">
        <v>684</v>
      </c>
      <c r="B28" s="327" t="s">
        <v>685</v>
      </c>
      <c r="C28" s="128" t="s">
        <v>45</v>
      </c>
      <c r="D28" s="129" t="s">
        <v>686</v>
      </c>
      <c r="E28" s="129" t="s">
        <v>687</v>
      </c>
      <c r="F28" s="129" t="s">
        <v>678</v>
      </c>
      <c r="G28" s="129" t="s">
        <v>744</v>
      </c>
      <c r="H28" s="130">
        <v>1</v>
      </c>
      <c r="I28" s="16">
        <v>203609</v>
      </c>
      <c r="J28" s="131">
        <v>10924</v>
      </c>
      <c r="K28" s="131">
        <v>10924</v>
      </c>
      <c r="L28" s="132">
        <v>5.3651852324799E-2</v>
      </c>
      <c r="M28" s="133">
        <v>192685</v>
      </c>
      <c r="N28" s="134">
        <v>0</v>
      </c>
      <c r="O28" s="136">
        <v>0</v>
      </c>
      <c r="P28" s="136">
        <v>0</v>
      </c>
      <c r="Q28" s="136">
        <v>0</v>
      </c>
      <c r="R28" s="136">
        <v>0</v>
      </c>
      <c r="S28" s="136">
        <v>0</v>
      </c>
      <c r="T28" s="136">
        <v>0</v>
      </c>
      <c r="U28" s="136">
        <v>0</v>
      </c>
      <c r="V28" s="136">
        <v>0</v>
      </c>
      <c r="W28" s="137">
        <v>0</v>
      </c>
      <c r="X28" s="148">
        <v>0</v>
      </c>
      <c r="Y28" s="141">
        <v>10924</v>
      </c>
      <c r="Z28" s="150">
        <v>15096</v>
      </c>
      <c r="AA28" s="150">
        <v>27426</v>
      </c>
      <c r="AB28" s="139">
        <v>75081.5</v>
      </c>
      <c r="AC28" s="139">
        <v>75081.5</v>
      </c>
      <c r="AD28" s="139">
        <v>0</v>
      </c>
      <c r="AE28" s="139">
        <v>0</v>
      </c>
      <c r="AF28" s="139">
        <v>0</v>
      </c>
      <c r="AG28" s="139">
        <v>0</v>
      </c>
      <c r="AH28" s="139">
        <v>0</v>
      </c>
      <c r="AI28" s="139">
        <v>0</v>
      </c>
      <c r="AJ28" s="139">
        <v>0</v>
      </c>
      <c r="AK28" s="140">
        <v>0</v>
      </c>
    </row>
    <row r="29" spans="1:37" x14ac:dyDescent="0.2">
      <c r="A29" s="128" t="s">
        <v>688</v>
      </c>
      <c r="B29" s="327" t="s">
        <v>689</v>
      </c>
      <c r="C29" s="128" t="s">
        <v>45</v>
      </c>
      <c r="D29" s="129" t="s">
        <v>690</v>
      </c>
      <c r="E29" s="129" t="s">
        <v>195</v>
      </c>
      <c r="F29" s="129" t="s">
        <v>678</v>
      </c>
      <c r="G29" s="129" t="s">
        <v>744</v>
      </c>
      <c r="H29" s="130">
        <v>1</v>
      </c>
      <c r="I29" s="16">
        <v>284633</v>
      </c>
      <c r="J29" s="131">
        <v>68185</v>
      </c>
      <c r="K29" s="131">
        <v>0</v>
      </c>
      <c r="L29" s="132">
        <v>0</v>
      </c>
      <c r="M29" s="133">
        <v>284633</v>
      </c>
      <c r="N29" s="134">
        <v>0</v>
      </c>
      <c r="O29" s="135">
        <v>0</v>
      </c>
      <c r="P29" s="135">
        <v>0</v>
      </c>
      <c r="Q29" s="135">
        <v>0</v>
      </c>
      <c r="R29" s="135">
        <v>0</v>
      </c>
      <c r="S29" s="136">
        <v>0</v>
      </c>
      <c r="T29" s="136">
        <v>0</v>
      </c>
      <c r="U29" s="136">
        <v>0</v>
      </c>
      <c r="V29" s="136">
        <v>0</v>
      </c>
      <c r="W29" s="137">
        <v>0</v>
      </c>
      <c r="X29" s="148">
        <v>0</v>
      </c>
      <c r="Y29" s="141">
        <v>0</v>
      </c>
      <c r="Z29" s="150">
        <v>68185</v>
      </c>
      <c r="AA29" s="150">
        <v>145213</v>
      </c>
      <c r="AB29" s="149">
        <v>68389</v>
      </c>
      <c r="AC29" s="139">
        <v>0</v>
      </c>
      <c r="AD29" s="139">
        <v>0</v>
      </c>
      <c r="AE29" s="139">
        <v>0</v>
      </c>
      <c r="AF29" s="139">
        <v>0</v>
      </c>
      <c r="AG29" s="139">
        <v>0</v>
      </c>
      <c r="AH29" s="139">
        <v>0</v>
      </c>
      <c r="AI29" s="139">
        <v>0</v>
      </c>
      <c r="AJ29" s="139">
        <v>0</v>
      </c>
      <c r="AK29" s="140">
        <v>0</v>
      </c>
    </row>
    <row r="30" spans="1:37" x14ac:dyDescent="0.2">
      <c r="A30" s="128" t="s">
        <v>691</v>
      </c>
      <c r="B30" s="327" t="s">
        <v>692</v>
      </c>
      <c r="C30" s="128" t="s">
        <v>43</v>
      </c>
      <c r="D30" s="129" t="s">
        <v>693</v>
      </c>
      <c r="E30" s="129" t="s">
        <v>168</v>
      </c>
      <c r="F30" s="129" t="s">
        <v>678</v>
      </c>
      <c r="G30" s="129" t="s">
        <v>744</v>
      </c>
      <c r="H30" s="130">
        <v>1</v>
      </c>
      <c r="I30" s="16">
        <v>427230</v>
      </c>
      <c r="J30" s="131">
        <v>195747</v>
      </c>
      <c r="K30" s="131">
        <v>195747</v>
      </c>
      <c r="L30" s="132">
        <v>0.45817709430517523</v>
      </c>
      <c r="M30" s="133">
        <v>231483</v>
      </c>
      <c r="N30" s="134">
        <v>0</v>
      </c>
      <c r="O30" s="135">
        <v>0</v>
      </c>
      <c r="P30" s="135">
        <v>0</v>
      </c>
      <c r="Q30" s="135">
        <v>0</v>
      </c>
      <c r="R30" s="135">
        <v>0</v>
      </c>
      <c r="S30" s="136">
        <v>0</v>
      </c>
      <c r="T30" s="136">
        <v>0</v>
      </c>
      <c r="U30" s="136">
        <v>0</v>
      </c>
      <c r="V30" s="136">
        <v>0</v>
      </c>
      <c r="W30" s="137">
        <v>30338</v>
      </c>
      <c r="X30" s="137">
        <v>105098</v>
      </c>
      <c r="Y30" s="141">
        <v>60311</v>
      </c>
      <c r="Z30" s="328">
        <v>231483</v>
      </c>
      <c r="AA30" s="149">
        <v>0</v>
      </c>
      <c r="AB30" s="139">
        <v>0</v>
      </c>
      <c r="AC30" s="139">
        <v>0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139">
        <v>0</v>
      </c>
      <c r="AJ30" s="139">
        <v>0</v>
      </c>
      <c r="AK30" s="140">
        <v>0</v>
      </c>
    </row>
    <row r="31" spans="1:37" x14ac:dyDescent="0.2">
      <c r="A31" s="128" t="s">
        <v>694</v>
      </c>
      <c r="B31" s="327" t="s">
        <v>695</v>
      </c>
      <c r="C31" s="128" t="s">
        <v>43</v>
      </c>
      <c r="D31" s="129" t="s">
        <v>696</v>
      </c>
      <c r="E31" s="129" t="s">
        <v>249</v>
      </c>
      <c r="F31" s="129" t="s">
        <v>678</v>
      </c>
      <c r="G31" s="129" t="s">
        <v>744</v>
      </c>
      <c r="H31" s="130">
        <v>1</v>
      </c>
      <c r="I31" s="16">
        <v>75000</v>
      </c>
      <c r="J31" s="131">
        <v>0</v>
      </c>
      <c r="K31" s="131">
        <v>0</v>
      </c>
      <c r="L31" s="132">
        <v>0</v>
      </c>
      <c r="M31" s="133">
        <v>75000</v>
      </c>
      <c r="N31" s="134">
        <v>0</v>
      </c>
      <c r="O31" s="135">
        <v>0</v>
      </c>
      <c r="P31" s="135">
        <v>0</v>
      </c>
      <c r="Q31" s="135">
        <v>0</v>
      </c>
      <c r="R31" s="135">
        <v>0</v>
      </c>
      <c r="S31" s="136">
        <v>0</v>
      </c>
      <c r="T31" s="136">
        <v>0</v>
      </c>
      <c r="U31" s="136">
        <v>0</v>
      </c>
      <c r="V31" s="136">
        <v>0</v>
      </c>
      <c r="W31" s="137">
        <v>0</v>
      </c>
      <c r="X31" s="137">
        <v>0</v>
      </c>
      <c r="Y31" s="138">
        <v>0</v>
      </c>
      <c r="Z31" s="139">
        <v>0</v>
      </c>
      <c r="AA31" s="150">
        <v>29752</v>
      </c>
      <c r="AB31" s="139">
        <v>45248</v>
      </c>
      <c r="AC31" s="139">
        <v>0</v>
      </c>
      <c r="AD31" s="139">
        <v>0</v>
      </c>
      <c r="AE31" s="139">
        <v>0</v>
      </c>
      <c r="AF31" s="139">
        <v>0</v>
      </c>
      <c r="AG31" s="139">
        <v>0</v>
      </c>
      <c r="AH31" s="139">
        <v>0</v>
      </c>
      <c r="AI31" s="139">
        <v>0</v>
      </c>
      <c r="AJ31" s="139">
        <v>0</v>
      </c>
      <c r="AK31" s="140">
        <v>0</v>
      </c>
    </row>
    <row r="32" spans="1:37" x14ac:dyDescent="0.2">
      <c r="A32" s="128" t="s">
        <v>806</v>
      </c>
      <c r="B32" s="327" t="s">
        <v>807</v>
      </c>
      <c r="C32" s="128" t="s">
        <v>43</v>
      </c>
      <c r="D32" s="329" t="s">
        <v>808</v>
      </c>
      <c r="E32" s="129" t="s">
        <v>249</v>
      </c>
      <c r="F32" s="129" t="s">
        <v>743</v>
      </c>
      <c r="G32" s="129" t="s">
        <v>744</v>
      </c>
      <c r="H32" s="130">
        <v>1</v>
      </c>
      <c r="I32" s="16">
        <v>93503</v>
      </c>
      <c r="J32" s="131">
        <v>0</v>
      </c>
      <c r="K32" s="131">
        <v>0</v>
      </c>
      <c r="L32" s="132">
        <v>0</v>
      </c>
      <c r="M32" s="133">
        <v>93503</v>
      </c>
      <c r="N32" s="134">
        <v>0</v>
      </c>
      <c r="O32" s="136">
        <v>0</v>
      </c>
      <c r="P32" s="136">
        <v>0</v>
      </c>
      <c r="Q32" s="136">
        <v>0</v>
      </c>
      <c r="R32" s="136">
        <v>0</v>
      </c>
      <c r="S32" s="136">
        <v>0</v>
      </c>
      <c r="T32" s="136">
        <v>0</v>
      </c>
      <c r="U32" s="136">
        <v>0</v>
      </c>
      <c r="V32" s="136">
        <v>0</v>
      </c>
      <c r="W32" s="137">
        <v>0</v>
      </c>
      <c r="X32" s="137">
        <v>0</v>
      </c>
      <c r="Y32" s="141">
        <v>0</v>
      </c>
      <c r="Z32" s="150">
        <v>0</v>
      </c>
      <c r="AA32" s="150">
        <v>93503</v>
      </c>
      <c r="AB32" s="139">
        <v>0</v>
      </c>
      <c r="AC32" s="139">
        <v>0</v>
      </c>
      <c r="AD32" s="139">
        <v>0</v>
      </c>
      <c r="AE32" s="139">
        <v>0</v>
      </c>
      <c r="AF32" s="139">
        <v>0</v>
      </c>
      <c r="AG32" s="139">
        <v>0</v>
      </c>
      <c r="AH32" s="139">
        <v>0</v>
      </c>
      <c r="AI32" s="139">
        <v>0</v>
      </c>
      <c r="AJ32" s="139">
        <v>0</v>
      </c>
      <c r="AK32" s="140">
        <v>0</v>
      </c>
    </row>
    <row r="33" spans="1:37" x14ac:dyDescent="0.2">
      <c r="A33" s="128" t="s">
        <v>809</v>
      </c>
      <c r="B33" s="327" t="s">
        <v>810</v>
      </c>
      <c r="C33" s="128" t="s">
        <v>43</v>
      </c>
      <c r="D33" s="329" t="s">
        <v>811</v>
      </c>
      <c r="E33" s="129" t="s">
        <v>249</v>
      </c>
      <c r="F33" s="129" t="s">
        <v>743</v>
      </c>
      <c r="G33" s="129" t="s">
        <v>744</v>
      </c>
      <c r="H33" s="130">
        <v>1</v>
      </c>
      <c r="I33" s="16">
        <v>87154</v>
      </c>
      <c r="J33" s="131">
        <v>0</v>
      </c>
      <c r="K33" s="131">
        <v>0</v>
      </c>
      <c r="L33" s="132">
        <v>0</v>
      </c>
      <c r="M33" s="133">
        <v>87154</v>
      </c>
      <c r="N33" s="134">
        <v>0</v>
      </c>
      <c r="O33" s="136">
        <v>0</v>
      </c>
      <c r="P33" s="136">
        <v>0</v>
      </c>
      <c r="Q33" s="136">
        <v>0</v>
      </c>
      <c r="R33" s="136">
        <v>0</v>
      </c>
      <c r="S33" s="136">
        <v>0</v>
      </c>
      <c r="T33" s="136">
        <v>0</v>
      </c>
      <c r="U33" s="136">
        <v>0</v>
      </c>
      <c r="V33" s="136">
        <v>0</v>
      </c>
      <c r="W33" s="137">
        <v>0</v>
      </c>
      <c r="X33" s="137">
        <v>0</v>
      </c>
      <c r="Y33" s="141">
        <v>0</v>
      </c>
      <c r="Z33" s="150">
        <v>0</v>
      </c>
      <c r="AA33" s="150">
        <v>87154</v>
      </c>
      <c r="AB33" s="139">
        <v>0</v>
      </c>
      <c r="AC33" s="139">
        <v>0</v>
      </c>
      <c r="AD33" s="139">
        <v>0</v>
      </c>
      <c r="AE33" s="139">
        <v>0</v>
      </c>
      <c r="AF33" s="139">
        <v>0</v>
      </c>
      <c r="AG33" s="139">
        <v>0</v>
      </c>
      <c r="AH33" s="139">
        <v>0</v>
      </c>
      <c r="AI33" s="139">
        <v>0</v>
      </c>
      <c r="AJ33" s="139">
        <v>0</v>
      </c>
      <c r="AK33" s="140">
        <v>0</v>
      </c>
    </row>
    <row r="34" spans="1:37" x14ac:dyDescent="0.2">
      <c r="A34" s="128" t="s">
        <v>812</v>
      </c>
      <c r="B34" s="327" t="s">
        <v>813</v>
      </c>
      <c r="C34" s="128" t="s">
        <v>43</v>
      </c>
      <c r="D34" s="129" t="s">
        <v>813</v>
      </c>
      <c r="E34" s="129" t="s">
        <v>143</v>
      </c>
      <c r="F34" s="129" t="s">
        <v>678</v>
      </c>
      <c r="G34" s="129" t="s">
        <v>744</v>
      </c>
      <c r="H34" s="130">
        <v>1</v>
      </c>
      <c r="I34" s="16">
        <v>545327</v>
      </c>
      <c r="J34" s="131">
        <v>568482</v>
      </c>
      <c r="K34" s="131">
        <v>568482</v>
      </c>
      <c r="L34" s="132">
        <v>1.0424607620748652</v>
      </c>
      <c r="M34" s="133">
        <v>-23155</v>
      </c>
      <c r="N34" s="134">
        <v>0</v>
      </c>
      <c r="O34" s="135">
        <v>85502</v>
      </c>
      <c r="P34" s="135">
        <v>91931</v>
      </c>
      <c r="Q34" s="135">
        <v>74275</v>
      </c>
      <c r="R34" s="135">
        <v>56675</v>
      </c>
      <c r="S34" s="136">
        <v>90591</v>
      </c>
      <c r="T34" s="136">
        <v>23442</v>
      </c>
      <c r="U34" s="136">
        <v>0</v>
      </c>
      <c r="V34" s="136">
        <v>42004</v>
      </c>
      <c r="W34" s="137">
        <v>39414</v>
      </c>
      <c r="X34" s="137">
        <v>34741</v>
      </c>
      <c r="Y34" s="141">
        <v>29907</v>
      </c>
      <c r="Z34" s="150">
        <v>14672.75</v>
      </c>
      <c r="AA34" s="153">
        <v>0</v>
      </c>
      <c r="AB34" s="153">
        <v>0</v>
      </c>
      <c r="AC34" s="139">
        <v>0</v>
      </c>
      <c r="AD34" s="139">
        <v>0</v>
      </c>
      <c r="AE34" s="139">
        <v>0</v>
      </c>
      <c r="AF34" s="139">
        <v>0</v>
      </c>
      <c r="AG34" s="139">
        <v>0</v>
      </c>
      <c r="AH34" s="139">
        <v>0</v>
      </c>
      <c r="AI34" s="139">
        <v>0</v>
      </c>
      <c r="AJ34" s="139">
        <v>0</v>
      </c>
      <c r="AK34" s="140">
        <v>0</v>
      </c>
    </row>
    <row r="35" spans="1:37" x14ac:dyDescent="0.2">
      <c r="A35" s="155" t="s">
        <v>814</v>
      </c>
      <c r="B35" s="327" t="s">
        <v>813</v>
      </c>
      <c r="C35" s="155" t="s">
        <v>43</v>
      </c>
      <c r="D35" s="156" t="s">
        <v>815</v>
      </c>
      <c r="E35" s="156" t="s">
        <v>143</v>
      </c>
      <c r="F35" s="156" t="s">
        <v>678</v>
      </c>
      <c r="G35" s="129" t="s">
        <v>744</v>
      </c>
      <c r="H35" s="130">
        <v>1</v>
      </c>
      <c r="I35" s="16">
        <v>0</v>
      </c>
      <c r="J35" s="131">
        <v>0</v>
      </c>
      <c r="K35" s="131">
        <v>0</v>
      </c>
      <c r="L35" s="132">
        <v>0</v>
      </c>
      <c r="M35" s="133">
        <v>0</v>
      </c>
      <c r="N35" s="134">
        <v>0</v>
      </c>
      <c r="O35" s="135">
        <v>0</v>
      </c>
      <c r="P35" s="135">
        <v>0</v>
      </c>
      <c r="Q35" s="135">
        <v>0</v>
      </c>
      <c r="R35" s="135">
        <v>0</v>
      </c>
      <c r="S35" s="136">
        <v>0</v>
      </c>
      <c r="T35" s="136">
        <v>0</v>
      </c>
      <c r="U35" s="136">
        <v>0</v>
      </c>
      <c r="V35" s="136">
        <v>0</v>
      </c>
      <c r="W35" s="137">
        <v>0</v>
      </c>
      <c r="X35" s="137">
        <v>0</v>
      </c>
      <c r="Y35" s="138">
        <v>0</v>
      </c>
      <c r="Z35" s="153">
        <v>0</v>
      </c>
      <c r="AA35" s="139">
        <v>0</v>
      </c>
      <c r="AB35" s="139">
        <v>0</v>
      </c>
      <c r="AC35" s="139">
        <v>0</v>
      </c>
      <c r="AD35" s="139">
        <v>0</v>
      </c>
      <c r="AE35" s="139">
        <v>0</v>
      </c>
      <c r="AF35" s="139">
        <v>0</v>
      </c>
      <c r="AG35" s="139">
        <v>0</v>
      </c>
      <c r="AH35" s="139">
        <v>0</v>
      </c>
      <c r="AI35" s="139">
        <v>0</v>
      </c>
      <c r="AJ35" s="139">
        <v>0</v>
      </c>
      <c r="AK35" s="140">
        <v>0</v>
      </c>
    </row>
    <row r="36" spans="1:37" x14ac:dyDescent="0.2">
      <c r="A36" s="128" t="s">
        <v>697</v>
      </c>
      <c r="B36" s="327" t="s">
        <v>698</v>
      </c>
      <c r="C36" s="128" t="s">
        <v>43</v>
      </c>
      <c r="D36" s="129" t="s">
        <v>699</v>
      </c>
      <c r="E36" s="129" t="s">
        <v>700</v>
      </c>
      <c r="F36" s="129" t="s">
        <v>678</v>
      </c>
      <c r="G36" s="129" t="s">
        <v>744</v>
      </c>
      <c r="H36" s="130">
        <v>1</v>
      </c>
      <c r="I36" s="16">
        <v>114390</v>
      </c>
      <c r="J36" s="131">
        <v>0</v>
      </c>
      <c r="K36" s="131">
        <v>0</v>
      </c>
      <c r="L36" s="132">
        <v>0</v>
      </c>
      <c r="M36" s="133">
        <v>114390</v>
      </c>
      <c r="N36" s="134">
        <v>0</v>
      </c>
      <c r="O36" s="135">
        <v>0</v>
      </c>
      <c r="P36" s="135">
        <v>0</v>
      </c>
      <c r="Q36" s="135">
        <v>0</v>
      </c>
      <c r="R36" s="135">
        <v>0</v>
      </c>
      <c r="S36" s="136">
        <v>0</v>
      </c>
      <c r="T36" s="136">
        <v>0</v>
      </c>
      <c r="U36" s="136">
        <v>0</v>
      </c>
      <c r="V36" s="136">
        <v>0</v>
      </c>
      <c r="W36" s="137">
        <v>0</v>
      </c>
      <c r="X36" s="137">
        <v>0</v>
      </c>
      <c r="Y36" s="138">
        <v>0</v>
      </c>
      <c r="Z36" s="150">
        <v>0</v>
      </c>
      <c r="AA36" s="150">
        <v>19065</v>
      </c>
      <c r="AB36" s="150">
        <v>19065</v>
      </c>
      <c r="AC36" s="150">
        <v>19065</v>
      </c>
      <c r="AD36" s="150">
        <v>19065</v>
      </c>
      <c r="AE36" s="150">
        <v>19065</v>
      </c>
      <c r="AF36" s="150">
        <v>19065</v>
      </c>
      <c r="AG36" s="139">
        <v>0</v>
      </c>
      <c r="AH36" s="139">
        <v>0</v>
      </c>
      <c r="AI36" s="139">
        <v>0</v>
      </c>
      <c r="AJ36" s="139">
        <v>0</v>
      </c>
      <c r="AK36" s="140">
        <v>0</v>
      </c>
    </row>
    <row r="37" spans="1:37" x14ac:dyDescent="0.2">
      <c r="A37" s="128" t="s">
        <v>701</v>
      </c>
      <c r="B37" s="327" t="s">
        <v>702</v>
      </c>
      <c r="C37" s="128" t="s">
        <v>46</v>
      </c>
      <c r="D37" s="129" t="s">
        <v>703</v>
      </c>
      <c r="E37" s="129" t="s">
        <v>308</v>
      </c>
      <c r="F37" s="129" t="s">
        <v>678</v>
      </c>
      <c r="G37" s="129" t="s">
        <v>744</v>
      </c>
      <c r="H37" s="130">
        <v>1</v>
      </c>
      <c r="I37" s="16">
        <v>47960</v>
      </c>
      <c r="J37" s="131">
        <v>0</v>
      </c>
      <c r="K37" s="131">
        <v>0</v>
      </c>
      <c r="L37" s="132">
        <v>0</v>
      </c>
      <c r="M37" s="133">
        <v>47960</v>
      </c>
      <c r="N37" s="134">
        <v>0</v>
      </c>
      <c r="O37" s="136">
        <v>0</v>
      </c>
      <c r="P37" s="136">
        <v>0</v>
      </c>
      <c r="Q37" s="136">
        <v>0</v>
      </c>
      <c r="R37" s="136">
        <v>0</v>
      </c>
      <c r="S37" s="136">
        <v>0</v>
      </c>
      <c r="T37" s="136">
        <v>0</v>
      </c>
      <c r="U37" s="136">
        <v>0</v>
      </c>
      <c r="V37" s="136">
        <v>0</v>
      </c>
      <c r="W37" s="137">
        <v>0</v>
      </c>
      <c r="X37" s="137">
        <v>0</v>
      </c>
      <c r="Y37" s="141">
        <v>0</v>
      </c>
      <c r="Z37" s="139">
        <v>0</v>
      </c>
      <c r="AA37" s="139">
        <v>0</v>
      </c>
      <c r="AB37" s="139">
        <v>0</v>
      </c>
      <c r="AC37" s="139">
        <v>0</v>
      </c>
      <c r="AD37" s="139">
        <v>0</v>
      </c>
      <c r="AE37" s="139">
        <v>0</v>
      </c>
      <c r="AF37" s="139">
        <v>0</v>
      </c>
      <c r="AG37" s="139">
        <v>0</v>
      </c>
      <c r="AH37" s="139">
        <v>0</v>
      </c>
      <c r="AI37" s="139">
        <v>0</v>
      </c>
      <c r="AJ37" s="139">
        <v>0</v>
      </c>
      <c r="AK37" s="140">
        <v>0</v>
      </c>
    </row>
    <row r="38" spans="1:37" x14ac:dyDescent="0.2">
      <c r="A38" s="128" t="s">
        <v>816</v>
      </c>
      <c r="B38" s="327" t="s">
        <v>817</v>
      </c>
      <c r="C38" s="128" t="s">
        <v>46</v>
      </c>
      <c r="D38" s="329" t="s">
        <v>818</v>
      </c>
      <c r="E38" s="129" t="s">
        <v>175</v>
      </c>
      <c r="F38" s="129" t="s">
        <v>743</v>
      </c>
      <c r="G38" s="129" t="s">
        <v>744</v>
      </c>
      <c r="H38" s="130">
        <v>1</v>
      </c>
      <c r="I38" s="16">
        <v>65088</v>
      </c>
      <c r="J38" s="131">
        <v>0</v>
      </c>
      <c r="K38" s="131">
        <v>0</v>
      </c>
      <c r="L38" s="132">
        <v>0</v>
      </c>
      <c r="M38" s="133">
        <v>65088</v>
      </c>
      <c r="N38" s="134">
        <v>0</v>
      </c>
      <c r="O38" s="135">
        <v>0</v>
      </c>
      <c r="P38" s="135">
        <v>0</v>
      </c>
      <c r="Q38" s="135">
        <v>0</v>
      </c>
      <c r="R38" s="135">
        <v>0</v>
      </c>
      <c r="S38" s="136">
        <v>0</v>
      </c>
      <c r="T38" s="136">
        <v>0</v>
      </c>
      <c r="U38" s="136">
        <v>0</v>
      </c>
      <c r="V38" s="136">
        <v>0</v>
      </c>
      <c r="W38" s="137">
        <v>0</v>
      </c>
      <c r="X38" s="148">
        <v>0</v>
      </c>
      <c r="Y38" s="141">
        <v>0</v>
      </c>
      <c r="Z38" s="150">
        <v>65088</v>
      </c>
      <c r="AA38" s="139">
        <v>0</v>
      </c>
      <c r="AB38" s="139">
        <v>0</v>
      </c>
      <c r="AC38" s="139">
        <v>0</v>
      </c>
      <c r="AD38" s="139">
        <v>0</v>
      </c>
      <c r="AE38" s="139">
        <v>0</v>
      </c>
      <c r="AF38" s="139">
        <v>0</v>
      </c>
      <c r="AG38" s="139">
        <v>0</v>
      </c>
      <c r="AH38" s="139">
        <v>0</v>
      </c>
      <c r="AI38" s="139">
        <v>0</v>
      </c>
      <c r="AJ38" s="139">
        <v>0</v>
      </c>
      <c r="AK38" s="140">
        <v>0</v>
      </c>
    </row>
    <row r="39" spans="1:37" x14ac:dyDescent="0.2">
      <c r="A39" s="128" t="s">
        <v>819</v>
      </c>
      <c r="B39" s="128" t="s">
        <v>748</v>
      </c>
      <c r="C39" s="128" t="s">
        <v>46</v>
      </c>
      <c r="D39" s="129" t="s">
        <v>820</v>
      </c>
      <c r="E39" s="129" t="s">
        <v>175</v>
      </c>
      <c r="F39" s="129" t="s">
        <v>743</v>
      </c>
      <c r="G39" s="129" t="s">
        <v>744</v>
      </c>
      <c r="H39" s="130">
        <v>1</v>
      </c>
      <c r="I39" s="16">
        <v>14112</v>
      </c>
      <c r="J39" s="131">
        <v>14112</v>
      </c>
      <c r="K39" s="131">
        <v>14112</v>
      </c>
      <c r="L39" s="132">
        <v>1</v>
      </c>
      <c r="M39" s="133">
        <v>0</v>
      </c>
      <c r="N39" s="134">
        <v>0</v>
      </c>
      <c r="O39" s="136">
        <v>14112</v>
      </c>
      <c r="P39" s="135">
        <v>0</v>
      </c>
      <c r="Q39" s="136">
        <v>0</v>
      </c>
      <c r="R39" s="136">
        <v>0</v>
      </c>
      <c r="S39" s="136">
        <v>0</v>
      </c>
      <c r="T39" s="136">
        <v>0</v>
      </c>
      <c r="U39" s="136">
        <v>0</v>
      </c>
      <c r="V39" s="136">
        <v>0</v>
      </c>
      <c r="W39" s="137">
        <v>0</v>
      </c>
      <c r="X39" s="137">
        <v>0</v>
      </c>
      <c r="Y39" s="138">
        <v>0</v>
      </c>
      <c r="Z39" s="139">
        <v>0</v>
      </c>
      <c r="AA39" s="139">
        <v>0</v>
      </c>
      <c r="AB39" s="139">
        <v>0</v>
      </c>
      <c r="AC39" s="139">
        <v>0</v>
      </c>
      <c r="AD39" s="139">
        <v>0</v>
      </c>
      <c r="AE39" s="139">
        <v>0</v>
      </c>
      <c r="AF39" s="139">
        <v>0</v>
      </c>
      <c r="AG39" s="139">
        <v>0</v>
      </c>
      <c r="AH39" s="139">
        <v>0</v>
      </c>
      <c r="AI39" s="139">
        <v>0</v>
      </c>
      <c r="AJ39" s="139">
        <v>0</v>
      </c>
      <c r="AK39" s="140">
        <v>0</v>
      </c>
    </row>
    <row r="40" spans="1:37" x14ac:dyDescent="0.2">
      <c r="A40" s="128" t="s">
        <v>704</v>
      </c>
      <c r="B40" s="327" t="s">
        <v>705</v>
      </c>
      <c r="C40" s="128" t="s">
        <v>43</v>
      </c>
      <c r="D40" s="129" t="s">
        <v>706</v>
      </c>
      <c r="E40" s="129" t="s">
        <v>249</v>
      </c>
      <c r="F40" s="129" t="s">
        <v>678</v>
      </c>
      <c r="G40" s="129" t="s">
        <v>744</v>
      </c>
      <c r="H40" s="130">
        <v>1</v>
      </c>
      <c r="I40" s="16">
        <v>82787</v>
      </c>
      <c r="J40" s="131">
        <v>0</v>
      </c>
      <c r="K40" s="131">
        <v>0</v>
      </c>
      <c r="L40" s="132">
        <v>0</v>
      </c>
      <c r="M40" s="133">
        <v>82787</v>
      </c>
      <c r="N40" s="134">
        <v>0</v>
      </c>
      <c r="O40" s="136">
        <v>0</v>
      </c>
      <c r="P40" s="136">
        <v>0</v>
      </c>
      <c r="Q40" s="136">
        <v>0</v>
      </c>
      <c r="R40" s="136">
        <v>0</v>
      </c>
      <c r="S40" s="136">
        <v>0</v>
      </c>
      <c r="T40" s="136">
        <v>0</v>
      </c>
      <c r="U40" s="136">
        <v>0</v>
      </c>
      <c r="V40" s="136">
        <v>0</v>
      </c>
      <c r="W40" s="137">
        <v>0</v>
      </c>
      <c r="X40" s="137">
        <v>0</v>
      </c>
      <c r="Y40" s="138">
        <v>0</v>
      </c>
      <c r="Z40" s="139">
        <v>0</v>
      </c>
      <c r="AA40" s="150">
        <v>41755</v>
      </c>
      <c r="AB40" s="150">
        <v>38092</v>
      </c>
      <c r="AC40" s="150">
        <v>4202.4736842105267</v>
      </c>
      <c r="AD40" s="139">
        <v>0</v>
      </c>
      <c r="AE40" s="139">
        <v>0</v>
      </c>
      <c r="AF40" s="139">
        <v>0</v>
      </c>
      <c r="AG40" s="139">
        <v>0</v>
      </c>
      <c r="AH40" s="139">
        <v>0</v>
      </c>
      <c r="AI40" s="139">
        <v>0</v>
      </c>
      <c r="AJ40" s="139">
        <v>0</v>
      </c>
      <c r="AK40" s="140">
        <v>0</v>
      </c>
    </row>
    <row r="41" spans="1:37" x14ac:dyDescent="0.2">
      <c r="A41" s="128" t="s">
        <v>707</v>
      </c>
      <c r="B41" s="327" t="s">
        <v>708</v>
      </c>
      <c r="C41" s="128" t="s">
        <v>43</v>
      </c>
      <c r="D41" s="129" t="s">
        <v>709</v>
      </c>
      <c r="E41" s="129" t="s">
        <v>143</v>
      </c>
      <c r="F41" s="129" t="s">
        <v>678</v>
      </c>
      <c r="G41" s="129" t="s">
        <v>744</v>
      </c>
      <c r="H41" s="130">
        <v>1</v>
      </c>
      <c r="I41" s="16">
        <v>250000</v>
      </c>
      <c r="J41" s="131">
        <v>0</v>
      </c>
      <c r="K41" s="131">
        <v>0</v>
      </c>
      <c r="L41" s="132">
        <v>0</v>
      </c>
      <c r="M41" s="133">
        <v>250000</v>
      </c>
      <c r="N41" s="134">
        <v>0</v>
      </c>
      <c r="O41" s="135">
        <v>0</v>
      </c>
      <c r="P41" s="135">
        <v>0</v>
      </c>
      <c r="Q41" s="135">
        <v>0</v>
      </c>
      <c r="R41" s="135">
        <v>0</v>
      </c>
      <c r="S41" s="136">
        <v>0</v>
      </c>
      <c r="T41" s="136">
        <v>0</v>
      </c>
      <c r="U41" s="136">
        <v>0</v>
      </c>
      <c r="V41" s="136">
        <v>0</v>
      </c>
      <c r="W41" s="137">
        <v>0</v>
      </c>
      <c r="X41" s="137">
        <v>0</v>
      </c>
      <c r="Y41" s="138">
        <v>0</v>
      </c>
      <c r="Z41" s="150">
        <v>31977.949999999997</v>
      </c>
      <c r="AA41" s="150">
        <v>16146</v>
      </c>
      <c r="AB41" s="139">
        <v>67292.016666666663</v>
      </c>
      <c r="AC41" s="139">
        <v>67292.016666666663</v>
      </c>
      <c r="AD41" s="139">
        <v>67292.016666666663</v>
      </c>
      <c r="AE41" s="139">
        <v>0</v>
      </c>
      <c r="AF41" s="139">
        <v>0</v>
      </c>
      <c r="AG41" s="139">
        <v>0</v>
      </c>
      <c r="AH41" s="139">
        <v>0</v>
      </c>
      <c r="AI41" s="139">
        <v>0</v>
      </c>
      <c r="AJ41" s="139">
        <v>0</v>
      </c>
      <c r="AK41" s="140">
        <v>0</v>
      </c>
    </row>
    <row r="42" spans="1:37" x14ac:dyDescent="0.2">
      <c r="A42" s="128" t="s">
        <v>710</v>
      </c>
      <c r="B42" s="327" t="s">
        <v>711</v>
      </c>
      <c r="C42" s="128" t="s">
        <v>43</v>
      </c>
      <c r="D42" s="129" t="s">
        <v>712</v>
      </c>
      <c r="E42" s="129" t="s">
        <v>249</v>
      </c>
      <c r="F42" s="129" t="s">
        <v>678</v>
      </c>
      <c r="G42" s="129" t="s">
        <v>744</v>
      </c>
      <c r="H42" s="130">
        <v>1</v>
      </c>
      <c r="I42" s="16">
        <v>147000</v>
      </c>
      <c r="J42" s="131">
        <v>0</v>
      </c>
      <c r="K42" s="131">
        <v>0</v>
      </c>
      <c r="L42" s="132">
        <v>0</v>
      </c>
      <c r="M42" s="133">
        <v>147000</v>
      </c>
      <c r="N42" s="134">
        <v>0</v>
      </c>
      <c r="O42" s="135">
        <v>0</v>
      </c>
      <c r="P42" s="135">
        <v>0</v>
      </c>
      <c r="Q42" s="135">
        <v>0</v>
      </c>
      <c r="R42" s="135">
        <v>0</v>
      </c>
      <c r="S42" s="136">
        <v>0</v>
      </c>
      <c r="T42" s="136">
        <v>0</v>
      </c>
      <c r="U42" s="136">
        <v>0</v>
      </c>
      <c r="V42" s="136">
        <v>0</v>
      </c>
      <c r="W42" s="137">
        <v>0</v>
      </c>
      <c r="X42" s="137">
        <v>0</v>
      </c>
      <c r="Y42" s="138">
        <v>0</v>
      </c>
      <c r="Z42" s="139">
        <v>0</v>
      </c>
      <c r="AA42" s="150">
        <v>14688</v>
      </c>
      <c r="AB42" s="150">
        <v>29292</v>
      </c>
      <c r="AC42" s="139">
        <v>51510</v>
      </c>
      <c r="AD42" s="139">
        <v>51510</v>
      </c>
      <c r="AE42" s="139">
        <v>0</v>
      </c>
      <c r="AF42" s="139">
        <v>0</v>
      </c>
      <c r="AG42" s="139">
        <v>0</v>
      </c>
      <c r="AH42" s="139">
        <v>0</v>
      </c>
      <c r="AI42" s="139">
        <v>0</v>
      </c>
      <c r="AJ42" s="139">
        <v>0</v>
      </c>
      <c r="AK42" s="140">
        <v>0</v>
      </c>
    </row>
    <row r="43" spans="1:37" x14ac:dyDescent="0.2">
      <c r="A43" s="128" t="s">
        <v>821</v>
      </c>
      <c r="B43" s="327" t="s">
        <v>822</v>
      </c>
      <c r="C43" s="128" t="s">
        <v>43</v>
      </c>
      <c r="D43" s="129" t="s">
        <v>823</v>
      </c>
      <c r="E43" s="129" t="s">
        <v>143</v>
      </c>
      <c r="F43" s="129" t="s">
        <v>678</v>
      </c>
      <c r="G43" s="129" t="s">
        <v>744</v>
      </c>
      <c r="H43" s="130">
        <v>1</v>
      </c>
      <c r="I43" s="16">
        <v>18800</v>
      </c>
      <c r="J43" s="131">
        <v>0</v>
      </c>
      <c r="K43" s="131">
        <v>0</v>
      </c>
      <c r="L43" s="132">
        <v>0</v>
      </c>
      <c r="M43" s="133">
        <v>18800</v>
      </c>
      <c r="N43" s="134">
        <v>0</v>
      </c>
      <c r="O43" s="136">
        <v>0</v>
      </c>
      <c r="P43" s="136">
        <v>0</v>
      </c>
      <c r="Q43" s="136">
        <v>0</v>
      </c>
      <c r="R43" s="136">
        <v>0</v>
      </c>
      <c r="S43" s="136">
        <v>0</v>
      </c>
      <c r="T43" s="136">
        <v>0</v>
      </c>
      <c r="U43" s="136">
        <v>0</v>
      </c>
      <c r="V43" s="136">
        <v>0</v>
      </c>
      <c r="W43" s="137">
        <v>0</v>
      </c>
      <c r="X43" s="137">
        <v>0</v>
      </c>
      <c r="Y43" s="138">
        <v>0</v>
      </c>
      <c r="Z43" s="157">
        <v>0</v>
      </c>
      <c r="AA43" s="139">
        <v>9400</v>
      </c>
      <c r="AB43" s="139">
        <v>9400</v>
      </c>
      <c r="AC43" s="139">
        <v>0</v>
      </c>
      <c r="AD43" s="139">
        <v>0</v>
      </c>
      <c r="AE43" s="139">
        <v>0</v>
      </c>
      <c r="AF43" s="139">
        <v>0</v>
      </c>
      <c r="AG43" s="139">
        <v>0</v>
      </c>
      <c r="AH43" s="139">
        <v>0</v>
      </c>
      <c r="AI43" s="139">
        <v>0</v>
      </c>
      <c r="AJ43" s="139">
        <v>0</v>
      </c>
      <c r="AK43" s="140">
        <v>0</v>
      </c>
    </row>
    <row r="44" spans="1:37" x14ac:dyDescent="0.2">
      <c r="A44" s="128" t="s">
        <v>713</v>
      </c>
      <c r="B44" s="128" t="s">
        <v>714</v>
      </c>
      <c r="C44" s="128" t="s">
        <v>43</v>
      </c>
      <c r="D44" s="129" t="s">
        <v>715</v>
      </c>
      <c r="E44" s="129" t="s">
        <v>143</v>
      </c>
      <c r="F44" s="129" t="s">
        <v>678</v>
      </c>
      <c r="G44" s="129" t="s">
        <v>744</v>
      </c>
      <c r="H44" s="130">
        <v>1</v>
      </c>
      <c r="I44" s="16">
        <v>370245</v>
      </c>
      <c r="J44" s="131">
        <v>0</v>
      </c>
      <c r="K44" s="131">
        <v>0</v>
      </c>
      <c r="L44" s="132">
        <v>0</v>
      </c>
      <c r="M44" s="133">
        <v>370245</v>
      </c>
      <c r="N44" s="134">
        <v>0</v>
      </c>
      <c r="O44" s="136">
        <v>0</v>
      </c>
      <c r="P44" s="136">
        <v>0</v>
      </c>
      <c r="Q44" s="136">
        <v>0</v>
      </c>
      <c r="R44" s="136">
        <v>0</v>
      </c>
      <c r="S44" s="136">
        <v>0</v>
      </c>
      <c r="T44" s="136">
        <v>0</v>
      </c>
      <c r="U44" s="136">
        <v>0</v>
      </c>
      <c r="V44" s="136">
        <v>0</v>
      </c>
      <c r="W44" s="137">
        <v>0</v>
      </c>
      <c r="X44" s="137">
        <v>0</v>
      </c>
      <c r="Y44" s="138">
        <v>0</v>
      </c>
      <c r="Z44" s="157">
        <v>0</v>
      </c>
      <c r="AA44" s="158">
        <v>0</v>
      </c>
      <c r="AB44" s="139">
        <v>74049</v>
      </c>
      <c r="AC44" s="139">
        <v>74049</v>
      </c>
      <c r="AD44" s="139">
        <v>74049</v>
      </c>
      <c r="AE44" s="139">
        <v>74049</v>
      </c>
      <c r="AF44" s="139">
        <v>74049</v>
      </c>
      <c r="AG44" s="139">
        <v>0</v>
      </c>
      <c r="AH44" s="139">
        <v>0</v>
      </c>
      <c r="AI44" s="139">
        <v>0</v>
      </c>
      <c r="AJ44" s="139">
        <v>0</v>
      </c>
      <c r="AK44" s="140">
        <v>0</v>
      </c>
    </row>
    <row r="45" spans="1:37" x14ac:dyDescent="0.2">
      <c r="A45" s="128" t="s">
        <v>824</v>
      </c>
      <c r="B45" s="128" t="s">
        <v>748</v>
      </c>
      <c r="C45" s="128" t="s">
        <v>46</v>
      </c>
      <c r="D45" s="129" t="s">
        <v>825</v>
      </c>
      <c r="E45" s="129" t="s">
        <v>346</v>
      </c>
      <c r="F45" s="129" t="s">
        <v>743</v>
      </c>
      <c r="G45" s="129" t="s">
        <v>744</v>
      </c>
      <c r="H45" s="130">
        <v>1</v>
      </c>
      <c r="I45" s="16">
        <v>50219.75</v>
      </c>
      <c r="J45" s="131">
        <v>50219.75</v>
      </c>
      <c r="K45" s="131">
        <v>50219.75</v>
      </c>
      <c r="L45" s="132">
        <v>1</v>
      </c>
      <c r="M45" s="133">
        <v>0</v>
      </c>
      <c r="N45" s="134">
        <v>0</v>
      </c>
      <c r="O45" s="136">
        <v>15176</v>
      </c>
      <c r="P45" s="135">
        <v>0</v>
      </c>
      <c r="Q45" s="136">
        <v>0</v>
      </c>
      <c r="R45" s="136">
        <v>0</v>
      </c>
      <c r="S45" s="136">
        <v>0</v>
      </c>
      <c r="T45" s="136">
        <v>35043.75</v>
      </c>
      <c r="U45" s="136">
        <v>0</v>
      </c>
      <c r="V45" s="136">
        <v>0</v>
      </c>
      <c r="W45" s="137">
        <v>0</v>
      </c>
      <c r="X45" s="137">
        <v>0</v>
      </c>
      <c r="Y45" s="138">
        <v>0</v>
      </c>
      <c r="Z45" s="157">
        <v>0</v>
      </c>
      <c r="AA45" s="158">
        <v>0</v>
      </c>
      <c r="AB45" s="139">
        <v>0</v>
      </c>
      <c r="AC45" s="139">
        <v>0</v>
      </c>
      <c r="AD45" s="139">
        <v>0</v>
      </c>
      <c r="AE45" s="139">
        <v>0</v>
      </c>
      <c r="AF45" s="139">
        <v>0</v>
      </c>
      <c r="AG45" s="139">
        <v>0</v>
      </c>
      <c r="AH45" s="139">
        <v>0</v>
      </c>
      <c r="AI45" s="139">
        <v>0</v>
      </c>
      <c r="AJ45" s="139">
        <v>0</v>
      </c>
      <c r="AK45" s="140">
        <v>0</v>
      </c>
    </row>
    <row r="46" spans="1:37" x14ac:dyDescent="0.2">
      <c r="A46" s="128" t="s">
        <v>826</v>
      </c>
      <c r="B46" s="128" t="s">
        <v>748</v>
      </c>
      <c r="C46" s="128" t="s">
        <v>46</v>
      </c>
      <c r="D46" s="129" t="s">
        <v>827</v>
      </c>
      <c r="E46" s="129" t="s">
        <v>175</v>
      </c>
      <c r="F46" s="129" t="s">
        <v>743</v>
      </c>
      <c r="G46" s="129" t="s">
        <v>744</v>
      </c>
      <c r="H46" s="130">
        <v>1</v>
      </c>
      <c r="I46" s="16">
        <v>64800</v>
      </c>
      <c r="J46" s="131">
        <v>64800</v>
      </c>
      <c r="K46" s="131">
        <v>64800</v>
      </c>
      <c r="L46" s="132">
        <v>1</v>
      </c>
      <c r="M46" s="133">
        <v>0</v>
      </c>
      <c r="N46" s="134">
        <v>0</v>
      </c>
      <c r="O46" s="136">
        <v>0</v>
      </c>
      <c r="P46" s="136">
        <v>0</v>
      </c>
      <c r="Q46" s="136">
        <v>64800</v>
      </c>
      <c r="R46" s="136">
        <v>0</v>
      </c>
      <c r="S46" s="136">
        <v>0</v>
      </c>
      <c r="T46" s="136">
        <v>0</v>
      </c>
      <c r="U46" s="136">
        <v>0</v>
      </c>
      <c r="V46" s="136">
        <v>0</v>
      </c>
      <c r="W46" s="137">
        <v>0</v>
      </c>
      <c r="X46" s="137">
        <v>0</v>
      </c>
      <c r="Y46" s="138">
        <v>0</v>
      </c>
      <c r="Z46" s="157">
        <v>0</v>
      </c>
      <c r="AA46" s="158">
        <v>0</v>
      </c>
      <c r="AB46" s="139">
        <v>0</v>
      </c>
      <c r="AC46" s="139">
        <v>0</v>
      </c>
      <c r="AD46" s="139">
        <v>0</v>
      </c>
      <c r="AE46" s="139">
        <v>0</v>
      </c>
      <c r="AF46" s="139">
        <v>0</v>
      </c>
      <c r="AG46" s="139">
        <v>0</v>
      </c>
      <c r="AH46" s="139">
        <v>0</v>
      </c>
      <c r="AI46" s="139">
        <v>0</v>
      </c>
      <c r="AJ46" s="139">
        <v>0</v>
      </c>
      <c r="AK46" s="140">
        <v>0</v>
      </c>
    </row>
    <row r="47" spans="1:37" x14ac:dyDescent="0.2">
      <c r="A47" s="128" t="s">
        <v>828</v>
      </c>
      <c r="B47" s="128" t="s">
        <v>748</v>
      </c>
      <c r="C47" s="128" t="s">
        <v>46</v>
      </c>
      <c r="D47" s="129" t="s">
        <v>829</v>
      </c>
      <c r="E47" s="129" t="s">
        <v>799</v>
      </c>
      <c r="F47" s="129" t="s">
        <v>743</v>
      </c>
      <c r="G47" s="129" t="s">
        <v>744</v>
      </c>
      <c r="H47" s="130">
        <v>1</v>
      </c>
      <c r="I47" s="16">
        <v>36335.699999999997</v>
      </c>
      <c r="J47" s="131">
        <v>36335.699999999997</v>
      </c>
      <c r="K47" s="131">
        <v>36335.699999999997</v>
      </c>
      <c r="L47" s="132">
        <v>1</v>
      </c>
      <c r="M47" s="133">
        <v>0</v>
      </c>
      <c r="N47" s="134">
        <v>0</v>
      </c>
      <c r="O47" s="136">
        <v>0</v>
      </c>
      <c r="P47" s="136">
        <v>0</v>
      </c>
      <c r="Q47" s="136">
        <v>0</v>
      </c>
      <c r="R47" s="136">
        <v>0</v>
      </c>
      <c r="S47" s="136">
        <v>36335.699999999997</v>
      </c>
      <c r="T47" s="136">
        <v>0</v>
      </c>
      <c r="U47" s="136">
        <v>0</v>
      </c>
      <c r="V47" s="136">
        <v>0</v>
      </c>
      <c r="W47" s="137">
        <v>0</v>
      </c>
      <c r="X47" s="137">
        <v>0</v>
      </c>
      <c r="Y47" s="138">
        <v>0</v>
      </c>
      <c r="Z47" s="157">
        <v>0</v>
      </c>
      <c r="AA47" s="158">
        <v>0</v>
      </c>
      <c r="AB47" s="139">
        <v>0</v>
      </c>
      <c r="AC47" s="139">
        <v>0</v>
      </c>
      <c r="AD47" s="139">
        <v>0</v>
      </c>
      <c r="AE47" s="139">
        <v>0</v>
      </c>
      <c r="AF47" s="139">
        <v>0</v>
      </c>
      <c r="AG47" s="139">
        <v>0</v>
      </c>
      <c r="AH47" s="139">
        <v>0</v>
      </c>
      <c r="AI47" s="139">
        <v>0</v>
      </c>
      <c r="AJ47" s="139">
        <v>0</v>
      </c>
      <c r="AK47" s="140">
        <v>0</v>
      </c>
    </row>
    <row r="48" spans="1:37" x14ac:dyDescent="0.2">
      <c r="A48" s="128" t="s">
        <v>830</v>
      </c>
      <c r="B48" s="128" t="s">
        <v>831</v>
      </c>
      <c r="C48" s="128" t="s">
        <v>46</v>
      </c>
      <c r="D48" s="129" t="s">
        <v>832</v>
      </c>
      <c r="E48" s="129" t="s">
        <v>175</v>
      </c>
      <c r="F48" s="129" t="s">
        <v>743</v>
      </c>
      <c r="G48" s="129" t="s">
        <v>744</v>
      </c>
      <c r="H48" s="130">
        <v>1</v>
      </c>
      <c r="I48" s="16">
        <v>252096</v>
      </c>
      <c r="J48" s="131">
        <v>175188.25999999989</v>
      </c>
      <c r="K48" s="131">
        <v>175188.25999999989</v>
      </c>
      <c r="L48" s="132">
        <v>0.69492677392739233</v>
      </c>
      <c r="M48" s="133">
        <v>76907.740000000107</v>
      </c>
      <c r="N48" s="134">
        <v>49915</v>
      </c>
      <c r="O48" s="136">
        <v>56217</v>
      </c>
      <c r="P48" s="136">
        <v>0</v>
      </c>
      <c r="Q48" s="136">
        <v>40587.46</v>
      </c>
      <c r="R48" s="136">
        <v>0</v>
      </c>
      <c r="S48" s="136">
        <v>0</v>
      </c>
      <c r="T48" s="136">
        <v>28468.799999999901</v>
      </c>
      <c r="U48" s="136">
        <v>0</v>
      </c>
      <c r="V48" s="136">
        <v>0</v>
      </c>
      <c r="W48" s="137">
        <v>0</v>
      </c>
      <c r="X48" s="137">
        <v>0</v>
      </c>
      <c r="Y48" s="138">
        <v>0</v>
      </c>
      <c r="Z48" s="157">
        <v>0</v>
      </c>
      <c r="AA48" s="158">
        <v>0</v>
      </c>
      <c r="AB48" s="139">
        <v>0</v>
      </c>
      <c r="AC48" s="139">
        <v>0</v>
      </c>
      <c r="AD48" s="139">
        <v>0</v>
      </c>
      <c r="AE48" s="139">
        <v>0</v>
      </c>
      <c r="AF48" s="139">
        <v>0</v>
      </c>
      <c r="AG48" s="139">
        <v>0</v>
      </c>
      <c r="AH48" s="139">
        <v>0</v>
      </c>
      <c r="AI48" s="139">
        <v>0</v>
      </c>
      <c r="AJ48" s="139">
        <v>0</v>
      </c>
      <c r="AK48" s="140">
        <v>0</v>
      </c>
    </row>
    <row r="49" spans="1:37" x14ac:dyDescent="0.2">
      <c r="A49" s="128" t="s">
        <v>833</v>
      </c>
      <c r="B49" s="128" t="s">
        <v>834</v>
      </c>
      <c r="C49" s="128" t="s">
        <v>46</v>
      </c>
      <c r="D49" s="129" t="s">
        <v>834</v>
      </c>
      <c r="E49" s="129" t="s">
        <v>175</v>
      </c>
      <c r="F49" s="129" t="s">
        <v>743</v>
      </c>
      <c r="G49" s="129" t="s">
        <v>744</v>
      </c>
      <c r="H49" s="130">
        <v>1</v>
      </c>
      <c r="I49" s="16">
        <v>85000</v>
      </c>
      <c r="J49" s="131">
        <v>49792</v>
      </c>
      <c r="K49" s="131">
        <v>49792</v>
      </c>
      <c r="L49" s="132">
        <v>0.58578823529411761</v>
      </c>
      <c r="M49" s="133">
        <v>35208</v>
      </c>
      <c r="N49" s="134">
        <v>0</v>
      </c>
      <c r="O49" s="135">
        <v>0</v>
      </c>
      <c r="P49" s="135">
        <v>0</v>
      </c>
      <c r="Q49" s="135">
        <v>0</v>
      </c>
      <c r="R49" s="135">
        <v>49792</v>
      </c>
      <c r="S49" s="136">
        <v>0</v>
      </c>
      <c r="T49" s="136">
        <v>0</v>
      </c>
      <c r="U49" s="136">
        <v>0</v>
      </c>
      <c r="V49" s="136">
        <v>0</v>
      </c>
      <c r="W49" s="137">
        <v>0</v>
      </c>
      <c r="X49" s="137">
        <v>0</v>
      </c>
      <c r="Y49" s="138">
        <v>0</v>
      </c>
      <c r="Z49" s="157">
        <v>0</v>
      </c>
      <c r="AA49" s="158">
        <v>0</v>
      </c>
      <c r="AB49" s="139">
        <v>0</v>
      </c>
      <c r="AC49" s="139">
        <v>0</v>
      </c>
      <c r="AD49" s="139">
        <v>0</v>
      </c>
      <c r="AE49" s="139">
        <v>0</v>
      </c>
      <c r="AF49" s="139">
        <v>0</v>
      </c>
      <c r="AG49" s="139">
        <v>0</v>
      </c>
      <c r="AH49" s="139">
        <v>0</v>
      </c>
      <c r="AI49" s="139">
        <v>0</v>
      </c>
      <c r="AJ49" s="139">
        <v>0</v>
      </c>
      <c r="AK49" s="140">
        <v>0</v>
      </c>
    </row>
    <row r="50" spans="1:37" x14ac:dyDescent="0.2">
      <c r="A50" s="128" t="s">
        <v>835</v>
      </c>
      <c r="B50" s="128" t="s">
        <v>836</v>
      </c>
      <c r="C50" s="128" t="s">
        <v>46</v>
      </c>
      <c r="D50" s="129" t="s">
        <v>836</v>
      </c>
      <c r="E50" s="129" t="s">
        <v>175</v>
      </c>
      <c r="F50" s="129" t="s">
        <v>743</v>
      </c>
      <c r="G50" s="129" t="s">
        <v>744</v>
      </c>
      <c r="H50" s="130">
        <v>1</v>
      </c>
      <c r="I50" s="16">
        <v>263544</v>
      </c>
      <c r="J50" s="131">
        <v>263544</v>
      </c>
      <c r="K50" s="131">
        <v>263544</v>
      </c>
      <c r="L50" s="132">
        <v>1</v>
      </c>
      <c r="M50" s="133">
        <v>0</v>
      </c>
      <c r="N50" s="134">
        <v>0</v>
      </c>
      <c r="O50" s="135">
        <v>0</v>
      </c>
      <c r="P50" s="135">
        <v>0</v>
      </c>
      <c r="Q50" s="135">
        <v>0</v>
      </c>
      <c r="R50" s="135">
        <v>170704</v>
      </c>
      <c r="S50" s="135">
        <v>0</v>
      </c>
      <c r="T50" s="136">
        <v>32056</v>
      </c>
      <c r="U50" s="136">
        <v>0</v>
      </c>
      <c r="V50" s="136">
        <v>0</v>
      </c>
      <c r="W50" s="137">
        <v>60784</v>
      </c>
      <c r="X50" s="137">
        <v>0</v>
      </c>
      <c r="Y50" s="138">
        <v>0</v>
      </c>
      <c r="Z50" s="157">
        <v>0</v>
      </c>
      <c r="AA50" s="158">
        <v>0</v>
      </c>
      <c r="AB50" s="139">
        <v>0</v>
      </c>
      <c r="AC50" s="139">
        <v>0</v>
      </c>
      <c r="AD50" s="139">
        <v>0</v>
      </c>
      <c r="AE50" s="139">
        <v>0</v>
      </c>
      <c r="AF50" s="139">
        <v>0</v>
      </c>
      <c r="AG50" s="139">
        <v>0</v>
      </c>
      <c r="AH50" s="139">
        <v>0</v>
      </c>
      <c r="AI50" s="139">
        <v>0</v>
      </c>
      <c r="AJ50" s="139">
        <v>0</v>
      </c>
      <c r="AK50" s="140">
        <v>0</v>
      </c>
    </row>
    <row r="51" spans="1:37" x14ac:dyDescent="0.2">
      <c r="A51" s="128" t="s">
        <v>837</v>
      </c>
      <c r="B51" s="327" t="s">
        <v>838</v>
      </c>
      <c r="C51" s="128" t="s">
        <v>46</v>
      </c>
      <c r="D51" s="129" t="s">
        <v>839</v>
      </c>
      <c r="E51" s="129" t="s">
        <v>175</v>
      </c>
      <c r="F51" s="129" t="s">
        <v>743</v>
      </c>
      <c r="G51" s="129" t="s">
        <v>744</v>
      </c>
      <c r="H51" s="130">
        <v>1</v>
      </c>
      <c r="I51" s="16">
        <v>82144</v>
      </c>
      <c r="J51" s="131">
        <v>82144</v>
      </c>
      <c r="K51" s="131">
        <v>82144</v>
      </c>
      <c r="L51" s="132">
        <v>1</v>
      </c>
      <c r="M51" s="133">
        <v>0</v>
      </c>
      <c r="N51" s="134">
        <v>0</v>
      </c>
      <c r="O51" s="136">
        <v>0</v>
      </c>
      <c r="P51" s="136">
        <v>0</v>
      </c>
      <c r="Q51" s="136">
        <v>0</v>
      </c>
      <c r="R51" s="136">
        <v>0</v>
      </c>
      <c r="S51" s="136">
        <v>0</v>
      </c>
      <c r="T51" s="136">
        <v>0</v>
      </c>
      <c r="U51" s="136">
        <v>0</v>
      </c>
      <c r="V51" s="136">
        <v>0</v>
      </c>
      <c r="W51" s="137">
        <v>30015</v>
      </c>
      <c r="X51" s="148">
        <v>0</v>
      </c>
      <c r="Y51" s="141">
        <v>52129</v>
      </c>
      <c r="Z51" s="157">
        <v>0</v>
      </c>
      <c r="AA51" s="158">
        <v>0</v>
      </c>
      <c r="AB51" s="139">
        <v>0</v>
      </c>
      <c r="AC51" s="139">
        <v>0</v>
      </c>
      <c r="AD51" s="139">
        <v>0</v>
      </c>
      <c r="AE51" s="139">
        <v>0</v>
      </c>
      <c r="AF51" s="139">
        <v>0</v>
      </c>
      <c r="AG51" s="139">
        <v>0</v>
      </c>
      <c r="AH51" s="139">
        <v>0</v>
      </c>
      <c r="AI51" s="139">
        <v>0</v>
      </c>
      <c r="AJ51" s="139">
        <v>0</v>
      </c>
      <c r="AK51" s="140">
        <v>0</v>
      </c>
    </row>
    <row r="52" spans="1:37" x14ac:dyDescent="0.2">
      <c r="A52" s="128" t="s">
        <v>840</v>
      </c>
      <c r="B52" s="327" t="s">
        <v>841</v>
      </c>
      <c r="C52" s="128" t="s">
        <v>46</v>
      </c>
      <c r="D52" s="329" t="s">
        <v>842</v>
      </c>
      <c r="E52" s="129" t="s">
        <v>799</v>
      </c>
      <c r="F52" s="129" t="s">
        <v>678</v>
      </c>
      <c r="G52" s="129" t="s">
        <v>744</v>
      </c>
      <c r="H52" s="130">
        <v>1</v>
      </c>
      <c r="I52" s="16">
        <v>56630</v>
      </c>
      <c r="J52" s="131">
        <v>36682</v>
      </c>
      <c r="K52" s="131">
        <v>36682</v>
      </c>
      <c r="L52" s="132">
        <v>0.64774854317499564</v>
      </c>
      <c r="M52" s="133">
        <v>19948</v>
      </c>
      <c r="N52" s="134">
        <v>0</v>
      </c>
      <c r="O52" s="136">
        <v>0</v>
      </c>
      <c r="P52" s="136">
        <v>0</v>
      </c>
      <c r="Q52" s="136">
        <v>0</v>
      </c>
      <c r="R52" s="136">
        <v>0</v>
      </c>
      <c r="S52" s="136">
        <v>0</v>
      </c>
      <c r="T52" s="136">
        <v>0</v>
      </c>
      <c r="U52" s="136">
        <v>0</v>
      </c>
      <c r="V52" s="136">
        <v>0</v>
      </c>
      <c r="W52" s="137">
        <v>0</v>
      </c>
      <c r="X52" s="148">
        <v>0</v>
      </c>
      <c r="Y52" s="141">
        <v>36682</v>
      </c>
      <c r="Z52" s="157">
        <v>0</v>
      </c>
      <c r="AA52" s="158">
        <v>0</v>
      </c>
      <c r="AB52" s="139">
        <v>0</v>
      </c>
      <c r="AC52" s="139">
        <v>0</v>
      </c>
      <c r="AD52" s="139">
        <v>0</v>
      </c>
      <c r="AE52" s="139">
        <v>0</v>
      </c>
      <c r="AF52" s="139">
        <v>0</v>
      </c>
      <c r="AG52" s="139">
        <v>0</v>
      </c>
      <c r="AH52" s="139">
        <v>0</v>
      </c>
      <c r="AI52" s="139">
        <v>0</v>
      </c>
      <c r="AJ52" s="139">
        <v>0</v>
      </c>
      <c r="AK52" s="140">
        <v>0</v>
      </c>
    </row>
    <row r="53" spans="1:37" x14ac:dyDescent="0.2">
      <c r="A53" s="128" t="s">
        <v>716</v>
      </c>
      <c r="B53" s="327" t="s">
        <v>717</v>
      </c>
      <c r="C53" s="128" t="s">
        <v>46</v>
      </c>
      <c r="D53" s="129" t="s">
        <v>717</v>
      </c>
      <c r="E53" s="129" t="s">
        <v>626</v>
      </c>
      <c r="F53" s="129" t="s">
        <v>678</v>
      </c>
      <c r="G53" s="129" t="s">
        <v>744</v>
      </c>
      <c r="H53" s="130">
        <v>1</v>
      </c>
      <c r="I53" s="16">
        <v>115136</v>
      </c>
      <c r="J53" s="131">
        <v>23659</v>
      </c>
      <c r="K53" s="131">
        <v>23659</v>
      </c>
      <c r="L53" s="132">
        <v>0.20548742356864924</v>
      </c>
      <c r="M53" s="133">
        <v>91477</v>
      </c>
      <c r="N53" s="134">
        <v>0</v>
      </c>
      <c r="O53" s="136">
        <v>0</v>
      </c>
      <c r="P53" s="136">
        <v>0</v>
      </c>
      <c r="Q53" s="136">
        <v>0</v>
      </c>
      <c r="R53" s="136">
        <v>0</v>
      </c>
      <c r="S53" s="136">
        <v>0</v>
      </c>
      <c r="T53" s="136">
        <v>0</v>
      </c>
      <c r="U53" s="136">
        <v>0</v>
      </c>
      <c r="V53" s="136">
        <v>0</v>
      </c>
      <c r="W53" s="137">
        <v>0</v>
      </c>
      <c r="X53" s="137">
        <v>0</v>
      </c>
      <c r="Y53" s="141">
        <v>23659</v>
      </c>
      <c r="Z53" s="150">
        <v>0</v>
      </c>
      <c r="AA53" s="150">
        <v>26813</v>
      </c>
      <c r="AB53" s="150">
        <v>11222</v>
      </c>
      <c r="AC53" s="139">
        <v>53442</v>
      </c>
      <c r="AD53" s="139">
        <v>0</v>
      </c>
      <c r="AE53" s="139">
        <v>0</v>
      </c>
      <c r="AF53" s="139">
        <v>0</v>
      </c>
      <c r="AG53" s="139">
        <v>0</v>
      </c>
      <c r="AH53" s="139">
        <v>0</v>
      </c>
      <c r="AI53" s="139">
        <v>0</v>
      </c>
      <c r="AJ53" s="139">
        <v>0</v>
      </c>
      <c r="AK53" s="140">
        <v>0</v>
      </c>
    </row>
    <row r="54" spans="1:37" x14ac:dyDescent="0.2">
      <c r="A54" s="128" t="s">
        <v>843</v>
      </c>
      <c r="B54" s="327" t="s">
        <v>844</v>
      </c>
      <c r="C54" s="128" t="s">
        <v>845</v>
      </c>
      <c r="D54" s="129" t="s">
        <v>846</v>
      </c>
      <c r="E54" s="129" t="s">
        <v>113</v>
      </c>
      <c r="F54" s="129" t="s">
        <v>678</v>
      </c>
      <c r="G54" s="129" t="s">
        <v>744</v>
      </c>
      <c r="H54" s="130">
        <v>1</v>
      </c>
      <c r="I54" s="16">
        <v>536410</v>
      </c>
      <c r="J54" s="131">
        <v>0</v>
      </c>
      <c r="K54" s="131">
        <v>0</v>
      </c>
      <c r="L54" s="132">
        <v>0</v>
      </c>
      <c r="M54" s="133">
        <v>536410</v>
      </c>
      <c r="N54" s="134">
        <v>0</v>
      </c>
      <c r="O54" s="136">
        <v>0</v>
      </c>
      <c r="P54" s="136">
        <v>0</v>
      </c>
      <c r="Q54" s="136">
        <v>0</v>
      </c>
      <c r="R54" s="136">
        <v>0</v>
      </c>
      <c r="S54" s="136">
        <v>0</v>
      </c>
      <c r="T54" s="136">
        <v>0</v>
      </c>
      <c r="U54" s="136">
        <v>0</v>
      </c>
      <c r="V54" s="136">
        <v>0</v>
      </c>
      <c r="W54" s="137">
        <v>0</v>
      </c>
      <c r="X54" s="137">
        <v>0</v>
      </c>
      <c r="Y54" s="138">
        <v>0</v>
      </c>
      <c r="Z54" s="157">
        <v>0</v>
      </c>
      <c r="AA54" s="150">
        <v>47359</v>
      </c>
      <c r="AB54" s="150">
        <v>60309</v>
      </c>
      <c r="AC54" s="139">
        <v>107185.5</v>
      </c>
      <c r="AD54" s="139">
        <v>107185.5</v>
      </c>
      <c r="AE54" s="139">
        <v>107185.5</v>
      </c>
      <c r="AF54" s="139">
        <v>107185.5</v>
      </c>
      <c r="AG54" s="139">
        <v>0</v>
      </c>
      <c r="AH54" s="139">
        <v>0</v>
      </c>
      <c r="AI54" s="139">
        <v>0</v>
      </c>
      <c r="AJ54" s="139">
        <v>0</v>
      </c>
      <c r="AK54" s="140">
        <v>0</v>
      </c>
    </row>
    <row r="55" spans="1:37" x14ac:dyDescent="0.2">
      <c r="A55" s="128" t="s">
        <v>847</v>
      </c>
      <c r="B55" s="128" t="s">
        <v>848</v>
      </c>
      <c r="C55" s="128" t="s">
        <v>46</v>
      </c>
      <c r="D55" s="329" t="s">
        <v>848</v>
      </c>
      <c r="E55" s="129" t="s">
        <v>175</v>
      </c>
      <c r="F55" s="129" t="s">
        <v>743</v>
      </c>
      <c r="G55" s="129" t="s">
        <v>744</v>
      </c>
      <c r="H55" s="130">
        <v>1</v>
      </c>
      <c r="I55" s="16">
        <v>15000</v>
      </c>
      <c r="J55" s="131">
        <v>15000</v>
      </c>
      <c r="K55" s="131">
        <v>15000</v>
      </c>
      <c r="L55" s="132">
        <v>1</v>
      </c>
      <c r="M55" s="133">
        <v>0</v>
      </c>
      <c r="N55" s="134">
        <v>0</v>
      </c>
      <c r="O55" s="136">
        <v>0</v>
      </c>
      <c r="P55" s="136">
        <v>0</v>
      </c>
      <c r="Q55" s="136">
        <v>0</v>
      </c>
      <c r="R55" s="136">
        <v>0</v>
      </c>
      <c r="S55" s="136">
        <v>0</v>
      </c>
      <c r="T55" s="136">
        <v>0</v>
      </c>
      <c r="U55" s="136">
        <v>0</v>
      </c>
      <c r="V55" s="136">
        <v>0</v>
      </c>
      <c r="W55" s="137">
        <v>0</v>
      </c>
      <c r="X55" s="137">
        <v>0</v>
      </c>
      <c r="Y55" s="141">
        <v>15000</v>
      </c>
      <c r="Z55" s="162">
        <v>0</v>
      </c>
      <c r="AA55" s="139">
        <v>0</v>
      </c>
      <c r="AB55" s="139">
        <v>0</v>
      </c>
      <c r="AC55" s="139">
        <v>0</v>
      </c>
      <c r="AD55" s="139">
        <v>0</v>
      </c>
      <c r="AE55" s="139">
        <v>0</v>
      </c>
      <c r="AF55" s="139">
        <v>0</v>
      </c>
      <c r="AG55" s="139">
        <v>0</v>
      </c>
      <c r="AH55" s="139">
        <v>0</v>
      </c>
      <c r="AI55" s="139">
        <v>0</v>
      </c>
      <c r="AJ55" s="139">
        <v>0</v>
      </c>
      <c r="AK55" s="140">
        <v>0</v>
      </c>
    </row>
    <row r="56" spans="1:37" x14ac:dyDescent="0.2">
      <c r="A56" s="128" t="s">
        <v>719</v>
      </c>
      <c r="B56" s="128" t="s">
        <v>720</v>
      </c>
      <c r="C56" s="128" t="s">
        <v>46</v>
      </c>
      <c r="D56" s="129" t="s">
        <v>720</v>
      </c>
      <c r="E56" s="129" t="s">
        <v>175</v>
      </c>
      <c r="F56" s="129" t="s">
        <v>678</v>
      </c>
      <c r="G56" s="129" t="s">
        <v>744</v>
      </c>
      <c r="H56" s="130">
        <v>1</v>
      </c>
      <c r="I56" s="16">
        <v>25600</v>
      </c>
      <c r="J56" s="131">
        <v>0</v>
      </c>
      <c r="K56" s="131">
        <v>0</v>
      </c>
      <c r="L56" s="132">
        <v>0</v>
      </c>
      <c r="M56" s="133">
        <v>25600</v>
      </c>
      <c r="N56" s="163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38">
        <v>0</v>
      </c>
      <c r="Z56" s="157"/>
      <c r="AA56" s="139"/>
      <c r="AB56" s="139">
        <v>25600</v>
      </c>
      <c r="AC56" s="139"/>
      <c r="AD56" s="139"/>
      <c r="AE56" s="139"/>
      <c r="AF56" s="139"/>
      <c r="AG56" s="139"/>
      <c r="AH56" s="139"/>
      <c r="AI56" s="139"/>
      <c r="AJ56" s="139"/>
      <c r="AK56" s="140"/>
    </row>
    <row r="57" spans="1:37" x14ac:dyDescent="0.2">
      <c r="A57" s="15"/>
      <c r="B57" s="15"/>
      <c r="C57" s="17"/>
      <c r="D57" s="15"/>
      <c r="E57" s="15"/>
      <c r="F57" s="17"/>
      <c r="G57" s="17"/>
      <c r="H57" s="21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</sheetData>
  <conditionalFormatting sqref="H2:H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B9E3-5D3C-4D6E-A179-64B83259D9BB}">
  <dimension ref="B1:AR24"/>
  <sheetViews>
    <sheetView topLeftCell="AB1" zoomScale="89" workbookViewId="0">
      <selection activeCell="AM10" sqref="AM10"/>
    </sheetView>
  </sheetViews>
  <sheetFormatPr baseColWidth="10" defaultColWidth="11.5" defaultRowHeight="15" x14ac:dyDescent="0.2"/>
  <cols>
    <col min="11" max="11" width="90.33203125" bestFit="1" customWidth="1"/>
    <col min="12" max="12" width="11.5" customWidth="1"/>
    <col min="13" max="13" width="20.5" bestFit="1" customWidth="1"/>
    <col min="30" max="30" width="39.1640625" customWidth="1"/>
    <col min="32" max="32" width="14.5" customWidth="1"/>
    <col min="34" max="34" width="14.5" customWidth="1"/>
  </cols>
  <sheetData>
    <row r="1" spans="2:44" ht="16" thickBot="1" x14ac:dyDescent="0.25">
      <c r="AB1" s="571" t="s">
        <v>849</v>
      </c>
      <c r="AC1" s="572" t="s">
        <v>850</v>
      </c>
      <c r="AD1" s="572" t="s">
        <v>851</v>
      </c>
      <c r="AE1" s="572" t="s">
        <v>852</v>
      </c>
      <c r="AF1" s="572" t="s">
        <v>853</v>
      </c>
      <c r="AG1" s="572" t="s">
        <v>854</v>
      </c>
      <c r="AH1" s="584"/>
      <c r="AJ1" s="571" t="s">
        <v>849</v>
      </c>
      <c r="AK1" s="572" t="s">
        <v>850</v>
      </c>
      <c r="AL1" s="572" t="s">
        <v>851</v>
      </c>
      <c r="AM1" s="572" t="s">
        <v>852</v>
      </c>
      <c r="AN1" s="572" t="s">
        <v>853</v>
      </c>
      <c r="AO1" s="572" t="s">
        <v>854</v>
      </c>
    </row>
    <row r="2" spans="2:44" ht="25" thickTop="1" thickBot="1" x14ac:dyDescent="0.25">
      <c r="B2">
        <v>40</v>
      </c>
      <c r="C2">
        <f>+B2*4</f>
        <v>160</v>
      </c>
      <c r="AB2" s="573" t="s">
        <v>45</v>
      </c>
      <c r="AC2" s="573" t="s">
        <v>855</v>
      </c>
      <c r="AD2" s="573" t="s">
        <v>856</v>
      </c>
      <c r="AE2" s="574">
        <v>60</v>
      </c>
      <c r="AF2" s="575"/>
      <c r="AG2" s="583">
        <f>+AE2*0.4</f>
        <v>24</v>
      </c>
      <c r="AH2" s="586">
        <f>+AG2*1000</f>
        <v>24000</v>
      </c>
      <c r="AJ2" s="573" t="s">
        <v>44</v>
      </c>
      <c r="AK2" s="582" t="s">
        <v>857</v>
      </c>
      <c r="AL2" s="582" t="s">
        <v>858</v>
      </c>
      <c r="AM2" s="583">
        <v>480</v>
      </c>
      <c r="AN2" s="583">
        <f t="shared" ref="AN2:AN7" si="0">+AM2*0.8</f>
        <v>384</v>
      </c>
      <c r="AO2" s="586">
        <f>+AN2*1000</f>
        <v>384000</v>
      </c>
      <c r="AQ2" s="570" t="s">
        <v>45</v>
      </c>
      <c r="AR2">
        <f>+AO3</f>
        <v>125600.00000000001</v>
      </c>
    </row>
    <row r="3" spans="2:44" ht="25" thickTop="1" thickBot="1" x14ac:dyDescent="0.25">
      <c r="B3">
        <f>6*4</f>
        <v>24</v>
      </c>
      <c r="AB3" s="573" t="s">
        <v>43</v>
      </c>
      <c r="AC3" s="576" t="s">
        <v>859</v>
      </c>
      <c r="AD3" s="576" t="s">
        <v>860</v>
      </c>
      <c r="AE3" s="577">
        <v>101</v>
      </c>
      <c r="AF3" s="578"/>
      <c r="AG3" s="583">
        <f>+AE3*0.4</f>
        <v>40.400000000000006</v>
      </c>
      <c r="AH3" s="586">
        <f t="shared" ref="AH3:AH11" si="1">+AG3*1000</f>
        <v>40400.000000000007</v>
      </c>
      <c r="AJ3" s="573" t="s">
        <v>45</v>
      </c>
      <c r="AK3" s="579" t="s">
        <v>861</v>
      </c>
      <c r="AL3" s="579" t="s">
        <v>862</v>
      </c>
      <c r="AM3" s="580">
        <v>157</v>
      </c>
      <c r="AN3" s="583">
        <f t="shared" si="0"/>
        <v>125.60000000000001</v>
      </c>
      <c r="AO3" s="586">
        <f t="shared" ref="AO3:AO6" si="2">+AN3*1000</f>
        <v>125600.00000000001</v>
      </c>
      <c r="AQ3" s="570" t="s">
        <v>43</v>
      </c>
      <c r="AR3">
        <f>+AO5+AO6</f>
        <v>92000</v>
      </c>
    </row>
    <row r="4" spans="2:44" ht="25" thickTop="1" thickBot="1" x14ac:dyDescent="0.25">
      <c r="B4" t="s">
        <v>863</v>
      </c>
      <c r="C4" t="s">
        <v>864</v>
      </c>
      <c r="AB4" s="573" t="s">
        <v>43</v>
      </c>
      <c r="AC4" s="579" t="s">
        <v>865</v>
      </c>
      <c r="AD4" s="579" t="s">
        <v>352</v>
      </c>
      <c r="AE4" s="580">
        <v>98</v>
      </c>
      <c r="AF4" s="581"/>
      <c r="AG4" s="583">
        <f>+AE4*0.4</f>
        <v>39.200000000000003</v>
      </c>
      <c r="AH4" s="586">
        <f t="shared" si="1"/>
        <v>39200</v>
      </c>
      <c r="AJ4" s="573" t="s">
        <v>46</v>
      </c>
      <c r="AK4" s="579" t="s">
        <v>866</v>
      </c>
      <c r="AL4" s="579" t="s">
        <v>212</v>
      </c>
      <c r="AM4" s="580">
        <v>250</v>
      </c>
      <c r="AN4" s="583">
        <f t="shared" si="0"/>
        <v>200</v>
      </c>
      <c r="AO4" s="586">
        <f t="shared" si="2"/>
        <v>200000</v>
      </c>
      <c r="AQ4" s="570" t="s">
        <v>44</v>
      </c>
      <c r="AR4">
        <f>+AO2+AO7</f>
        <v>704000</v>
      </c>
    </row>
    <row r="5" spans="2:44" ht="25" thickTop="1" thickBot="1" x14ac:dyDescent="0.25">
      <c r="AB5" s="573" t="s">
        <v>43</v>
      </c>
      <c r="AC5" s="579" t="s">
        <v>867</v>
      </c>
      <c r="AD5" s="579" t="s">
        <v>364</v>
      </c>
      <c r="AE5" s="580">
        <v>77</v>
      </c>
      <c r="AF5" s="581"/>
      <c r="AG5" s="583">
        <f>+AE5*0.4</f>
        <v>30.8</v>
      </c>
      <c r="AH5" s="586">
        <f t="shared" si="1"/>
        <v>30800</v>
      </c>
      <c r="AJ5" s="573" t="s">
        <v>43</v>
      </c>
      <c r="AK5" s="579" t="s">
        <v>868</v>
      </c>
      <c r="AL5" s="579" t="s">
        <v>378</v>
      </c>
      <c r="AM5" s="580">
        <v>45</v>
      </c>
      <c r="AN5" s="583">
        <f t="shared" si="0"/>
        <v>36</v>
      </c>
      <c r="AO5" s="586">
        <f t="shared" si="2"/>
        <v>36000</v>
      </c>
      <c r="AQ5" s="570" t="s">
        <v>46</v>
      </c>
      <c r="AR5">
        <f>+AO4</f>
        <v>200000</v>
      </c>
    </row>
    <row r="6" spans="2:44" ht="25" thickTop="1" thickBot="1" x14ac:dyDescent="0.25">
      <c r="B6">
        <f>42*4</f>
        <v>168</v>
      </c>
      <c r="C6" s="429">
        <v>0.3</v>
      </c>
      <c r="D6" t="s">
        <v>869</v>
      </c>
      <c r="K6" s="560">
        <v>250</v>
      </c>
      <c r="AB6" s="573" t="s">
        <v>43</v>
      </c>
      <c r="AC6" s="582" t="s">
        <v>283</v>
      </c>
      <c r="AD6" s="582" t="s">
        <v>870</v>
      </c>
      <c r="AE6" s="583">
        <v>165</v>
      </c>
      <c r="AF6" s="578"/>
      <c r="AG6" s="583">
        <f>+AE6*0.4</f>
        <v>66</v>
      </c>
      <c r="AH6" s="586">
        <f t="shared" si="1"/>
        <v>66000</v>
      </c>
      <c r="AJ6" s="573" t="s">
        <v>43</v>
      </c>
      <c r="AK6" s="582" t="s">
        <v>871</v>
      </c>
      <c r="AL6" s="582" t="s">
        <v>279</v>
      </c>
      <c r="AM6" s="583">
        <v>70</v>
      </c>
      <c r="AN6" s="583">
        <f t="shared" si="0"/>
        <v>56</v>
      </c>
      <c r="AO6" s="586">
        <f t="shared" si="2"/>
        <v>56000</v>
      </c>
      <c r="AQ6" s="570" t="s">
        <v>48</v>
      </c>
      <c r="AR6">
        <v>0</v>
      </c>
    </row>
    <row r="7" spans="2:44" ht="25" thickTop="1" thickBot="1" x14ac:dyDescent="0.25">
      <c r="B7" t="s">
        <v>872</v>
      </c>
      <c r="K7" s="567">
        <v>180</v>
      </c>
      <c r="AB7" s="573" t="s">
        <v>44</v>
      </c>
      <c r="AC7" s="579" t="s">
        <v>873</v>
      </c>
      <c r="AD7" s="579" t="s">
        <v>874</v>
      </c>
      <c r="AE7" s="580">
        <v>1.3</v>
      </c>
      <c r="AF7" s="581"/>
      <c r="AG7" s="583">
        <v>520000</v>
      </c>
      <c r="AH7" s="586">
        <v>520000</v>
      </c>
      <c r="AJ7" s="573" t="s">
        <v>44</v>
      </c>
      <c r="AK7" s="579" t="s">
        <v>875</v>
      </c>
      <c r="AL7" s="579" t="s">
        <v>163</v>
      </c>
      <c r="AM7" s="580">
        <v>400</v>
      </c>
      <c r="AN7" s="583">
        <f t="shared" si="0"/>
        <v>320</v>
      </c>
      <c r="AO7" s="586">
        <f>+AN7*1000</f>
        <v>320000</v>
      </c>
    </row>
    <row r="8" spans="2:44" ht="25" thickTop="1" thickBot="1" x14ac:dyDescent="0.25">
      <c r="K8" s="568">
        <v>250</v>
      </c>
      <c r="AB8" s="573" t="s">
        <v>46</v>
      </c>
      <c r="AC8" s="582" t="s">
        <v>876</v>
      </c>
      <c r="AD8" s="582" t="s">
        <v>877</v>
      </c>
      <c r="AE8" s="583">
        <v>1.24</v>
      </c>
      <c r="AF8" s="578"/>
      <c r="AG8" s="583">
        <f>+AE8*0.4</f>
        <v>0.496</v>
      </c>
      <c r="AH8" s="586">
        <v>500000</v>
      </c>
    </row>
    <row r="9" spans="2:44" ht="25" thickTop="1" thickBot="1" x14ac:dyDescent="0.25">
      <c r="K9" s="569">
        <v>50</v>
      </c>
      <c r="P9" s="560">
        <v>250</v>
      </c>
      <c r="Q9" s="561">
        <f>+P9*0.8</f>
        <v>200</v>
      </c>
      <c r="AB9" s="573" t="s">
        <v>46</v>
      </c>
      <c r="AC9" s="582" t="s">
        <v>878</v>
      </c>
      <c r="AD9" s="582" t="s">
        <v>879</v>
      </c>
      <c r="AE9" s="583">
        <v>250</v>
      </c>
      <c r="AF9" s="578"/>
      <c r="AG9" s="583">
        <f>+AE9*0.4</f>
        <v>100</v>
      </c>
      <c r="AH9" s="586">
        <f t="shared" si="1"/>
        <v>100000</v>
      </c>
    </row>
    <row r="10" spans="2:44" ht="25" thickTop="1" thickBot="1" x14ac:dyDescent="0.25">
      <c r="K10" s="568">
        <v>70</v>
      </c>
      <c r="P10" s="567">
        <v>90</v>
      </c>
      <c r="Q10" s="561">
        <f t="shared" ref="Q10:Q13" si="3">+P10*0.8</f>
        <v>72</v>
      </c>
      <c r="AB10" s="573" t="s">
        <v>48</v>
      </c>
      <c r="AC10" s="582" t="s">
        <v>880</v>
      </c>
      <c r="AD10" s="582" t="s">
        <v>881</v>
      </c>
      <c r="AE10" s="583">
        <v>500</v>
      </c>
      <c r="AF10" s="578"/>
      <c r="AG10" s="583">
        <f>+AE10*0.1</f>
        <v>50</v>
      </c>
      <c r="AH10" s="586">
        <f t="shared" si="1"/>
        <v>50000</v>
      </c>
    </row>
    <row r="11" spans="2:44" ht="25" thickTop="1" thickBot="1" x14ac:dyDescent="0.25">
      <c r="K11" s="569">
        <v>400</v>
      </c>
      <c r="P11" s="568">
        <v>480</v>
      </c>
      <c r="Q11" s="561">
        <f t="shared" si="3"/>
        <v>384</v>
      </c>
      <c r="AB11" s="573" t="s">
        <v>48</v>
      </c>
      <c r="AC11" s="582" t="s">
        <v>158</v>
      </c>
      <c r="AD11" s="582" t="s">
        <v>200</v>
      </c>
      <c r="AE11" s="583">
        <v>425</v>
      </c>
      <c r="AF11" s="578"/>
      <c r="AG11" s="583">
        <f>+AE11*0.1</f>
        <v>42.5</v>
      </c>
      <c r="AH11" s="586">
        <f t="shared" si="1"/>
        <v>42500</v>
      </c>
    </row>
    <row r="12" spans="2:44" ht="25" thickTop="1" thickBot="1" x14ac:dyDescent="0.25">
      <c r="K12" s="568">
        <v>1600</v>
      </c>
      <c r="P12" s="569">
        <v>157</v>
      </c>
      <c r="Q12" s="561">
        <f t="shared" si="3"/>
        <v>125.60000000000001</v>
      </c>
      <c r="AB12" s="573" t="s">
        <v>48</v>
      </c>
      <c r="AC12" s="579" t="s">
        <v>882</v>
      </c>
      <c r="AD12" s="579" t="s">
        <v>883</v>
      </c>
      <c r="AE12" s="580" t="s">
        <v>77</v>
      </c>
      <c r="AF12" s="581"/>
      <c r="AG12" s="575"/>
      <c r="AH12" s="585"/>
    </row>
    <row r="13" spans="2:44" ht="16" thickBot="1" x14ac:dyDescent="0.25">
      <c r="E13" s="430"/>
      <c r="K13" s="569"/>
      <c r="P13">
        <f>+SUM(P9:P12)</f>
        <v>977</v>
      </c>
      <c r="Q13" s="561">
        <f t="shared" si="3"/>
        <v>781.6</v>
      </c>
    </row>
    <row r="14" spans="2:44" ht="16" thickBot="1" x14ac:dyDescent="0.25">
      <c r="K14" s="568"/>
      <c r="AE14" s="570" t="s">
        <v>45</v>
      </c>
      <c r="AF14">
        <f>+AH2</f>
        <v>24000</v>
      </c>
    </row>
    <row r="15" spans="2:44" ht="16" thickBot="1" x14ac:dyDescent="0.25">
      <c r="K15" s="569"/>
      <c r="AE15" s="570" t="s">
        <v>43</v>
      </c>
      <c r="AF15">
        <f>+SUM(AH3:AH6)</f>
        <v>176400</v>
      </c>
    </row>
    <row r="16" spans="2:44" ht="16" thickBot="1" x14ac:dyDescent="0.25">
      <c r="K16" s="568"/>
      <c r="AE16" s="570" t="s">
        <v>44</v>
      </c>
      <c r="AF16">
        <f>+AH7</f>
        <v>520000</v>
      </c>
    </row>
    <row r="17" spans="11:32" ht="16" thickBot="1" x14ac:dyDescent="0.25">
      <c r="K17" s="569"/>
      <c r="AE17" s="570" t="s">
        <v>46</v>
      </c>
      <c r="AF17">
        <f>+SUM(AH8:AH9)</f>
        <v>600000</v>
      </c>
    </row>
    <row r="18" spans="11:32" ht="16" thickBot="1" x14ac:dyDescent="0.25">
      <c r="K18" s="568"/>
      <c r="AE18" s="570" t="s">
        <v>48</v>
      </c>
      <c r="AF18">
        <f>+SUM(AH10:AH11)</f>
        <v>92500</v>
      </c>
    </row>
    <row r="19" spans="11:32" ht="16" thickBot="1" x14ac:dyDescent="0.25">
      <c r="K19" s="569"/>
    </row>
    <row r="20" spans="11:32" ht="16" thickBot="1" x14ac:dyDescent="0.25">
      <c r="K20" s="568"/>
    </row>
    <row r="21" spans="11:32" ht="16" thickBot="1" x14ac:dyDescent="0.25">
      <c r="K21" s="569" t="s">
        <v>77</v>
      </c>
    </row>
    <row r="23" spans="11:32" x14ac:dyDescent="0.2">
      <c r="M23" t="s">
        <v>884</v>
      </c>
      <c r="N23">
        <v>9644</v>
      </c>
    </row>
    <row r="24" spans="11:32" x14ac:dyDescent="0.2">
      <c r="N24">
        <v>9250</v>
      </c>
    </row>
  </sheetData>
  <autoFilter ref="AB1:AG12" xr:uid="{343BB9E3-5D3C-4D6E-A179-64B83259D9BB}">
    <sortState xmlns:xlrd2="http://schemas.microsoft.com/office/spreadsheetml/2017/richdata2" ref="AB2:AG12">
      <sortCondition ref="AB1:AB12"/>
    </sortState>
  </autoFilter>
  <sortState xmlns:xlrd2="http://schemas.microsoft.com/office/spreadsheetml/2017/richdata2" ref="AB2:AG19">
    <sortCondition ref="AB2:AB16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0CB7-6ABC-4B4B-8012-E723747EDB33}">
  <sheetPr>
    <tabColor theme="6" tint="0.79998168889431442"/>
  </sheetPr>
  <dimension ref="B1:BM36"/>
  <sheetViews>
    <sheetView showGridLines="0" topLeftCell="B1" zoomScale="148" workbookViewId="0">
      <selection activeCell="O13" sqref="O13"/>
    </sheetView>
  </sheetViews>
  <sheetFormatPr baseColWidth="10" defaultColWidth="11.5" defaultRowHeight="15" x14ac:dyDescent="0.2"/>
  <cols>
    <col min="1" max="1" width="4" customWidth="1"/>
    <col min="2" max="2" width="20.33203125" bestFit="1" customWidth="1"/>
    <col min="3" max="3" width="4.5" customWidth="1"/>
    <col min="4" max="4" width="11.33203125" bestFit="1" customWidth="1"/>
    <col min="5" max="5" width="12.6640625" bestFit="1" customWidth="1"/>
    <col min="6" max="6" width="16.6640625" bestFit="1" customWidth="1"/>
    <col min="7" max="7" width="4.1640625" customWidth="1"/>
    <col min="8" max="8" width="9.5" bestFit="1" customWidth="1"/>
    <col min="9" max="9" width="5" customWidth="1"/>
    <col min="11" max="11" width="4.33203125" customWidth="1"/>
    <col min="12" max="12" width="15.5" bestFit="1" customWidth="1"/>
    <col min="13" max="13" width="3.6640625" customWidth="1"/>
    <col min="17" max="17" width="22.33203125" bestFit="1" customWidth="1"/>
  </cols>
  <sheetData>
    <row r="1" spans="2:65" s="15" customFormat="1" ht="32" x14ac:dyDescent="0.2">
      <c r="B1" s="281" t="s">
        <v>664</v>
      </c>
      <c r="D1" s="281" t="s">
        <v>885</v>
      </c>
      <c r="E1" s="281" t="s">
        <v>886</v>
      </c>
      <c r="F1" s="281" t="s">
        <v>887</v>
      </c>
      <c r="G1" s="17"/>
      <c r="H1" s="281" t="s">
        <v>888</v>
      </c>
      <c r="I1"/>
      <c r="J1" s="281" t="s">
        <v>74</v>
      </c>
      <c r="K1" s="17"/>
      <c r="L1" s="281" t="s">
        <v>90</v>
      </c>
      <c r="M1" s="16"/>
      <c r="N1" s="281" t="s">
        <v>889</v>
      </c>
      <c r="O1" s="281" t="s">
        <v>890</v>
      </c>
      <c r="P1" s="16"/>
      <c r="Q1" s="281" t="s">
        <v>94</v>
      </c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P1" s="4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4"/>
    </row>
    <row r="2" spans="2:65" x14ac:dyDescent="0.2">
      <c r="B2" s="201" t="s">
        <v>891</v>
      </c>
      <c r="D2" s="267" t="s">
        <v>117</v>
      </c>
      <c r="E2" s="267" t="s">
        <v>117</v>
      </c>
      <c r="F2" s="245" t="s">
        <v>892</v>
      </c>
      <c r="H2" s="267" t="s">
        <v>893</v>
      </c>
      <c r="J2" s="200" t="s">
        <v>45</v>
      </c>
      <c r="L2" s="201" t="s">
        <v>252</v>
      </c>
      <c r="N2" s="201" t="s">
        <v>894</v>
      </c>
      <c r="O2" s="364">
        <v>0.2</v>
      </c>
      <c r="Q2" s="414" t="s">
        <v>148</v>
      </c>
    </row>
    <row r="3" spans="2:65" x14ac:dyDescent="0.2">
      <c r="B3" s="246" t="s">
        <v>23</v>
      </c>
      <c r="D3" s="267" t="s">
        <v>120</v>
      </c>
      <c r="E3" s="267" t="s">
        <v>120</v>
      </c>
      <c r="F3" s="245" t="s">
        <v>895</v>
      </c>
      <c r="H3" s="267" t="s">
        <v>896</v>
      </c>
      <c r="J3" s="202" t="s">
        <v>43</v>
      </c>
      <c r="L3" s="201" t="s">
        <v>100</v>
      </c>
      <c r="N3" s="201" t="s">
        <v>897</v>
      </c>
      <c r="O3" s="364">
        <v>0.5</v>
      </c>
      <c r="Q3" s="414" t="s">
        <v>130</v>
      </c>
    </row>
    <row r="4" spans="2:65" x14ac:dyDescent="0.2">
      <c r="B4" s="201" t="s">
        <v>28</v>
      </c>
      <c r="D4" s="267" t="s">
        <v>96</v>
      </c>
      <c r="E4" s="267" t="s">
        <v>96</v>
      </c>
      <c r="F4" s="245" t="s">
        <v>898</v>
      </c>
      <c r="J4" s="202" t="s">
        <v>46</v>
      </c>
      <c r="L4" s="201" t="s">
        <v>111</v>
      </c>
      <c r="N4" s="201" t="s">
        <v>899</v>
      </c>
      <c r="O4" s="364">
        <v>0.2</v>
      </c>
      <c r="Q4" s="414" t="s">
        <v>155</v>
      </c>
    </row>
    <row r="5" spans="2:65" x14ac:dyDescent="0.2">
      <c r="B5" s="201" t="s">
        <v>20</v>
      </c>
      <c r="D5" s="267" t="s">
        <v>142</v>
      </c>
      <c r="E5" s="267" t="s">
        <v>142</v>
      </c>
      <c r="F5" s="245" t="s">
        <v>538</v>
      </c>
      <c r="J5" s="202" t="s">
        <v>48</v>
      </c>
      <c r="Q5" s="414" t="s">
        <v>165</v>
      </c>
    </row>
    <row r="6" spans="2:65" x14ac:dyDescent="0.2">
      <c r="B6" s="201" t="s">
        <v>37</v>
      </c>
      <c r="D6" s="267" t="s">
        <v>131</v>
      </c>
      <c r="E6" s="267" t="s">
        <v>131</v>
      </c>
      <c r="F6" s="245" t="s">
        <v>900</v>
      </c>
      <c r="J6" s="202" t="s">
        <v>44</v>
      </c>
      <c r="Q6" s="414" t="s">
        <v>107</v>
      </c>
    </row>
    <row r="7" spans="2:65" x14ac:dyDescent="0.2">
      <c r="D7" s="267" t="s">
        <v>218</v>
      </c>
      <c r="E7" s="267" t="s">
        <v>218</v>
      </c>
      <c r="F7" s="245" t="s">
        <v>901</v>
      </c>
      <c r="Q7" s="414" t="s">
        <v>137</v>
      </c>
    </row>
    <row r="8" spans="2:65" x14ac:dyDescent="0.2">
      <c r="D8" s="267" t="s">
        <v>112</v>
      </c>
      <c r="E8" s="267" t="s">
        <v>112</v>
      </c>
      <c r="F8" s="245" t="s">
        <v>902</v>
      </c>
      <c r="Q8" s="415" t="s">
        <v>845</v>
      </c>
    </row>
    <row r="9" spans="2:65" x14ac:dyDescent="0.2">
      <c r="D9" s="267" t="s">
        <v>126</v>
      </c>
      <c r="E9" s="267" t="s">
        <v>126</v>
      </c>
      <c r="F9" s="245" t="s">
        <v>903</v>
      </c>
    </row>
    <row r="10" spans="2:65" ht="15" customHeight="1" x14ac:dyDescent="0.2">
      <c r="D10" s="267" t="s">
        <v>102</v>
      </c>
      <c r="E10" s="267" t="s">
        <v>102</v>
      </c>
      <c r="F10" s="245" t="s">
        <v>904</v>
      </c>
    </row>
    <row r="11" spans="2:65" ht="14.5" customHeight="1" x14ac:dyDescent="0.2">
      <c r="D11" s="270" t="s">
        <v>174</v>
      </c>
      <c r="E11" s="270" t="s">
        <v>174</v>
      </c>
      <c r="F11" s="245" t="s">
        <v>905</v>
      </c>
    </row>
    <row r="12" spans="2:65" x14ac:dyDescent="0.2">
      <c r="D12" s="270" t="s">
        <v>127</v>
      </c>
      <c r="E12" s="270" t="s">
        <v>127</v>
      </c>
      <c r="F12" s="245" t="s">
        <v>906</v>
      </c>
    </row>
    <row r="13" spans="2:65" ht="14" customHeight="1" x14ac:dyDescent="0.2">
      <c r="G13" s="279"/>
      <c r="O13" s="588">
        <f>4500000*13</f>
        <v>58500000</v>
      </c>
    </row>
    <row r="14" spans="2:65" ht="14" customHeight="1" x14ac:dyDescent="0.2"/>
    <row r="15" spans="2:65" ht="14" customHeight="1" x14ac:dyDescent="0.2"/>
    <row r="16" spans="2:65" ht="14" customHeight="1" x14ac:dyDescent="0.2">
      <c r="G16" s="279"/>
    </row>
    <row r="17" spans="7:7" ht="14" customHeight="1" x14ac:dyDescent="0.2">
      <c r="G17" s="279"/>
    </row>
    <row r="18" spans="7:7" ht="14" customHeight="1" x14ac:dyDescent="0.2">
      <c r="G18" s="279"/>
    </row>
    <row r="19" spans="7:7" ht="14" customHeight="1" x14ac:dyDescent="0.2"/>
    <row r="20" spans="7:7" ht="14" customHeight="1" x14ac:dyDescent="0.2"/>
    <row r="21" spans="7:7" x14ac:dyDescent="0.2">
      <c r="G21" s="280"/>
    </row>
    <row r="30" spans="7:7" ht="96" x14ac:dyDescent="0.2">
      <c r="G30" s="281" t="s">
        <v>907</v>
      </c>
    </row>
    <row r="31" spans="7:7" x14ac:dyDescent="0.2">
      <c r="G31" s="365"/>
    </row>
    <row r="32" spans="7:7" x14ac:dyDescent="0.2">
      <c r="G32" s="366"/>
    </row>
    <row r="33" spans="7:7" x14ac:dyDescent="0.2">
      <c r="G33" s="367"/>
    </row>
    <row r="35" spans="7:7" ht="176" x14ac:dyDescent="0.2">
      <c r="G35" s="281" t="s">
        <v>908</v>
      </c>
    </row>
    <row r="36" spans="7:7" x14ac:dyDescent="0.2">
      <c r="G36" s="270">
        <v>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FA08-C67C-4336-9497-2A993D2E9B02}">
  <dimension ref="A1:C12"/>
  <sheetViews>
    <sheetView workbookViewId="0">
      <selection activeCell="E16" sqref="E16"/>
    </sheetView>
  </sheetViews>
  <sheetFormatPr baseColWidth="10" defaultColWidth="11.5" defaultRowHeight="15" x14ac:dyDescent="0.2"/>
  <cols>
    <col min="2" max="2" width="11.83203125" bestFit="1" customWidth="1"/>
    <col min="3" max="3" width="17.33203125" bestFit="1" customWidth="1"/>
  </cols>
  <sheetData>
    <row r="1" spans="1:3" ht="32" x14ac:dyDescent="0.2">
      <c r="A1" s="281" t="s">
        <v>885</v>
      </c>
      <c r="B1" s="281" t="s">
        <v>886</v>
      </c>
      <c r="C1" s="281" t="s">
        <v>887</v>
      </c>
    </row>
    <row r="2" spans="1:3" x14ac:dyDescent="0.2">
      <c r="A2" s="267" t="s">
        <v>117</v>
      </c>
      <c r="B2" s="267" t="s">
        <v>117</v>
      </c>
      <c r="C2" s="245" t="s">
        <v>892</v>
      </c>
    </row>
    <row r="3" spans="1:3" x14ac:dyDescent="0.2">
      <c r="A3" s="267" t="s">
        <v>120</v>
      </c>
      <c r="B3" s="267" t="s">
        <v>120</v>
      </c>
      <c r="C3" s="245" t="s">
        <v>895</v>
      </c>
    </row>
    <row r="4" spans="1:3" x14ac:dyDescent="0.2">
      <c r="A4" s="267" t="s">
        <v>96</v>
      </c>
      <c r="B4" s="267" t="s">
        <v>96</v>
      </c>
      <c r="C4" s="245" t="s">
        <v>898</v>
      </c>
    </row>
    <row r="5" spans="1:3" x14ac:dyDescent="0.2">
      <c r="A5" s="267" t="s">
        <v>142</v>
      </c>
      <c r="B5" s="267" t="s">
        <v>142</v>
      </c>
      <c r="C5" s="245" t="s">
        <v>538</v>
      </c>
    </row>
    <row r="6" spans="1:3" x14ac:dyDescent="0.2">
      <c r="A6" s="267" t="s">
        <v>131</v>
      </c>
      <c r="B6" s="267" t="s">
        <v>131</v>
      </c>
      <c r="C6" s="245" t="s">
        <v>900</v>
      </c>
    </row>
    <row r="7" spans="1:3" x14ac:dyDescent="0.2">
      <c r="A7" s="267" t="s">
        <v>218</v>
      </c>
      <c r="B7" s="267" t="s">
        <v>218</v>
      </c>
      <c r="C7" s="245" t="s">
        <v>901</v>
      </c>
    </row>
    <row r="8" spans="1:3" x14ac:dyDescent="0.2">
      <c r="A8" s="267" t="s">
        <v>112</v>
      </c>
      <c r="B8" s="267" t="s">
        <v>112</v>
      </c>
      <c r="C8" s="245" t="s">
        <v>902</v>
      </c>
    </row>
    <row r="9" spans="1:3" x14ac:dyDescent="0.2">
      <c r="A9" s="267" t="s">
        <v>126</v>
      </c>
      <c r="B9" s="267" t="s">
        <v>126</v>
      </c>
      <c r="C9" s="245" t="s">
        <v>903</v>
      </c>
    </row>
    <row r="10" spans="1:3" x14ac:dyDescent="0.2">
      <c r="A10" s="267" t="s">
        <v>102</v>
      </c>
      <c r="B10" s="267" t="s">
        <v>102</v>
      </c>
      <c r="C10" s="245" t="s">
        <v>904</v>
      </c>
    </row>
    <row r="11" spans="1:3" x14ac:dyDescent="0.2">
      <c r="A11" s="270" t="s">
        <v>174</v>
      </c>
      <c r="B11" s="270" t="s">
        <v>174</v>
      </c>
      <c r="C11" s="245" t="s">
        <v>905</v>
      </c>
    </row>
    <row r="12" spans="1:3" x14ac:dyDescent="0.2">
      <c r="A12" s="270" t="s">
        <v>127</v>
      </c>
      <c r="B12" s="270" t="s">
        <v>127</v>
      </c>
      <c r="C12" s="245" t="s">
        <v>906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F12C-7862-48B6-BD8C-3943CA68A5D4}">
  <dimension ref="A1:AB192"/>
  <sheetViews>
    <sheetView workbookViewId="0">
      <selection activeCell="D8" sqref="D8"/>
    </sheetView>
  </sheetViews>
  <sheetFormatPr baseColWidth="10" defaultColWidth="11.5" defaultRowHeight="15" x14ac:dyDescent="0.2"/>
  <cols>
    <col min="1" max="1" width="11.5" style="244"/>
    <col min="2" max="2" width="6.33203125" customWidth="1"/>
    <col min="4" max="4" width="39.6640625" customWidth="1"/>
    <col min="5" max="5" width="12.6640625" bestFit="1" customWidth="1"/>
    <col min="6" max="6" width="6.33203125" style="244" customWidth="1"/>
    <col min="7" max="7" width="9" style="269" customWidth="1"/>
    <col min="9" max="9" width="43.5" customWidth="1"/>
    <col min="10" max="10" width="12.6640625" bestFit="1" customWidth="1"/>
    <col min="11" max="28" width="11.5" style="244"/>
  </cols>
  <sheetData>
    <row r="1" spans="2:10" s="244" customFormat="1" x14ac:dyDescent="0.2">
      <c r="G1" s="273"/>
    </row>
    <row r="2" spans="2:10" x14ac:dyDescent="0.2">
      <c r="B2" s="633" t="s">
        <v>909</v>
      </c>
      <c r="C2" s="633"/>
      <c r="D2" s="633"/>
      <c r="E2" s="633"/>
      <c r="G2" s="633" t="s">
        <v>910</v>
      </c>
      <c r="H2" s="633"/>
      <c r="I2" s="633"/>
      <c r="J2" s="633"/>
    </row>
    <row r="3" spans="2:10" x14ac:dyDescent="0.2">
      <c r="B3" s="272" t="s">
        <v>80</v>
      </c>
      <c r="C3" s="272" t="s">
        <v>911</v>
      </c>
      <c r="D3" s="272" t="s">
        <v>887</v>
      </c>
      <c r="E3" s="272" t="s">
        <v>912</v>
      </c>
      <c r="G3" s="272" t="s">
        <v>80</v>
      </c>
      <c r="H3" s="274" t="s">
        <v>911</v>
      </c>
      <c r="I3" s="274" t="s">
        <v>887</v>
      </c>
      <c r="J3" s="272" t="s">
        <v>912</v>
      </c>
    </row>
    <row r="4" spans="2:10" x14ac:dyDescent="0.2">
      <c r="B4" s="271">
        <v>1</v>
      </c>
      <c r="C4" s="271"/>
      <c r="D4" s="271"/>
      <c r="E4" s="271"/>
      <c r="G4" s="271">
        <v>1</v>
      </c>
      <c r="H4" s="245"/>
      <c r="I4" s="245"/>
      <c r="J4" s="245"/>
    </row>
    <row r="5" spans="2:10" x14ac:dyDescent="0.2">
      <c r="B5" s="271">
        <v>2</v>
      </c>
      <c r="C5" s="271"/>
      <c r="D5" s="271"/>
      <c r="E5" s="271"/>
      <c r="G5" s="271" t="s">
        <v>913</v>
      </c>
      <c r="H5" s="245"/>
      <c r="I5" s="245"/>
      <c r="J5" s="245"/>
    </row>
    <row r="6" spans="2:10" x14ac:dyDescent="0.2">
      <c r="B6" s="271">
        <v>3</v>
      </c>
      <c r="C6" s="271"/>
      <c r="D6" s="271"/>
      <c r="E6" s="271"/>
      <c r="G6" s="271">
        <v>3</v>
      </c>
      <c r="H6" s="245"/>
      <c r="I6" s="245"/>
      <c r="J6" s="245"/>
    </row>
    <row r="7" spans="2:10" x14ac:dyDescent="0.2">
      <c r="B7" s="271">
        <v>4</v>
      </c>
      <c r="C7" s="271"/>
      <c r="D7" s="271"/>
      <c r="E7" s="271"/>
      <c r="G7" s="271">
        <v>4</v>
      </c>
      <c r="H7" s="245"/>
      <c r="I7" s="245"/>
      <c r="J7" s="245"/>
    </row>
    <row r="8" spans="2:10" x14ac:dyDescent="0.2">
      <c r="B8" s="271">
        <v>5</v>
      </c>
      <c r="C8" s="271"/>
      <c r="D8" s="271"/>
      <c r="E8" s="271"/>
      <c r="G8" s="271">
        <v>5</v>
      </c>
      <c r="H8" s="245"/>
      <c r="I8" s="245"/>
      <c r="J8" s="245"/>
    </row>
    <row r="9" spans="2:10" x14ac:dyDescent="0.2">
      <c r="B9" s="271">
        <v>6</v>
      </c>
      <c r="C9" s="271"/>
      <c r="D9" s="271"/>
      <c r="E9" s="271"/>
      <c r="G9" s="271">
        <v>6</v>
      </c>
      <c r="H9" s="245"/>
      <c r="I9" s="245"/>
      <c r="J9" s="245"/>
    </row>
    <row r="10" spans="2:10" x14ac:dyDescent="0.2">
      <c r="B10" s="271">
        <v>7</v>
      </c>
      <c r="C10" s="271"/>
      <c r="D10" s="271"/>
      <c r="E10" s="271"/>
      <c r="G10" s="271">
        <v>7</v>
      </c>
      <c r="H10" s="245"/>
      <c r="I10" s="245"/>
      <c r="J10" s="245"/>
    </row>
    <row r="11" spans="2:10" x14ac:dyDescent="0.2">
      <c r="B11" s="271">
        <v>8</v>
      </c>
      <c r="C11" s="271"/>
      <c r="D11" s="271"/>
      <c r="E11" s="271"/>
      <c r="G11" s="271">
        <v>8</v>
      </c>
      <c r="H11" s="245"/>
      <c r="I11" s="245"/>
      <c r="J11" s="245"/>
    </row>
    <row r="12" spans="2:10" x14ac:dyDescent="0.2">
      <c r="B12" s="271">
        <v>9</v>
      </c>
      <c r="C12" s="271"/>
      <c r="D12" s="271"/>
      <c r="E12" s="271"/>
      <c r="G12" s="271">
        <v>9</v>
      </c>
      <c r="H12" s="245"/>
      <c r="I12" s="245"/>
      <c r="J12" s="245"/>
    </row>
    <row r="13" spans="2:10" x14ac:dyDescent="0.2">
      <c r="B13" s="271">
        <v>10</v>
      </c>
      <c r="C13" s="271"/>
      <c r="D13" s="271"/>
      <c r="E13" s="271"/>
      <c r="G13" s="271">
        <v>10</v>
      </c>
      <c r="H13" s="245"/>
      <c r="I13" s="245"/>
      <c r="J13" s="245"/>
    </row>
    <row r="14" spans="2:10" x14ac:dyDescent="0.2">
      <c r="B14" s="271">
        <v>11</v>
      </c>
      <c r="C14" s="271"/>
      <c r="D14" s="271"/>
      <c r="E14" s="271"/>
      <c r="G14" s="271">
        <v>11</v>
      </c>
      <c r="H14" s="245"/>
      <c r="I14" s="245"/>
      <c r="J14" s="245"/>
    </row>
    <row r="15" spans="2:10" x14ac:dyDescent="0.2">
      <c r="B15" s="271">
        <v>12</v>
      </c>
      <c r="C15" s="271"/>
      <c r="D15" s="271"/>
      <c r="E15" s="271"/>
      <c r="G15" s="271">
        <v>12</v>
      </c>
      <c r="H15" s="245"/>
      <c r="I15" s="245"/>
      <c r="J15" s="245"/>
    </row>
    <row r="16" spans="2:10" x14ac:dyDescent="0.2">
      <c r="B16" s="271">
        <v>13</v>
      </c>
      <c r="C16" s="271"/>
      <c r="D16" s="271"/>
      <c r="E16" s="271"/>
      <c r="G16" s="271">
        <v>13</v>
      </c>
      <c r="H16" s="245"/>
      <c r="I16" s="245"/>
      <c r="J16" s="245"/>
    </row>
    <row r="17" spans="2:10" x14ac:dyDescent="0.2">
      <c r="B17" s="271">
        <v>14</v>
      </c>
      <c r="C17" s="271"/>
      <c r="D17" s="271"/>
      <c r="E17" s="271"/>
      <c r="G17" s="271">
        <v>14</v>
      </c>
      <c r="H17" s="245"/>
      <c r="I17" s="245"/>
      <c r="J17" s="245"/>
    </row>
    <row r="18" spans="2:10" x14ac:dyDescent="0.2">
      <c r="B18" s="271">
        <v>15</v>
      </c>
      <c r="C18" s="271"/>
      <c r="D18" s="271"/>
      <c r="E18" s="271"/>
      <c r="G18" s="271">
        <v>15</v>
      </c>
      <c r="H18" s="245"/>
      <c r="I18" s="245"/>
      <c r="J18" s="245"/>
    </row>
    <row r="19" spans="2:10" x14ac:dyDescent="0.2">
      <c r="B19" s="271">
        <v>16</v>
      </c>
      <c r="C19" s="271"/>
      <c r="D19" s="271"/>
      <c r="E19" s="271"/>
      <c r="G19" s="271">
        <v>16</v>
      </c>
      <c r="H19" s="245"/>
      <c r="I19" s="245"/>
      <c r="J19" s="245"/>
    </row>
    <row r="20" spans="2:10" x14ac:dyDescent="0.2">
      <c r="B20" s="271">
        <v>17</v>
      </c>
      <c r="C20" s="271"/>
      <c r="D20" s="271"/>
      <c r="E20" s="271"/>
      <c r="G20" s="271">
        <v>17</v>
      </c>
      <c r="H20" s="245"/>
      <c r="I20" s="245"/>
      <c r="J20" s="245"/>
    </row>
    <row r="21" spans="2:10" x14ac:dyDescent="0.2">
      <c r="B21" s="271">
        <v>18</v>
      </c>
      <c r="C21" s="271"/>
      <c r="D21" s="271"/>
      <c r="E21" s="271"/>
      <c r="G21" s="271">
        <v>18</v>
      </c>
      <c r="H21" s="245"/>
      <c r="I21" s="245"/>
      <c r="J21" s="245"/>
    </row>
    <row r="22" spans="2:10" x14ac:dyDescent="0.2">
      <c r="B22" s="271">
        <v>19</v>
      </c>
      <c r="C22" s="271"/>
      <c r="D22" s="271"/>
      <c r="E22" s="271"/>
      <c r="G22" s="271">
        <v>19</v>
      </c>
      <c r="H22" s="245"/>
      <c r="I22" s="245"/>
      <c r="J22" s="245"/>
    </row>
    <row r="23" spans="2:10" x14ac:dyDescent="0.2">
      <c r="B23" s="271">
        <v>20</v>
      </c>
      <c r="C23" s="271"/>
      <c r="D23" s="271"/>
      <c r="E23" s="271"/>
      <c r="G23" s="271">
        <v>20</v>
      </c>
      <c r="H23" s="245"/>
      <c r="I23" s="245"/>
      <c r="J23" s="245"/>
    </row>
    <row r="24" spans="2:10" x14ac:dyDescent="0.2">
      <c r="B24" s="271">
        <v>21</v>
      </c>
      <c r="C24" s="271"/>
      <c r="D24" s="271"/>
      <c r="E24" s="271"/>
      <c r="G24" s="271">
        <v>21</v>
      </c>
      <c r="H24" s="245"/>
      <c r="I24" s="245"/>
      <c r="J24" s="245"/>
    </row>
    <row r="25" spans="2:10" x14ac:dyDescent="0.2">
      <c r="B25" s="271">
        <v>22</v>
      </c>
      <c r="C25" s="271"/>
      <c r="D25" s="271"/>
      <c r="E25" s="271"/>
      <c r="G25" s="271">
        <v>22</v>
      </c>
      <c r="H25" s="245"/>
      <c r="I25" s="245"/>
      <c r="J25" s="245"/>
    </row>
    <row r="26" spans="2:10" s="244" customFormat="1" x14ac:dyDescent="0.2">
      <c r="G26" s="273"/>
    </row>
    <row r="27" spans="2:10" s="244" customFormat="1" x14ac:dyDescent="0.2">
      <c r="G27" s="273"/>
    </row>
    <row r="28" spans="2:10" s="244" customFormat="1" x14ac:dyDescent="0.2">
      <c r="G28" s="273"/>
    </row>
    <row r="29" spans="2:10" s="244" customFormat="1" x14ac:dyDescent="0.2">
      <c r="G29" s="273"/>
    </row>
    <row r="30" spans="2:10" s="244" customFormat="1" x14ac:dyDescent="0.2">
      <c r="G30" s="273"/>
    </row>
    <row r="31" spans="2:10" s="244" customFormat="1" x14ac:dyDescent="0.2">
      <c r="G31" s="273"/>
    </row>
    <row r="32" spans="2:10" s="244" customFormat="1" x14ac:dyDescent="0.2">
      <c r="G32" s="273"/>
    </row>
    <row r="33" spans="7:7" s="244" customFormat="1" x14ac:dyDescent="0.2">
      <c r="G33" s="273"/>
    </row>
    <row r="34" spans="7:7" s="244" customFormat="1" x14ac:dyDescent="0.2">
      <c r="G34" s="273"/>
    </row>
    <row r="35" spans="7:7" s="244" customFormat="1" x14ac:dyDescent="0.2">
      <c r="G35" s="273"/>
    </row>
    <row r="36" spans="7:7" s="244" customFormat="1" x14ac:dyDescent="0.2">
      <c r="G36" s="273"/>
    </row>
    <row r="37" spans="7:7" s="244" customFormat="1" x14ac:dyDescent="0.2">
      <c r="G37" s="273"/>
    </row>
    <row r="38" spans="7:7" s="244" customFormat="1" x14ac:dyDescent="0.2">
      <c r="G38" s="273"/>
    </row>
    <row r="39" spans="7:7" s="244" customFormat="1" x14ac:dyDescent="0.2">
      <c r="G39" s="273"/>
    </row>
    <row r="40" spans="7:7" s="244" customFormat="1" x14ac:dyDescent="0.2">
      <c r="G40" s="273"/>
    </row>
    <row r="41" spans="7:7" s="244" customFormat="1" x14ac:dyDescent="0.2">
      <c r="G41" s="273"/>
    </row>
    <row r="42" spans="7:7" s="244" customFormat="1" x14ac:dyDescent="0.2">
      <c r="G42" s="273"/>
    </row>
    <row r="43" spans="7:7" s="244" customFormat="1" x14ac:dyDescent="0.2">
      <c r="G43" s="273"/>
    </row>
    <row r="44" spans="7:7" s="244" customFormat="1" x14ac:dyDescent="0.2">
      <c r="G44" s="273"/>
    </row>
    <row r="45" spans="7:7" s="244" customFormat="1" x14ac:dyDescent="0.2">
      <c r="G45" s="273"/>
    </row>
    <row r="46" spans="7:7" s="244" customFormat="1" x14ac:dyDescent="0.2">
      <c r="G46" s="273"/>
    </row>
    <row r="47" spans="7:7" s="244" customFormat="1" x14ac:dyDescent="0.2">
      <c r="G47" s="273"/>
    </row>
    <row r="48" spans="7:7" s="244" customFormat="1" x14ac:dyDescent="0.2">
      <c r="G48" s="273"/>
    </row>
    <row r="49" spans="7:7" s="244" customFormat="1" x14ac:dyDescent="0.2">
      <c r="G49" s="273"/>
    </row>
    <row r="50" spans="7:7" s="244" customFormat="1" x14ac:dyDescent="0.2">
      <c r="G50" s="273"/>
    </row>
    <row r="51" spans="7:7" s="244" customFormat="1" x14ac:dyDescent="0.2">
      <c r="G51" s="273"/>
    </row>
    <row r="52" spans="7:7" s="244" customFormat="1" x14ac:dyDescent="0.2">
      <c r="G52" s="273"/>
    </row>
    <row r="53" spans="7:7" s="244" customFormat="1" x14ac:dyDescent="0.2">
      <c r="G53" s="273"/>
    </row>
    <row r="54" spans="7:7" s="244" customFormat="1" x14ac:dyDescent="0.2">
      <c r="G54" s="273"/>
    </row>
    <row r="55" spans="7:7" s="244" customFormat="1" x14ac:dyDescent="0.2">
      <c r="G55" s="273"/>
    </row>
    <row r="56" spans="7:7" s="244" customFormat="1" x14ac:dyDescent="0.2">
      <c r="G56" s="273"/>
    </row>
    <row r="57" spans="7:7" s="244" customFormat="1" x14ac:dyDescent="0.2">
      <c r="G57" s="273"/>
    </row>
    <row r="58" spans="7:7" s="244" customFormat="1" x14ac:dyDescent="0.2">
      <c r="G58" s="273"/>
    </row>
    <row r="59" spans="7:7" s="244" customFormat="1" x14ac:dyDescent="0.2">
      <c r="G59" s="273"/>
    </row>
    <row r="60" spans="7:7" s="244" customFormat="1" x14ac:dyDescent="0.2">
      <c r="G60" s="273"/>
    </row>
    <row r="61" spans="7:7" s="244" customFormat="1" x14ac:dyDescent="0.2">
      <c r="G61" s="273"/>
    </row>
    <row r="62" spans="7:7" s="244" customFormat="1" x14ac:dyDescent="0.2">
      <c r="G62" s="273"/>
    </row>
    <row r="63" spans="7:7" s="244" customFormat="1" x14ac:dyDescent="0.2">
      <c r="G63" s="273"/>
    </row>
    <row r="64" spans="7:7" s="244" customFormat="1" x14ac:dyDescent="0.2">
      <c r="G64" s="273"/>
    </row>
    <row r="65" spans="7:7" s="244" customFormat="1" x14ac:dyDescent="0.2">
      <c r="G65" s="273"/>
    </row>
    <row r="66" spans="7:7" s="244" customFormat="1" x14ac:dyDescent="0.2">
      <c r="G66" s="273"/>
    </row>
    <row r="67" spans="7:7" s="244" customFormat="1" x14ac:dyDescent="0.2">
      <c r="G67" s="273"/>
    </row>
    <row r="68" spans="7:7" s="244" customFormat="1" x14ac:dyDescent="0.2">
      <c r="G68" s="273"/>
    </row>
    <row r="69" spans="7:7" s="244" customFormat="1" x14ac:dyDescent="0.2">
      <c r="G69" s="273"/>
    </row>
    <row r="70" spans="7:7" s="244" customFormat="1" x14ac:dyDescent="0.2">
      <c r="G70" s="273"/>
    </row>
    <row r="71" spans="7:7" s="244" customFormat="1" x14ac:dyDescent="0.2">
      <c r="G71" s="273"/>
    </row>
    <row r="72" spans="7:7" s="244" customFormat="1" x14ac:dyDescent="0.2">
      <c r="G72" s="273"/>
    </row>
    <row r="73" spans="7:7" s="244" customFormat="1" x14ac:dyDescent="0.2">
      <c r="G73" s="273"/>
    </row>
    <row r="74" spans="7:7" s="244" customFormat="1" x14ac:dyDescent="0.2">
      <c r="G74" s="273"/>
    </row>
    <row r="75" spans="7:7" s="244" customFormat="1" x14ac:dyDescent="0.2">
      <c r="G75" s="273"/>
    </row>
    <row r="76" spans="7:7" s="244" customFormat="1" x14ac:dyDescent="0.2">
      <c r="G76" s="273"/>
    </row>
    <row r="77" spans="7:7" s="244" customFormat="1" x14ac:dyDescent="0.2">
      <c r="G77" s="273"/>
    </row>
    <row r="78" spans="7:7" s="244" customFormat="1" x14ac:dyDescent="0.2">
      <c r="G78" s="273"/>
    </row>
    <row r="79" spans="7:7" s="244" customFormat="1" x14ac:dyDescent="0.2">
      <c r="G79" s="273"/>
    </row>
    <row r="80" spans="7:7" s="244" customFormat="1" x14ac:dyDescent="0.2">
      <c r="G80" s="273"/>
    </row>
    <row r="81" spans="7:7" s="244" customFormat="1" x14ac:dyDescent="0.2">
      <c r="G81" s="273"/>
    </row>
    <row r="82" spans="7:7" s="244" customFormat="1" x14ac:dyDescent="0.2">
      <c r="G82" s="273"/>
    </row>
    <row r="83" spans="7:7" s="244" customFormat="1" x14ac:dyDescent="0.2">
      <c r="G83" s="273"/>
    </row>
    <row r="84" spans="7:7" s="244" customFormat="1" x14ac:dyDescent="0.2">
      <c r="G84" s="273"/>
    </row>
    <row r="85" spans="7:7" s="244" customFormat="1" x14ac:dyDescent="0.2">
      <c r="G85" s="273"/>
    </row>
    <row r="86" spans="7:7" s="244" customFormat="1" x14ac:dyDescent="0.2">
      <c r="G86" s="273"/>
    </row>
    <row r="87" spans="7:7" s="244" customFormat="1" x14ac:dyDescent="0.2">
      <c r="G87" s="273"/>
    </row>
    <row r="88" spans="7:7" s="244" customFormat="1" x14ac:dyDescent="0.2">
      <c r="G88" s="273"/>
    </row>
    <row r="89" spans="7:7" s="244" customFormat="1" x14ac:dyDescent="0.2">
      <c r="G89" s="273"/>
    </row>
    <row r="90" spans="7:7" s="244" customFormat="1" x14ac:dyDescent="0.2">
      <c r="G90" s="273"/>
    </row>
    <row r="91" spans="7:7" s="244" customFormat="1" x14ac:dyDescent="0.2">
      <c r="G91" s="273"/>
    </row>
    <row r="92" spans="7:7" s="244" customFormat="1" x14ac:dyDescent="0.2">
      <c r="G92" s="273"/>
    </row>
    <row r="93" spans="7:7" s="244" customFormat="1" x14ac:dyDescent="0.2">
      <c r="G93" s="273"/>
    </row>
    <row r="94" spans="7:7" s="244" customFormat="1" x14ac:dyDescent="0.2">
      <c r="G94" s="273"/>
    </row>
    <row r="95" spans="7:7" s="244" customFormat="1" x14ac:dyDescent="0.2">
      <c r="G95" s="273"/>
    </row>
    <row r="96" spans="7:7" s="244" customFormat="1" x14ac:dyDescent="0.2">
      <c r="G96" s="273"/>
    </row>
    <row r="97" spans="7:7" s="244" customFormat="1" x14ac:dyDescent="0.2">
      <c r="G97" s="273"/>
    </row>
    <row r="98" spans="7:7" s="244" customFormat="1" x14ac:dyDescent="0.2">
      <c r="G98" s="273"/>
    </row>
    <row r="99" spans="7:7" s="244" customFormat="1" x14ac:dyDescent="0.2">
      <c r="G99" s="273"/>
    </row>
    <row r="100" spans="7:7" s="244" customFormat="1" x14ac:dyDescent="0.2">
      <c r="G100" s="273"/>
    </row>
    <row r="101" spans="7:7" s="244" customFormat="1" x14ac:dyDescent="0.2">
      <c r="G101" s="273"/>
    </row>
    <row r="102" spans="7:7" s="244" customFormat="1" x14ac:dyDescent="0.2">
      <c r="G102" s="273"/>
    </row>
    <row r="103" spans="7:7" s="244" customFormat="1" x14ac:dyDescent="0.2">
      <c r="G103" s="273"/>
    </row>
    <row r="104" spans="7:7" s="244" customFormat="1" x14ac:dyDescent="0.2">
      <c r="G104" s="273"/>
    </row>
    <row r="105" spans="7:7" s="244" customFormat="1" x14ac:dyDescent="0.2">
      <c r="G105" s="273"/>
    </row>
    <row r="106" spans="7:7" s="244" customFormat="1" x14ac:dyDescent="0.2">
      <c r="G106" s="273"/>
    </row>
    <row r="107" spans="7:7" s="244" customFormat="1" x14ac:dyDescent="0.2">
      <c r="G107" s="273"/>
    </row>
    <row r="108" spans="7:7" s="244" customFormat="1" x14ac:dyDescent="0.2">
      <c r="G108" s="273"/>
    </row>
    <row r="109" spans="7:7" s="244" customFormat="1" x14ac:dyDescent="0.2">
      <c r="G109" s="273"/>
    </row>
    <row r="110" spans="7:7" s="244" customFormat="1" x14ac:dyDescent="0.2">
      <c r="G110" s="273"/>
    </row>
    <row r="111" spans="7:7" s="244" customFormat="1" x14ac:dyDescent="0.2">
      <c r="G111" s="273"/>
    </row>
    <row r="112" spans="7:7" s="244" customFormat="1" x14ac:dyDescent="0.2">
      <c r="G112" s="273"/>
    </row>
    <row r="113" spans="7:7" s="244" customFormat="1" x14ac:dyDescent="0.2">
      <c r="G113" s="273"/>
    </row>
    <row r="114" spans="7:7" s="244" customFormat="1" x14ac:dyDescent="0.2">
      <c r="G114" s="273"/>
    </row>
    <row r="115" spans="7:7" s="244" customFormat="1" x14ac:dyDescent="0.2">
      <c r="G115" s="273"/>
    </row>
    <row r="116" spans="7:7" s="244" customFormat="1" x14ac:dyDescent="0.2">
      <c r="G116" s="273"/>
    </row>
    <row r="117" spans="7:7" s="244" customFormat="1" x14ac:dyDescent="0.2">
      <c r="G117" s="273"/>
    </row>
    <row r="118" spans="7:7" s="244" customFormat="1" x14ac:dyDescent="0.2">
      <c r="G118" s="273"/>
    </row>
    <row r="119" spans="7:7" s="244" customFormat="1" x14ac:dyDescent="0.2">
      <c r="G119" s="273"/>
    </row>
    <row r="120" spans="7:7" s="244" customFormat="1" x14ac:dyDescent="0.2">
      <c r="G120" s="273"/>
    </row>
    <row r="121" spans="7:7" s="244" customFormat="1" x14ac:dyDescent="0.2">
      <c r="G121" s="273"/>
    </row>
    <row r="122" spans="7:7" s="244" customFormat="1" x14ac:dyDescent="0.2">
      <c r="G122" s="273"/>
    </row>
    <row r="123" spans="7:7" s="244" customFormat="1" x14ac:dyDescent="0.2">
      <c r="G123" s="273"/>
    </row>
    <row r="124" spans="7:7" s="244" customFormat="1" x14ac:dyDescent="0.2">
      <c r="G124" s="273"/>
    </row>
    <row r="125" spans="7:7" s="244" customFormat="1" x14ac:dyDescent="0.2">
      <c r="G125" s="273"/>
    </row>
    <row r="126" spans="7:7" s="244" customFormat="1" x14ac:dyDescent="0.2">
      <c r="G126" s="273"/>
    </row>
    <row r="127" spans="7:7" s="244" customFormat="1" x14ac:dyDescent="0.2">
      <c r="G127" s="273"/>
    </row>
    <row r="128" spans="7:7" s="244" customFormat="1" x14ac:dyDescent="0.2">
      <c r="G128" s="273"/>
    </row>
    <row r="129" spans="7:7" s="244" customFormat="1" x14ac:dyDescent="0.2">
      <c r="G129" s="273"/>
    </row>
    <row r="130" spans="7:7" s="244" customFormat="1" x14ac:dyDescent="0.2">
      <c r="G130" s="273"/>
    </row>
    <row r="131" spans="7:7" s="244" customFormat="1" x14ac:dyDescent="0.2">
      <c r="G131" s="273"/>
    </row>
    <row r="132" spans="7:7" s="244" customFormat="1" x14ac:dyDescent="0.2">
      <c r="G132" s="273"/>
    </row>
    <row r="133" spans="7:7" s="244" customFormat="1" x14ac:dyDescent="0.2">
      <c r="G133" s="273"/>
    </row>
    <row r="134" spans="7:7" s="244" customFormat="1" x14ac:dyDescent="0.2">
      <c r="G134" s="273"/>
    </row>
    <row r="135" spans="7:7" s="244" customFormat="1" x14ac:dyDescent="0.2">
      <c r="G135" s="273"/>
    </row>
    <row r="136" spans="7:7" s="244" customFormat="1" x14ac:dyDescent="0.2">
      <c r="G136" s="273"/>
    </row>
    <row r="137" spans="7:7" s="244" customFormat="1" x14ac:dyDescent="0.2">
      <c r="G137" s="273"/>
    </row>
    <row r="138" spans="7:7" s="244" customFormat="1" x14ac:dyDescent="0.2">
      <c r="G138" s="273"/>
    </row>
    <row r="139" spans="7:7" s="244" customFormat="1" x14ac:dyDescent="0.2">
      <c r="G139" s="273"/>
    </row>
    <row r="140" spans="7:7" s="244" customFormat="1" x14ac:dyDescent="0.2">
      <c r="G140" s="273"/>
    </row>
    <row r="141" spans="7:7" s="244" customFormat="1" x14ac:dyDescent="0.2">
      <c r="G141" s="273"/>
    </row>
    <row r="142" spans="7:7" s="244" customFormat="1" x14ac:dyDescent="0.2">
      <c r="G142" s="273"/>
    </row>
    <row r="143" spans="7:7" s="244" customFormat="1" x14ac:dyDescent="0.2">
      <c r="G143" s="273"/>
    </row>
    <row r="144" spans="7:7" s="244" customFormat="1" x14ac:dyDescent="0.2">
      <c r="G144" s="273"/>
    </row>
    <row r="145" spans="7:7" s="244" customFormat="1" x14ac:dyDescent="0.2">
      <c r="G145" s="273"/>
    </row>
    <row r="146" spans="7:7" s="244" customFormat="1" x14ac:dyDescent="0.2">
      <c r="G146" s="273"/>
    </row>
    <row r="147" spans="7:7" s="244" customFormat="1" x14ac:dyDescent="0.2">
      <c r="G147" s="273"/>
    </row>
    <row r="148" spans="7:7" s="244" customFormat="1" x14ac:dyDescent="0.2">
      <c r="G148" s="273"/>
    </row>
    <row r="149" spans="7:7" s="244" customFormat="1" x14ac:dyDescent="0.2">
      <c r="G149" s="273"/>
    </row>
    <row r="150" spans="7:7" s="244" customFormat="1" x14ac:dyDescent="0.2">
      <c r="G150" s="273"/>
    </row>
    <row r="151" spans="7:7" s="244" customFormat="1" x14ac:dyDescent="0.2">
      <c r="G151" s="273"/>
    </row>
    <row r="152" spans="7:7" s="244" customFormat="1" x14ac:dyDescent="0.2">
      <c r="G152" s="273"/>
    </row>
    <row r="153" spans="7:7" s="244" customFormat="1" x14ac:dyDescent="0.2">
      <c r="G153" s="273"/>
    </row>
    <row r="154" spans="7:7" s="244" customFormat="1" x14ac:dyDescent="0.2">
      <c r="G154" s="273"/>
    </row>
    <row r="155" spans="7:7" s="244" customFormat="1" x14ac:dyDescent="0.2">
      <c r="G155" s="273"/>
    </row>
    <row r="156" spans="7:7" s="244" customFormat="1" x14ac:dyDescent="0.2">
      <c r="G156" s="273"/>
    </row>
    <row r="157" spans="7:7" s="244" customFormat="1" x14ac:dyDescent="0.2">
      <c r="G157" s="273"/>
    </row>
    <row r="158" spans="7:7" s="244" customFormat="1" x14ac:dyDescent="0.2">
      <c r="G158" s="273"/>
    </row>
    <row r="159" spans="7:7" s="244" customFormat="1" x14ac:dyDescent="0.2">
      <c r="G159" s="273"/>
    </row>
    <row r="160" spans="7:7" s="244" customFormat="1" x14ac:dyDescent="0.2">
      <c r="G160" s="273"/>
    </row>
    <row r="161" spans="7:7" s="244" customFormat="1" x14ac:dyDescent="0.2">
      <c r="G161" s="273"/>
    </row>
    <row r="162" spans="7:7" s="244" customFormat="1" x14ac:dyDescent="0.2">
      <c r="G162" s="273"/>
    </row>
    <row r="163" spans="7:7" s="244" customFormat="1" x14ac:dyDescent="0.2">
      <c r="G163" s="273"/>
    </row>
    <row r="164" spans="7:7" s="244" customFormat="1" x14ac:dyDescent="0.2">
      <c r="G164" s="273"/>
    </row>
    <row r="165" spans="7:7" s="244" customFormat="1" x14ac:dyDescent="0.2">
      <c r="G165" s="273"/>
    </row>
    <row r="166" spans="7:7" s="244" customFormat="1" x14ac:dyDescent="0.2">
      <c r="G166" s="273"/>
    </row>
    <row r="167" spans="7:7" s="244" customFormat="1" x14ac:dyDescent="0.2">
      <c r="G167" s="273"/>
    </row>
    <row r="168" spans="7:7" s="244" customFormat="1" x14ac:dyDescent="0.2">
      <c r="G168" s="273"/>
    </row>
    <row r="169" spans="7:7" s="244" customFormat="1" x14ac:dyDescent="0.2">
      <c r="G169" s="273"/>
    </row>
    <row r="170" spans="7:7" s="244" customFormat="1" x14ac:dyDescent="0.2">
      <c r="G170" s="273"/>
    </row>
    <row r="171" spans="7:7" s="244" customFormat="1" x14ac:dyDescent="0.2">
      <c r="G171" s="273"/>
    </row>
    <row r="172" spans="7:7" s="244" customFormat="1" x14ac:dyDescent="0.2">
      <c r="G172" s="273"/>
    </row>
    <row r="173" spans="7:7" s="244" customFormat="1" x14ac:dyDescent="0.2">
      <c r="G173" s="273"/>
    </row>
    <row r="174" spans="7:7" s="244" customFormat="1" x14ac:dyDescent="0.2">
      <c r="G174" s="273"/>
    </row>
    <row r="175" spans="7:7" s="244" customFormat="1" x14ac:dyDescent="0.2">
      <c r="G175" s="273"/>
    </row>
    <row r="176" spans="7:7" s="244" customFormat="1" x14ac:dyDescent="0.2">
      <c r="G176" s="273"/>
    </row>
    <row r="177" spans="7:7" s="244" customFormat="1" x14ac:dyDescent="0.2">
      <c r="G177" s="273"/>
    </row>
    <row r="178" spans="7:7" s="244" customFormat="1" x14ac:dyDescent="0.2">
      <c r="G178" s="273"/>
    </row>
    <row r="179" spans="7:7" s="244" customFormat="1" x14ac:dyDescent="0.2">
      <c r="G179" s="273"/>
    </row>
    <row r="180" spans="7:7" s="244" customFormat="1" x14ac:dyDescent="0.2">
      <c r="G180" s="273"/>
    </row>
    <row r="181" spans="7:7" s="244" customFormat="1" x14ac:dyDescent="0.2">
      <c r="G181" s="273"/>
    </row>
    <row r="182" spans="7:7" s="244" customFormat="1" x14ac:dyDescent="0.2">
      <c r="G182" s="273"/>
    </row>
    <row r="183" spans="7:7" s="244" customFormat="1" x14ac:dyDescent="0.2">
      <c r="G183" s="273"/>
    </row>
    <row r="184" spans="7:7" s="244" customFormat="1" x14ac:dyDescent="0.2">
      <c r="G184" s="273"/>
    </row>
    <row r="185" spans="7:7" s="244" customFormat="1" x14ac:dyDescent="0.2">
      <c r="G185" s="273"/>
    </row>
    <row r="186" spans="7:7" s="244" customFormat="1" x14ac:dyDescent="0.2">
      <c r="G186" s="273"/>
    </row>
    <row r="187" spans="7:7" s="244" customFormat="1" x14ac:dyDescent="0.2">
      <c r="G187" s="273"/>
    </row>
    <row r="188" spans="7:7" s="244" customFormat="1" x14ac:dyDescent="0.2">
      <c r="G188" s="273"/>
    </row>
    <row r="189" spans="7:7" s="244" customFormat="1" x14ac:dyDescent="0.2">
      <c r="G189" s="273"/>
    </row>
    <row r="190" spans="7:7" s="244" customFormat="1" x14ac:dyDescent="0.2">
      <c r="G190" s="273"/>
    </row>
    <row r="191" spans="7:7" s="244" customFormat="1" x14ac:dyDescent="0.2">
      <c r="G191" s="273"/>
    </row>
    <row r="192" spans="7:7" s="244" customFormat="1" x14ac:dyDescent="0.2">
      <c r="G192" s="273"/>
    </row>
  </sheetData>
  <mergeCells count="2">
    <mergeCell ref="B2:E2"/>
    <mergeCell ref="G2:J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2684-4C09-4FBF-892D-0C0EA07EA950}">
  <dimension ref="A1:G231"/>
  <sheetViews>
    <sheetView showGridLines="0" zoomScale="90" zoomScaleNormal="90" workbookViewId="0">
      <selection activeCell="D22" sqref="D22"/>
    </sheetView>
  </sheetViews>
  <sheetFormatPr baseColWidth="10" defaultColWidth="11.5" defaultRowHeight="15" x14ac:dyDescent="0.2"/>
  <cols>
    <col min="1" max="1" width="27.1640625" bestFit="1" customWidth="1"/>
    <col min="2" max="2" width="21.33203125" bestFit="1" customWidth="1"/>
    <col min="3" max="3" width="19.33203125" bestFit="1" customWidth="1"/>
    <col min="4" max="4" width="11.5" bestFit="1" customWidth="1"/>
    <col min="5" max="5" width="22.6640625" bestFit="1" customWidth="1"/>
    <col min="6" max="6" width="25.6640625" bestFit="1" customWidth="1"/>
    <col min="7" max="7" width="27" bestFit="1" customWidth="1"/>
    <col min="8" max="8" width="11.1640625" bestFit="1" customWidth="1"/>
  </cols>
  <sheetData>
    <row r="1" spans="1:2" x14ac:dyDescent="0.2">
      <c r="A1" s="213" t="s">
        <v>914</v>
      </c>
      <c r="B1" t="s">
        <v>75</v>
      </c>
    </row>
    <row r="2" spans="1:2" x14ac:dyDescent="0.2">
      <c r="A2" s="213" t="s">
        <v>888</v>
      </c>
      <c r="B2" t="s">
        <v>893</v>
      </c>
    </row>
    <row r="3" spans="1:2" x14ac:dyDescent="0.2">
      <c r="A3" s="213" t="s">
        <v>665</v>
      </c>
      <c r="B3" t="s">
        <v>915</v>
      </c>
    </row>
    <row r="4" spans="1:2" x14ac:dyDescent="0.2">
      <c r="A4" s="213" t="s">
        <v>82</v>
      </c>
      <c r="B4" t="s">
        <v>75</v>
      </c>
    </row>
    <row r="6" spans="1:2" x14ac:dyDescent="0.2">
      <c r="A6" s="213" t="s">
        <v>60</v>
      </c>
      <c r="B6" t="s">
        <v>916</v>
      </c>
    </row>
    <row r="7" spans="1:2" x14ac:dyDescent="0.2">
      <c r="A7" s="217" t="s">
        <v>917</v>
      </c>
      <c r="B7" s="257">
        <v>501283</v>
      </c>
    </row>
    <row r="8" spans="1:2" x14ac:dyDescent="0.2">
      <c r="A8" s="217" t="s">
        <v>28</v>
      </c>
      <c r="B8" s="257">
        <v>4801193</v>
      </c>
    </row>
    <row r="9" spans="1:2" x14ac:dyDescent="0.2">
      <c r="A9" s="217" t="s">
        <v>62</v>
      </c>
      <c r="B9" s="257">
        <v>5302476</v>
      </c>
    </row>
    <row r="11" spans="1:2" x14ac:dyDescent="0.2">
      <c r="A11" s="217"/>
      <c r="B11" s="218"/>
    </row>
    <row r="12" spans="1:2" x14ac:dyDescent="0.2">
      <c r="A12" s="217"/>
      <c r="B12" s="218"/>
    </row>
    <row r="13" spans="1:2" x14ac:dyDescent="0.2">
      <c r="A13" s="217"/>
      <c r="B13" s="218"/>
    </row>
    <row r="14" spans="1:2" x14ac:dyDescent="0.2">
      <c r="A14" s="217"/>
      <c r="B14" s="218"/>
    </row>
    <row r="15" spans="1:2" x14ac:dyDescent="0.2">
      <c r="A15" s="217"/>
      <c r="B15" s="218"/>
    </row>
    <row r="16" spans="1:2" x14ac:dyDescent="0.2">
      <c r="A16" s="217"/>
      <c r="B16" s="218"/>
    </row>
    <row r="17" spans="1:2" x14ac:dyDescent="0.2">
      <c r="A17" s="217"/>
      <c r="B17" s="218"/>
    </row>
    <row r="18" spans="1:2" x14ac:dyDescent="0.2">
      <c r="A18" s="217"/>
      <c r="B18" s="218"/>
    </row>
    <row r="19" spans="1:2" x14ac:dyDescent="0.2">
      <c r="A19" s="217"/>
      <c r="B19" s="218"/>
    </row>
    <row r="20" spans="1:2" x14ac:dyDescent="0.2">
      <c r="A20" s="217"/>
      <c r="B20" s="218"/>
    </row>
    <row r="21" spans="1:2" x14ac:dyDescent="0.2">
      <c r="A21" s="217"/>
      <c r="B21" s="218"/>
    </row>
    <row r="22" spans="1:2" x14ac:dyDescent="0.2">
      <c r="A22" s="217"/>
      <c r="B22" s="218"/>
    </row>
    <row r="23" spans="1:2" x14ac:dyDescent="0.2">
      <c r="A23" s="217"/>
      <c r="B23" s="218"/>
    </row>
    <row r="24" spans="1:2" x14ac:dyDescent="0.2">
      <c r="A24" s="217"/>
      <c r="B24" s="218"/>
    </row>
    <row r="25" spans="1:2" x14ac:dyDescent="0.2">
      <c r="A25" s="217"/>
      <c r="B25" s="218"/>
    </row>
    <row r="26" spans="1:2" x14ac:dyDescent="0.2">
      <c r="A26" s="217"/>
      <c r="B26" s="218"/>
    </row>
    <row r="27" spans="1:2" x14ac:dyDescent="0.2">
      <c r="A27" s="217"/>
      <c r="B27" s="218"/>
    </row>
    <row r="28" spans="1:2" x14ac:dyDescent="0.2">
      <c r="A28" s="217"/>
      <c r="B28" s="218"/>
    </row>
    <row r="29" spans="1:2" x14ac:dyDescent="0.2">
      <c r="A29" s="217"/>
      <c r="B29" s="218"/>
    </row>
    <row r="30" spans="1:2" x14ac:dyDescent="0.2">
      <c r="A30" s="217"/>
      <c r="B30" s="218"/>
    </row>
    <row r="31" spans="1:2" x14ac:dyDescent="0.2">
      <c r="A31" s="217"/>
      <c r="B31" s="218"/>
    </row>
    <row r="32" spans="1:2" x14ac:dyDescent="0.2">
      <c r="A32" s="217"/>
      <c r="B32" s="218"/>
    </row>
    <row r="33" spans="1:4" x14ac:dyDescent="0.2">
      <c r="A33" s="217"/>
      <c r="B33" s="218"/>
    </row>
    <row r="34" spans="1:4" x14ac:dyDescent="0.2">
      <c r="A34" s="217"/>
      <c r="B34" s="218"/>
    </row>
    <row r="35" spans="1:4" x14ac:dyDescent="0.2">
      <c r="A35" s="217"/>
      <c r="B35" s="218"/>
    </row>
    <row r="36" spans="1:4" x14ac:dyDescent="0.2">
      <c r="A36" s="217"/>
      <c r="B36" s="218"/>
    </row>
    <row r="37" spans="1:4" x14ac:dyDescent="0.2">
      <c r="A37" s="217"/>
      <c r="B37" s="218"/>
    </row>
    <row r="38" spans="1:4" x14ac:dyDescent="0.2">
      <c r="A38" s="217"/>
      <c r="B38" s="218"/>
    </row>
    <row r="42" spans="1:4" x14ac:dyDescent="0.2">
      <c r="A42" s="213" t="s">
        <v>914</v>
      </c>
      <c r="B42" t="s">
        <v>75</v>
      </c>
    </row>
    <row r="43" spans="1:4" x14ac:dyDescent="0.2">
      <c r="A43" s="213" t="s">
        <v>665</v>
      </c>
      <c r="B43" t="s">
        <v>915</v>
      </c>
    </row>
    <row r="44" spans="1:4" x14ac:dyDescent="0.2">
      <c r="A44" s="213" t="s">
        <v>82</v>
      </c>
      <c r="B44" t="s">
        <v>75</v>
      </c>
    </row>
    <row r="46" spans="1:4" x14ac:dyDescent="0.2">
      <c r="A46" s="213" t="s">
        <v>60</v>
      </c>
      <c r="B46" t="s">
        <v>918</v>
      </c>
      <c r="C46" t="s">
        <v>919</v>
      </c>
      <c r="D46" s="247"/>
    </row>
    <row r="47" spans="1:4" x14ac:dyDescent="0.2">
      <c r="A47" s="217" t="s">
        <v>896</v>
      </c>
      <c r="B47" s="257">
        <v>8548297.6190476194</v>
      </c>
      <c r="C47">
        <v>67</v>
      </c>
      <c r="D47" s="248"/>
    </row>
    <row r="48" spans="1:4" x14ac:dyDescent="0.2">
      <c r="A48" s="217" t="s">
        <v>893</v>
      </c>
      <c r="B48" s="257">
        <v>5302476</v>
      </c>
      <c r="C48">
        <v>18</v>
      </c>
      <c r="D48" s="248"/>
    </row>
    <row r="49" spans="1:3" x14ac:dyDescent="0.2">
      <c r="A49" s="217" t="s">
        <v>62</v>
      </c>
      <c r="B49" s="257">
        <v>13850773.619047619</v>
      </c>
      <c r="C49">
        <v>85</v>
      </c>
    </row>
    <row r="61" spans="1:3" x14ac:dyDescent="0.2">
      <c r="A61" s="213" t="s">
        <v>914</v>
      </c>
      <c r="B61" t="s">
        <v>45</v>
      </c>
    </row>
    <row r="62" spans="1:3" x14ac:dyDescent="0.2">
      <c r="A62" s="213" t="s">
        <v>665</v>
      </c>
      <c r="B62" t="s">
        <v>915</v>
      </c>
    </row>
    <row r="63" spans="1:3" x14ac:dyDescent="0.2">
      <c r="A63" s="213" t="s">
        <v>82</v>
      </c>
      <c r="B63" t="s">
        <v>75</v>
      </c>
    </row>
    <row r="65" spans="1:4" x14ac:dyDescent="0.2">
      <c r="A65" s="213" t="s">
        <v>60</v>
      </c>
      <c r="B65" t="s">
        <v>916</v>
      </c>
      <c r="C65" t="s">
        <v>919</v>
      </c>
      <c r="D65" s="247" t="s">
        <v>920</v>
      </c>
    </row>
    <row r="66" spans="1:4" x14ac:dyDescent="0.2">
      <c r="A66" s="217" t="s">
        <v>896</v>
      </c>
      <c r="B66" s="218">
        <v>573333.33333333326</v>
      </c>
      <c r="C66">
        <v>6</v>
      </c>
      <c r="D66" s="248">
        <f>+GETPIVOTDATA("Proyeccion Ingreso 2024",$A$65,"Tipo","Iniciativa")/GETPIVOTDATA("Proyeccion Ingreso 2024",$A$65)</f>
        <v>0.40587909258272004</v>
      </c>
    </row>
    <row r="67" spans="1:4" x14ac:dyDescent="0.2">
      <c r="A67" s="217" t="s">
        <v>893</v>
      </c>
      <c r="B67" s="218">
        <v>839238.39999999991</v>
      </c>
      <c r="C67">
        <v>3</v>
      </c>
      <c r="D67" s="248">
        <f>+GETPIVOTDATA("Proyeccion Ingreso 2024",$A$65,"Tipo","Propuesta")/GETPIVOTDATA("Proyeccion Ingreso 2024",$A$65)</f>
        <v>0.59412090741727996</v>
      </c>
    </row>
    <row r="68" spans="1:4" x14ac:dyDescent="0.2">
      <c r="A68" s="217" t="s">
        <v>62</v>
      </c>
      <c r="B68" s="218">
        <v>1412571.7333333332</v>
      </c>
      <c r="C68">
        <v>9</v>
      </c>
    </row>
    <row r="79" spans="1:4" x14ac:dyDescent="0.2">
      <c r="A79" s="213" t="s">
        <v>914</v>
      </c>
      <c r="B79" t="s">
        <v>43</v>
      </c>
    </row>
    <row r="80" spans="1:4" x14ac:dyDescent="0.2">
      <c r="A80" s="213" t="s">
        <v>665</v>
      </c>
      <c r="B80" t="s">
        <v>915</v>
      </c>
    </row>
    <row r="81" spans="1:4" x14ac:dyDescent="0.2">
      <c r="A81" s="213" t="s">
        <v>82</v>
      </c>
      <c r="B81" t="s">
        <v>75</v>
      </c>
    </row>
    <row r="83" spans="1:4" x14ac:dyDescent="0.2">
      <c r="A83" s="213" t="s">
        <v>60</v>
      </c>
      <c r="B83" t="s">
        <v>916</v>
      </c>
      <c r="C83" t="s">
        <v>919</v>
      </c>
      <c r="D83" s="247" t="s">
        <v>920</v>
      </c>
    </row>
    <row r="84" spans="1:4" x14ac:dyDescent="0.2">
      <c r="A84" s="217" t="s">
        <v>896</v>
      </c>
      <c r="B84" s="218">
        <v>4519250</v>
      </c>
      <c r="C84">
        <v>39</v>
      </c>
      <c r="D84" s="248">
        <f>+GETPIVOTDATA("Proyeccion Ingreso 2024",$A$83,"Tipo","Iniciativa")/GETPIVOTDATA("Proyeccion Ingreso 2024",$A$83)</f>
        <v>0.75538068227878674</v>
      </c>
    </row>
    <row r="85" spans="1:4" x14ac:dyDescent="0.2">
      <c r="A85" s="217" t="s">
        <v>893</v>
      </c>
      <c r="B85" s="218">
        <v>1463495</v>
      </c>
      <c r="C85">
        <v>8</v>
      </c>
      <c r="D85" s="248">
        <f>+GETPIVOTDATA("Proyeccion Ingreso 2024",$A$83,"Tipo","Propuesta")/GETPIVOTDATA("Proyeccion Ingreso 2024",$A$83)</f>
        <v>0.24461931772121326</v>
      </c>
    </row>
    <row r="86" spans="1:4" x14ac:dyDescent="0.2">
      <c r="A86" s="217" t="s">
        <v>62</v>
      </c>
      <c r="B86" s="218">
        <v>5982745</v>
      </c>
      <c r="C86">
        <v>47</v>
      </c>
    </row>
    <row r="96" spans="1:4" x14ac:dyDescent="0.2">
      <c r="A96" s="213" t="s">
        <v>914</v>
      </c>
      <c r="B96" t="s">
        <v>44</v>
      </c>
    </row>
    <row r="97" spans="1:4" x14ac:dyDescent="0.2">
      <c r="A97" s="213" t="s">
        <v>665</v>
      </c>
      <c r="B97" t="s">
        <v>915</v>
      </c>
    </row>
    <row r="98" spans="1:4" x14ac:dyDescent="0.2">
      <c r="A98" s="213" t="s">
        <v>82</v>
      </c>
      <c r="B98" t="s">
        <v>75</v>
      </c>
    </row>
    <row r="100" spans="1:4" x14ac:dyDescent="0.2">
      <c r="A100" s="213" t="s">
        <v>60</v>
      </c>
      <c r="B100" t="s">
        <v>916</v>
      </c>
      <c r="C100" t="s">
        <v>919</v>
      </c>
      <c r="D100" s="247" t="s">
        <v>920</v>
      </c>
    </row>
    <row r="101" spans="1:4" x14ac:dyDescent="0.2">
      <c r="A101" s="217" t="s">
        <v>896</v>
      </c>
      <c r="B101" s="218">
        <v>825000</v>
      </c>
      <c r="C101">
        <v>5</v>
      </c>
      <c r="D101" s="248">
        <f>+GETPIVOTDATA("Proyeccion Ingreso 2024",$A$100,"Tipo","Iniciativa")/GETPIVOTDATA("Proyeccion Ingreso 2024",$A$100)</f>
        <v>0.81471825561414946</v>
      </c>
    </row>
    <row r="102" spans="1:4" x14ac:dyDescent="0.2">
      <c r="A102" s="217" t="s">
        <v>893</v>
      </c>
      <c r="B102" s="218">
        <v>187620</v>
      </c>
      <c r="C102">
        <v>1</v>
      </c>
      <c r="D102" s="248">
        <f>+GETPIVOTDATA("Proyeccion Ingreso 2024",$A$100,"Tipo","Propuesta")/GETPIVOTDATA("Proyeccion Ingreso 2024",$A$100)</f>
        <v>0.18528174438585057</v>
      </c>
    </row>
    <row r="103" spans="1:4" x14ac:dyDescent="0.2">
      <c r="A103" s="217" t="s">
        <v>62</v>
      </c>
      <c r="B103" s="218">
        <v>1012620</v>
      </c>
      <c r="C103">
        <v>6</v>
      </c>
    </row>
    <row r="115" spans="1:4" x14ac:dyDescent="0.2">
      <c r="A115" s="213" t="s">
        <v>914</v>
      </c>
      <c r="B115" t="s">
        <v>46</v>
      </c>
    </row>
    <row r="116" spans="1:4" x14ac:dyDescent="0.2">
      <c r="A116" s="213" t="s">
        <v>665</v>
      </c>
      <c r="B116" t="s">
        <v>915</v>
      </c>
    </row>
    <row r="117" spans="1:4" x14ac:dyDescent="0.2">
      <c r="A117" s="213" t="s">
        <v>82</v>
      </c>
      <c r="B117" t="s">
        <v>75</v>
      </c>
    </row>
    <row r="119" spans="1:4" x14ac:dyDescent="0.2">
      <c r="A119" s="213" t="s">
        <v>60</v>
      </c>
      <c r="B119" t="s">
        <v>916</v>
      </c>
      <c r="C119" t="s">
        <v>919</v>
      </c>
      <c r="D119" s="247" t="s">
        <v>920</v>
      </c>
    </row>
    <row r="120" spans="1:4" x14ac:dyDescent="0.2">
      <c r="A120" s="217" t="s">
        <v>896</v>
      </c>
      <c r="B120" s="218">
        <v>2630714.2857142859</v>
      </c>
      <c r="C120">
        <v>17</v>
      </c>
      <c r="D120" s="248">
        <f>+GETPIVOTDATA("Proyeccion Ingreso 2024",$A$119,"Tipo","Iniciativa")/GETPIVOTDATA("Proyeccion Ingreso 2024",$A$119)</f>
        <v>0.78693282132061049</v>
      </c>
    </row>
    <row r="121" spans="1:4" x14ac:dyDescent="0.2">
      <c r="A121" s="217" t="s">
        <v>893</v>
      </c>
      <c r="B121" s="218">
        <v>712283</v>
      </c>
      <c r="C121">
        <v>3</v>
      </c>
      <c r="D121" s="248">
        <f>+GETPIVOTDATA("Proyeccion Ingreso 2024",$A$119,"Tipo","Propuesta")/GETPIVOTDATA("Proyeccion Ingreso 2024",$A$119)</f>
        <v>0.21306717867938954</v>
      </c>
    </row>
    <row r="122" spans="1:4" x14ac:dyDescent="0.2">
      <c r="A122" s="217" t="s">
        <v>62</v>
      </c>
      <c r="B122" s="218">
        <v>3342997.2857142859</v>
      </c>
      <c r="C122">
        <v>20</v>
      </c>
    </row>
    <row r="134" spans="1:4" x14ac:dyDescent="0.2">
      <c r="A134" s="213" t="s">
        <v>914</v>
      </c>
      <c r="B134" t="s">
        <v>48</v>
      </c>
    </row>
    <row r="135" spans="1:4" x14ac:dyDescent="0.2">
      <c r="A135" s="213" t="s">
        <v>665</v>
      </c>
      <c r="B135" t="s">
        <v>915</v>
      </c>
    </row>
    <row r="136" spans="1:4" x14ac:dyDescent="0.2">
      <c r="A136" s="213" t="s">
        <v>82</v>
      </c>
      <c r="B136" t="s">
        <v>75</v>
      </c>
    </row>
    <row r="138" spans="1:4" x14ac:dyDescent="0.2">
      <c r="A138" s="213" t="s">
        <v>60</v>
      </c>
      <c r="B138" t="s">
        <v>916</v>
      </c>
      <c r="C138" t="s">
        <v>919</v>
      </c>
      <c r="D138" s="247" t="s">
        <v>920</v>
      </c>
    </row>
    <row r="139" spans="1:4" x14ac:dyDescent="0.2">
      <c r="A139" s="217" t="s">
        <v>893</v>
      </c>
      <c r="B139" s="218">
        <v>1838125</v>
      </c>
      <c r="C139">
        <v>2</v>
      </c>
      <c r="D139" s="248">
        <f>+GETPIVOTDATA("Proyeccion Ingreso 2024",$A$138,"Tipo","Propuesta")/GETPIVOTDATA("Proyeccion Ingreso 2024",$A$138)</f>
        <v>1</v>
      </c>
    </row>
    <row r="140" spans="1:4" x14ac:dyDescent="0.2">
      <c r="A140" s="217" t="s">
        <v>62</v>
      </c>
      <c r="B140" s="218">
        <v>1838125</v>
      </c>
      <c r="C140">
        <v>2</v>
      </c>
      <c r="D140" s="248"/>
    </row>
    <row r="149" spans="1:4" x14ac:dyDescent="0.2">
      <c r="A149" s="213" t="s">
        <v>665</v>
      </c>
      <c r="B149" t="s">
        <v>915</v>
      </c>
    </row>
    <row r="150" spans="1:4" x14ac:dyDescent="0.2">
      <c r="A150" s="213" t="s">
        <v>82</v>
      </c>
      <c r="B150" t="s">
        <v>75</v>
      </c>
    </row>
    <row r="152" spans="1:4" x14ac:dyDescent="0.2">
      <c r="A152" s="213" t="s">
        <v>921</v>
      </c>
      <c r="B152" s="213" t="s">
        <v>51</v>
      </c>
    </row>
    <row r="153" spans="1:4" x14ac:dyDescent="0.2">
      <c r="A153" s="213" t="s">
        <v>60</v>
      </c>
      <c r="B153" t="s">
        <v>896</v>
      </c>
      <c r="C153" t="s">
        <v>893</v>
      </c>
      <c r="D153" t="s">
        <v>62</v>
      </c>
    </row>
    <row r="154" spans="1:4" x14ac:dyDescent="0.2">
      <c r="A154" s="217" t="s">
        <v>45</v>
      </c>
      <c r="B154" s="257">
        <v>573333.33333333326</v>
      </c>
      <c r="C154" s="257">
        <v>839238.39999999991</v>
      </c>
      <c r="D154" s="257">
        <v>1412571.7333333332</v>
      </c>
    </row>
    <row r="155" spans="1:4" x14ac:dyDescent="0.2">
      <c r="A155" s="217" t="s">
        <v>43</v>
      </c>
      <c r="B155" s="257">
        <v>4519250</v>
      </c>
      <c r="C155" s="257">
        <v>1725209.6000000001</v>
      </c>
      <c r="D155" s="257">
        <v>6244459.5999999996</v>
      </c>
    </row>
    <row r="156" spans="1:4" x14ac:dyDescent="0.2">
      <c r="A156" s="217" t="s">
        <v>44</v>
      </c>
      <c r="B156" s="257">
        <v>825000</v>
      </c>
      <c r="C156" s="257">
        <v>187620</v>
      </c>
      <c r="D156" s="257">
        <v>1012620</v>
      </c>
    </row>
    <row r="157" spans="1:4" x14ac:dyDescent="0.2">
      <c r="A157" s="217" t="s">
        <v>46</v>
      </c>
      <c r="B157" s="257">
        <v>2630714.2857142854</v>
      </c>
      <c r="C157" s="257">
        <v>712283</v>
      </c>
      <c r="D157" s="257">
        <v>3342997.2857142854</v>
      </c>
    </row>
    <row r="158" spans="1:4" x14ac:dyDescent="0.2">
      <c r="A158" s="217" t="s">
        <v>48</v>
      </c>
      <c r="B158" s="257"/>
      <c r="C158" s="257">
        <v>1838125</v>
      </c>
      <c r="D158" s="257">
        <v>1838125</v>
      </c>
    </row>
    <row r="159" spans="1:4" x14ac:dyDescent="0.2">
      <c r="A159" s="217" t="s">
        <v>62</v>
      </c>
      <c r="B159" s="257">
        <v>8548297.6190476194</v>
      </c>
      <c r="C159" s="257">
        <v>5302476</v>
      </c>
      <c r="D159" s="257">
        <v>13850773.619047618</v>
      </c>
    </row>
    <row r="165" spans="1:2" x14ac:dyDescent="0.2">
      <c r="A165" s="213" t="s">
        <v>665</v>
      </c>
      <c r="B165" t="s">
        <v>915</v>
      </c>
    </row>
    <row r="166" spans="1:2" x14ac:dyDescent="0.2">
      <c r="A166" s="213" t="s">
        <v>888</v>
      </c>
      <c r="B166" t="s">
        <v>893</v>
      </c>
    </row>
    <row r="167" spans="1:2" x14ac:dyDescent="0.2">
      <c r="A167" s="213" t="s">
        <v>82</v>
      </c>
      <c r="B167" t="s">
        <v>75</v>
      </c>
    </row>
    <row r="169" spans="1:2" x14ac:dyDescent="0.2">
      <c r="A169" s="213" t="s">
        <v>60</v>
      </c>
      <c r="B169" t="s">
        <v>921</v>
      </c>
    </row>
    <row r="170" spans="1:2" x14ac:dyDescent="0.2">
      <c r="A170" s="217" t="s">
        <v>110</v>
      </c>
      <c r="B170" s="257">
        <v>1518125</v>
      </c>
    </row>
    <row r="171" spans="1:2" x14ac:dyDescent="0.2">
      <c r="A171" s="217" t="s">
        <v>243</v>
      </c>
      <c r="B171" s="257">
        <v>230000</v>
      </c>
    </row>
    <row r="172" spans="1:2" x14ac:dyDescent="0.2">
      <c r="A172" s="217" t="s">
        <v>235</v>
      </c>
      <c r="B172" s="257">
        <v>225000</v>
      </c>
    </row>
    <row r="173" spans="1:2" x14ac:dyDescent="0.2">
      <c r="A173" s="217" t="s">
        <v>215</v>
      </c>
      <c r="B173" s="257">
        <v>263238.39999999997</v>
      </c>
    </row>
    <row r="174" spans="1:2" x14ac:dyDescent="0.2">
      <c r="A174" s="217" t="s">
        <v>922</v>
      </c>
      <c r="B174" s="257">
        <v>475000</v>
      </c>
    </row>
    <row r="175" spans="1:2" x14ac:dyDescent="0.2">
      <c r="A175" s="217" t="s">
        <v>62</v>
      </c>
      <c r="B175" s="257">
        <v>2711363.4</v>
      </c>
    </row>
    <row r="179" spans="1:2" x14ac:dyDescent="0.2">
      <c r="A179" s="251" t="s">
        <v>923</v>
      </c>
      <c r="B179" s="251" t="s">
        <v>921</v>
      </c>
    </row>
    <row r="180" spans="1:2" x14ac:dyDescent="0.2">
      <c r="A180" s="249" t="s">
        <v>110</v>
      </c>
      <c r="B180" s="260">
        <v>1518125</v>
      </c>
    </row>
    <row r="181" spans="1:2" x14ac:dyDescent="0.2">
      <c r="A181" s="249" t="s">
        <v>243</v>
      </c>
      <c r="B181" s="260">
        <v>230000</v>
      </c>
    </row>
    <row r="182" spans="1:2" x14ac:dyDescent="0.2">
      <c r="A182" s="249" t="s">
        <v>235</v>
      </c>
      <c r="B182" s="260">
        <v>225000</v>
      </c>
    </row>
    <row r="183" spans="1:2" x14ac:dyDescent="0.2">
      <c r="A183" s="249" t="s">
        <v>215</v>
      </c>
      <c r="B183" s="260">
        <v>263238.39999999997</v>
      </c>
    </row>
    <row r="184" spans="1:2" ht="16" thickBot="1" x14ac:dyDescent="0.25">
      <c r="A184" s="249" t="s">
        <v>922</v>
      </c>
      <c r="B184" s="260">
        <v>475000</v>
      </c>
    </row>
    <row r="185" spans="1:2" ht="16" thickTop="1" x14ac:dyDescent="0.2">
      <c r="A185" s="250" t="s">
        <v>62</v>
      </c>
      <c r="B185" s="261">
        <f>SUM(B180:B184)</f>
        <v>2711363.4</v>
      </c>
    </row>
    <row r="189" spans="1:2" x14ac:dyDescent="0.2">
      <c r="A189" s="213" t="s">
        <v>665</v>
      </c>
      <c r="B189" t="s">
        <v>915</v>
      </c>
    </row>
    <row r="190" spans="1:2" x14ac:dyDescent="0.2">
      <c r="A190" s="213" t="s">
        <v>888</v>
      </c>
      <c r="B190" t="s">
        <v>893</v>
      </c>
    </row>
    <row r="191" spans="1:2" x14ac:dyDescent="0.2">
      <c r="A191" s="213" t="s">
        <v>82</v>
      </c>
      <c r="B191" t="s">
        <v>75</v>
      </c>
    </row>
    <row r="193" spans="1:7" x14ac:dyDescent="0.2">
      <c r="B193" s="213" t="s">
        <v>51</v>
      </c>
    </row>
    <row r="194" spans="1:7" x14ac:dyDescent="0.2">
      <c r="B194" t="s">
        <v>924</v>
      </c>
      <c r="D194" t="s">
        <v>925</v>
      </c>
      <c r="F194" t="s">
        <v>926</v>
      </c>
      <c r="G194" t="s">
        <v>927</v>
      </c>
    </row>
    <row r="197" spans="1:7" x14ac:dyDescent="0.2">
      <c r="A197" s="213" t="s">
        <v>60</v>
      </c>
      <c r="B197" t="s">
        <v>921</v>
      </c>
      <c r="C197" t="s">
        <v>928</v>
      </c>
      <c r="D197" t="s">
        <v>921</v>
      </c>
      <c r="E197" t="s">
        <v>928</v>
      </c>
    </row>
    <row r="198" spans="1:7" x14ac:dyDescent="0.2">
      <c r="A198" s="217" t="s">
        <v>110</v>
      </c>
      <c r="B198" s="218"/>
      <c r="D198" s="218">
        <v>1518125</v>
      </c>
      <c r="E198">
        <v>16</v>
      </c>
      <c r="F198" s="218">
        <v>1518125</v>
      </c>
      <c r="G198">
        <v>16</v>
      </c>
    </row>
    <row r="199" spans="1:7" x14ac:dyDescent="0.2">
      <c r="A199" s="217" t="s">
        <v>243</v>
      </c>
      <c r="B199" s="218"/>
      <c r="D199" s="218">
        <v>230000</v>
      </c>
      <c r="E199">
        <v>3</v>
      </c>
      <c r="F199" s="218">
        <v>230000</v>
      </c>
      <c r="G199">
        <v>3</v>
      </c>
    </row>
    <row r="200" spans="1:7" x14ac:dyDescent="0.2">
      <c r="A200" s="217" t="s">
        <v>235</v>
      </c>
      <c r="B200" s="218">
        <v>225000</v>
      </c>
      <c r="C200">
        <v>4</v>
      </c>
      <c r="D200" s="218"/>
      <c r="F200" s="218">
        <v>225000</v>
      </c>
      <c r="G200">
        <v>4</v>
      </c>
    </row>
    <row r="201" spans="1:7" x14ac:dyDescent="0.2">
      <c r="A201" s="217" t="s">
        <v>215</v>
      </c>
      <c r="B201" s="218"/>
      <c r="D201" s="218">
        <v>263238.39999999997</v>
      </c>
      <c r="E201">
        <v>8</v>
      </c>
      <c r="F201" s="218">
        <v>263238.39999999997</v>
      </c>
      <c r="G201">
        <v>8</v>
      </c>
    </row>
    <row r="202" spans="1:7" x14ac:dyDescent="0.2">
      <c r="A202" s="217" t="s">
        <v>922</v>
      </c>
      <c r="B202" s="218">
        <v>475000</v>
      </c>
      <c r="C202">
        <v>3</v>
      </c>
      <c r="D202" s="218"/>
      <c r="F202" s="218">
        <v>475000</v>
      </c>
      <c r="G202">
        <v>3</v>
      </c>
    </row>
    <row r="203" spans="1:7" x14ac:dyDescent="0.2">
      <c r="A203" s="217" t="s">
        <v>62</v>
      </c>
      <c r="B203" s="218">
        <v>700000</v>
      </c>
      <c r="C203">
        <v>7</v>
      </c>
      <c r="D203" s="218">
        <v>2011363.4</v>
      </c>
      <c r="E203">
        <v>27</v>
      </c>
      <c r="F203" s="218">
        <v>2711363.4</v>
      </c>
      <c r="G203">
        <v>34</v>
      </c>
    </row>
    <row r="206" spans="1:7" x14ac:dyDescent="0.2">
      <c r="B206" s="634" t="s">
        <v>929</v>
      </c>
      <c r="C206" s="634"/>
      <c r="D206" s="634" t="s">
        <v>930</v>
      </c>
      <c r="E206" s="634"/>
    </row>
    <row r="207" spans="1:7" x14ac:dyDescent="0.2">
      <c r="A207" s="252" t="s">
        <v>931</v>
      </c>
      <c r="B207" s="256" t="s">
        <v>932</v>
      </c>
      <c r="C207" s="256" t="s">
        <v>91</v>
      </c>
      <c r="D207" s="256" t="s">
        <v>932</v>
      </c>
      <c r="E207" s="256" t="s">
        <v>91</v>
      </c>
    </row>
    <row r="208" spans="1:7" s="249" customFormat="1" x14ac:dyDescent="0.2">
      <c r="A208" s="249" t="s">
        <v>110</v>
      </c>
      <c r="B208" s="258"/>
      <c r="D208" s="262">
        <v>1518125</v>
      </c>
      <c r="E208" s="255">
        <v>16</v>
      </c>
    </row>
    <row r="209" spans="1:5" x14ac:dyDescent="0.2">
      <c r="A209" s="249" t="s">
        <v>243</v>
      </c>
      <c r="B209" s="259"/>
      <c r="C209" s="255"/>
      <c r="D209" s="263">
        <v>225000</v>
      </c>
      <c r="E209" s="255">
        <v>3</v>
      </c>
    </row>
    <row r="210" spans="1:5" x14ac:dyDescent="0.2">
      <c r="A210" s="249" t="s">
        <v>235</v>
      </c>
      <c r="B210" s="260">
        <v>225000</v>
      </c>
      <c r="C210" s="253">
        <v>4</v>
      </c>
      <c r="D210" s="262"/>
      <c r="E210" s="253"/>
    </row>
    <row r="211" spans="1:5" x14ac:dyDescent="0.2">
      <c r="A211" s="249" t="s">
        <v>215</v>
      </c>
      <c r="B211" s="260"/>
      <c r="C211" s="253"/>
      <c r="D211" s="262">
        <v>263238.39999999997</v>
      </c>
      <c r="E211" s="253">
        <v>8</v>
      </c>
    </row>
    <row r="212" spans="1:5" ht="16" thickBot="1" x14ac:dyDescent="0.25">
      <c r="A212" s="249" t="s">
        <v>922</v>
      </c>
      <c r="B212" s="260">
        <v>475000</v>
      </c>
      <c r="C212" s="253">
        <v>3</v>
      </c>
      <c r="D212" s="262"/>
      <c r="E212" s="253"/>
    </row>
    <row r="213" spans="1:5" ht="16" thickTop="1" x14ac:dyDescent="0.2">
      <c r="A213" s="250" t="s">
        <v>62</v>
      </c>
      <c r="B213" s="261">
        <f>SUM(B208:B212)</f>
        <v>700000</v>
      </c>
      <c r="C213" s="254"/>
      <c r="D213" s="264">
        <f>SUM(D208:D212)</f>
        <v>2006363.4</v>
      </c>
      <c r="E213" s="254"/>
    </row>
    <row r="217" spans="1:5" x14ac:dyDescent="0.2">
      <c r="A217" s="213" t="s">
        <v>665</v>
      </c>
      <c r="B217" t="s">
        <v>915</v>
      </c>
    </row>
    <row r="218" spans="1:5" x14ac:dyDescent="0.2">
      <c r="A218" s="213" t="s">
        <v>933</v>
      </c>
      <c r="B218" t="s">
        <v>37</v>
      </c>
    </row>
    <row r="219" spans="1:5" x14ac:dyDescent="0.2">
      <c r="A219" s="213" t="s">
        <v>888</v>
      </c>
      <c r="B219" t="s">
        <v>893</v>
      </c>
    </row>
    <row r="221" spans="1:5" x14ac:dyDescent="0.2">
      <c r="A221" s="213" t="s">
        <v>60</v>
      </c>
      <c r="B221" t="s">
        <v>921</v>
      </c>
    </row>
    <row r="222" spans="1:5" x14ac:dyDescent="0.2">
      <c r="A222" s="217" t="s">
        <v>934</v>
      </c>
      <c r="B222" s="257">
        <v>520000.00000000006</v>
      </c>
    </row>
    <row r="223" spans="1:5" x14ac:dyDescent="0.2">
      <c r="A223" s="265" t="s">
        <v>164</v>
      </c>
      <c r="B223" s="257">
        <v>520000.00000000006</v>
      </c>
    </row>
    <row r="224" spans="1:5" x14ac:dyDescent="0.2">
      <c r="A224" s="217" t="s">
        <v>865</v>
      </c>
      <c r="B224" s="257">
        <v>200000</v>
      </c>
    </row>
    <row r="225" spans="1:2" x14ac:dyDescent="0.2">
      <c r="A225" s="265" t="s">
        <v>251</v>
      </c>
      <c r="B225" s="257">
        <v>200000</v>
      </c>
    </row>
    <row r="226" spans="1:2" x14ac:dyDescent="0.2">
      <c r="A226" s="217" t="s">
        <v>135</v>
      </c>
      <c r="B226" s="257">
        <v>150000</v>
      </c>
    </row>
    <row r="227" spans="1:2" x14ac:dyDescent="0.2">
      <c r="A227" s="265" t="s">
        <v>288</v>
      </c>
      <c r="B227" s="257">
        <v>150000</v>
      </c>
    </row>
    <row r="228" spans="1:2" x14ac:dyDescent="0.2">
      <c r="A228" s="217" t="s">
        <v>113</v>
      </c>
      <c r="B228" s="257">
        <v>375000</v>
      </c>
    </row>
    <row r="229" spans="1:2" x14ac:dyDescent="0.2">
      <c r="A229" s="265" t="s">
        <v>253</v>
      </c>
      <c r="B229" s="257">
        <v>150000</v>
      </c>
    </row>
    <row r="230" spans="1:2" x14ac:dyDescent="0.2">
      <c r="A230" s="265" t="s">
        <v>207</v>
      </c>
      <c r="B230" s="257">
        <v>225000</v>
      </c>
    </row>
    <row r="231" spans="1:2" x14ac:dyDescent="0.2">
      <c r="A231" s="217" t="s">
        <v>62</v>
      </c>
      <c r="B231" s="257">
        <v>1245000</v>
      </c>
    </row>
  </sheetData>
  <mergeCells count="2">
    <mergeCell ref="B206:C206"/>
    <mergeCell ref="D206:E206"/>
  </mergeCells>
  <phoneticPr fontId="15" type="noConversion"/>
  <pageMargins left="0.7" right="0.7" top="0.75" bottom="0.75" header="0.3" footer="0.3"/>
  <drawing r:id="rId1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6BA7-2B35-4CFD-8B7F-61A7A0CBDB5C}">
  <sheetPr filterMode="1">
    <tabColor rgb="FF00B0F0"/>
  </sheetPr>
  <dimension ref="A1:CB383"/>
  <sheetViews>
    <sheetView showGridLines="0" topLeftCell="A2" zoomScale="40" zoomScaleNormal="89" workbookViewId="0">
      <selection activeCell="C28" sqref="C28"/>
    </sheetView>
  </sheetViews>
  <sheetFormatPr baseColWidth="10" defaultColWidth="11.5" defaultRowHeight="14" outlineLevelCol="1" x14ac:dyDescent="0.2"/>
  <cols>
    <col min="1" max="1" width="11.5" style="15"/>
    <col min="2" max="2" width="26.1640625" style="15" bestFit="1" customWidth="1"/>
    <col min="3" max="3" width="50" style="15" bestFit="1" customWidth="1"/>
    <col min="4" max="4" width="23.83203125" style="17" bestFit="1" customWidth="1"/>
    <col min="5" max="5" width="23.83203125" style="17" customWidth="1"/>
    <col min="6" max="6" width="55.6640625" style="15" bestFit="1" customWidth="1"/>
    <col min="7" max="7" width="19.33203125" style="15" customWidth="1"/>
    <col min="8" max="8" width="15.33203125" style="17" customWidth="1"/>
    <col min="9" max="9" width="23.33203125" style="17" customWidth="1" outlineLevel="1"/>
    <col min="10" max="10" width="14" style="21" customWidth="1" outlineLevel="1"/>
    <col min="11" max="11" width="16.33203125" style="15" customWidth="1" outlineLevel="1"/>
    <col min="12" max="12" width="13" style="15" bestFit="1" customWidth="1" outlineLevel="1"/>
    <col min="13" max="13" width="15.6640625" style="15" bestFit="1" customWidth="1" outlineLevel="1"/>
    <col min="14" max="14" width="12.33203125" style="15" bestFit="1" customWidth="1" outlineLevel="1"/>
    <col min="15" max="15" width="16.33203125" style="15" bestFit="1" customWidth="1"/>
    <col min="16" max="20" width="16.5" style="15" customWidth="1" outlineLevel="1"/>
    <col min="21" max="27" width="14" style="15" customWidth="1" outlineLevel="1"/>
    <col min="28" max="28" width="14" style="15" customWidth="1"/>
    <col min="29" max="39" width="14" style="15" customWidth="1" outlineLevel="1"/>
    <col min="40" max="40" width="11.5" style="15"/>
    <col min="41" max="42" width="2.5" style="15" customWidth="1"/>
    <col min="43" max="44" width="11.5" style="15"/>
    <col min="45" max="45" width="20.5" style="15" customWidth="1"/>
    <col min="46" max="51" width="11.5" style="15"/>
    <col min="52" max="53" width="16.33203125" style="15" customWidth="1"/>
    <col min="54" max="56" width="11.5" style="15"/>
    <col min="57" max="57" width="23.33203125" style="15" customWidth="1"/>
    <col min="58" max="58" width="16.1640625" style="15" customWidth="1"/>
    <col min="59" max="59" width="14.33203125" style="15" bestFit="1" customWidth="1"/>
    <col min="60" max="61" width="21" style="15" customWidth="1"/>
    <col min="62" max="62" width="16.1640625" style="15" customWidth="1"/>
    <col min="63" max="63" width="4.6640625" style="15" customWidth="1"/>
    <col min="64" max="64" width="2.5" style="15" customWidth="1"/>
    <col min="65" max="66" width="11.5" style="15"/>
    <col min="67" max="67" width="21.33203125" style="15" bestFit="1" customWidth="1"/>
    <col min="68" max="68" width="21.33203125" style="15" customWidth="1"/>
    <col min="69" max="69" width="14.6640625" style="15" bestFit="1" customWidth="1"/>
    <col min="70" max="70" width="15.33203125" style="15" customWidth="1"/>
    <col min="71" max="16384" width="11.5" style="15"/>
  </cols>
  <sheetData>
    <row r="1" spans="2:80" s="1" customFormat="1" x14ac:dyDescent="0.2">
      <c r="D1" s="2"/>
      <c r="E1" s="2"/>
      <c r="F1" s="3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O1" s="4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4"/>
    </row>
    <row r="2" spans="2:80" s="6" customFormat="1" x14ac:dyDescent="0.2">
      <c r="D2" s="7"/>
      <c r="E2" s="7"/>
      <c r="F2" s="8" t="s">
        <v>935</v>
      </c>
      <c r="G2" s="8"/>
      <c r="H2" s="9"/>
      <c r="I2" s="9"/>
      <c r="J2" s="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O2" s="4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4"/>
    </row>
    <row r="3" spans="2:80" s="6" customFormat="1" x14ac:dyDescent="0.2">
      <c r="D3" s="7"/>
      <c r="E3" s="7"/>
      <c r="F3" s="9" t="s">
        <v>936</v>
      </c>
      <c r="G3" s="9"/>
      <c r="H3" s="9"/>
      <c r="I3" s="9"/>
      <c r="J3" s="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O3" s="4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4"/>
    </row>
    <row r="4" spans="2:80" s="11" customFormat="1" ht="15" thickBot="1" x14ac:dyDescent="0.25">
      <c r="D4" s="12"/>
      <c r="E4" s="12"/>
      <c r="F4" s="13"/>
      <c r="G4" s="13"/>
      <c r="H4" s="13"/>
      <c r="I4" s="13"/>
      <c r="J4" s="13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O4" s="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4"/>
    </row>
    <row r="5" spans="2:80" ht="15" thickBot="1" x14ac:dyDescent="0.25">
      <c r="D5" s="16"/>
      <c r="E5" s="16"/>
      <c r="F5" s="17"/>
      <c r="G5" s="17"/>
      <c r="J5" s="17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O5" s="4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4"/>
    </row>
    <row r="6" spans="2:80" ht="15" thickBot="1" x14ac:dyDescent="0.25">
      <c r="D6" s="16"/>
      <c r="E6" s="16"/>
      <c r="F6" s="19" t="s">
        <v>937</v>
      </c>
      <c r="G6" s="20" t="str">
        <f>+BF8</f>
        <v>Todos</v>
      </c>
      <c r="J6" s="17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1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O6" s="4"/>
      <c r="AP6" s="18"/>
      <c r="AQ6" s="22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  <c r="BK6" s="18"/>
      <c r="BL6" s="4"/>
    </row>
    <row r="7" spans="2:80" ht="23" thickBot="1" x14ac:dyDescent="0.35">
      <c r="D7" s="16"/>
      <c r="E7" s="16"/>
      <c r="F7" s="19" t="s">
        <v>938</v>
      </c>
      <c r="G7" s="25">
        <f>+BF9</f>
        <v>1</v>
      </c>
      <c r="H7" s="26"/>
      <c r="J7" s="2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1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O7" s="4"/>
      <c r="AP7" s="18"/>
      <c r="AQ7" s="27"/>
      <c r="AR7" s="28"/>
      <c r="AS7" s="28"/>
      <c r="AT7" s="28"/>
      <c r="AU7" s="28"/>
      <c r="AV7" s="28"/>
      <c r="AW7" s="28"/>
      <c r="AX7" s="28"/>
      <c r="AY7" s="29" t="s">
        <v>939</v>
      </c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30"/>
      <c r="BK7" s="18"/>
      <c r="BL7" s="4"/>
    </row>
    <row r="8" spans="2:80" ht="15" thickBot="1" x14ac:dyDescent="0.25">
      <c r="B8" s="31"/>
      <c r="C8" s="31"/>
      <c r="J8" s="17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21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O8" s="4"/>
      <c r="AP8" s="18"/>
      <c r="AQ8" s="27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19" t="s">
        <v>937</v>
      </c>
      <c r="BF8" s="20" t="s">
        <v>940</v>
      </c>
      <c r="BG8" s="28"/>
      <c r="BH8" s="28"/>
      <c r="BI8" s="28"/>
      <c r="BJ8" s="30"/>
      <c r="BK8" s="18"/>
      <c r="BL8" s="4"/>
      <c r="BO8" s="32" t="s">
        <v>663</v>
      </c>
      <c r="BP8" s="33" t="s">
        <v>941</v>
      </c>
      <c r="BQ8" s="34" t="s">
        <v>942</v>
      </c>
      <c r="BR8" s="34" t="s">
        <v>929</v>
      </c>
      <c r="BS8" s="34" t="s">
        <v>930</v>
      </c>
      <c r="BT8" s="34" t="s">
        <v>943</v>
      </c>
      <c r="BU8" s="34" t="s">
        <v>944</v>
      </c>
      <c r="BV8" s="35" t="s">
        <v>945</v>
      </c>
      <c r="BW8" s="35" t="s">
        <v>946</v>
      </c>
      <c r="BX8" s="35" t="s">
        <v>947</v>
      </c>
      <c r="BY8" s="35" t="s">
        <v>948</v>
      </c>
      <c r="BZ8" s="35" t="s">
        <v>949</v>
      </c>
      <c r="CA8" s="35" t="s">
        <v>950</v>
      </c>
      <c r="CB8" s="36" t="s">
        <v>951</v>
      </c>
    </row>
    <row r="9" spans="2:80" ht="15" thickBot="1" x14ac:dyDescent="0.25">
      <c r="B9" s="31"/>
      <c r="C9" s="37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21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O9" s="4"/>
      <c r="AP9" s="18"/>
      <c r="AQ9" s="27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19" t="s">
        <v>938</v>
      </c>
      <c r="BF9" s="25">
        <v>1</v>
      </c>
      <c r="BG9" s="28"/>
      <c r="BH9" s="28"/>
      <c r="BI9" s="28"/>
      <c r="BJ9" s="30"/>
      <c r="BK9" s="18"/>
      <c r="BL9" s="4"/>
      <c r="BO9" s="38" t="s">
        <v>143</v>
      </c>
      <c r="BP9" s="39">
        <f t="shared" ref="BP9:BP17" si="0">+SUM(BQ9:CB9)</f>
        <v>1965776.7100000002</v>
      </c>
      <c r="BQ9" s="40">
        <f t="shared" ref="BQ9:CB17" si="1">+IF($G$6="En Ejecución",1*SUMIFS(P$28:P$1048576,$J$28:$J$1048576,"&gt;="&amp;$G$7,$G$28:$G$1048576,$BO9,$H$28:$H$1048576,$G$6),0)+IF($G$6="Pipeline",1*SUMIFS(P$28:P$1048576,$J$28:$J$1048576,"&gt;="&amp;$G$7,$G$28:$G$1048576,$BO9,$H$28:$H$1048576,$G$6),0)+IF($G$6="Todos",1*SUMIFS(P$28:P$1048576,$J$28:$J$1048576,"&gt;="&amp;$G$7,$G$28:$G$1048576,$BO9),0)+IF($G$6="Finalizado",1*SUMIFS(P$28:P$1048576,$J$28:$J$1048576,"&gt;="&amp;$G$7,$G$28:$G$1048576,$BO9,$H$28:$H$1048576,$G$6),0)</f>
        <v>78553</v>
      </c>
      <c r="BR9" s="40">
        <f t="shared" si="1"/>
        <v>239406</v>
      </c>
      <c r="BS9" s="40">
        <f t="shared" si="1"/>
        <v>262811</v>
      </c>
      <c r="BT9" s="40">
        <f t="shared" si="1"/>
        <v>338397.41000000003</v>
      </c>
      <c r="BU9" s="40">
        <f t="shared" si="1"/>
        <v>190895</v>
      </c>
      <c r="BV9" s="40">
        <f t="shared" si="1"/>
        <v>253687.75</v>
      </c>
      <c r="BW9" s="40">
        <f t="shared" si="1"/>
        <v>117431</v>
      </c>
      <c r="BX9" s="40">
        <f t="shared" si="1"/>
        <v>11500</v>
      </c>
      <c r="BY9" s="40">
        <f t="shared" si="1"/>
        <v>95480</v>
      </c>
      <c r="BZ9" s="40">
        <f t="shared" si="1"/>
        <v>166513.54999999999</v>
      </c>
      <c r="CA9" s="40">
        <f t="shared" si="1"/>
        <v>211102</v>
      </c>
      <c r="CB9" s="41">
        <f t="shared" si="1"/>
        <v>0</v>
      </c>
    </row>
    <row r="10" spans="2:80" s="42" customFormat="1" ht="29" thickBot="1" x14ac:dyDescent="0.25">
      <c r="D10" s="43" t="s">
        <v>661</v>
      </c>
      <c r="E10" s="43" t="s">
        <v>661</v>
      </c>
      <c r="F10" s="43" t="s">
        <v>662</v>
      </c>
      <c r="G10" s="44" t="s">
        <v>663</v>
      </c>
      <c r="H10" s="45" t="s">
        <v>664</v>
      </c>
      <c r="I10" s="46" t="s">
        <v>952</v>
      </c>
      <c r="J10" s="47" t="s">
        <v>665</v>
      </c>
      <c r="K10" s="34" t="s">
        <v>666</v>
      </c>
      <c r="L10" s="34" t="s">
        <v>736</v>
      </c>
      <c r="M10" s="34" t="s">
        <v>737</v>
      </c>
      <c r="N10" s="34" t="s">
        <v>738</v>
      </c>
      <c r="O10" s="32" t="s">
        <v>739</v>
      </c>
      <c r="P10" s="48">
        <v>44927</v>
      </c>
      <c r="Q10" s="49">
        <v>44958</v>
      </c>
      <c r="R10" s="49">
        <v>44986</v>
      </c>
      <c r="S10" s="49">
        <v>45017</v>
      </c>
      <c r="T10" s="49">
        <v>45047</v>
      </c>
      <c r="U10" s="49">
        <v>45078</v>
      </c>
      <c r="V10" s="49">
        <v>45108</v>
      </c>
      <c r="W10" s="49">
        <v>45139</v>
      </c>
      <c r="X10" s="49">
        <v>45170</v>
      </c>
      <c r="Y10" s="49">
        <v>45200</v>
      </c>
      <c r="Z10" s="49">
        <v>45231</v>
      </c>
      <c r="AA10" s="50">
        <v>45261</v>
      </c>
      <c r="AB10" s="49">
        <v>45292</v>
      </c>
      <c r="AC10" s="49">
        <v>45323</v>
      </c>
      <c r="AD10" s="49">
        <v>45352</v>
      </c>
      <c r="AE10" s="49">
        <v>45383</v>
      </c>
      <c r="AF10" s="49">
        <v>45413</v>
      </c>
      <c r="AG10" s="49">
        <v>45444</v>
      </c>
      <c r="AH10" s="49">
        <v>45474</v>
      </c>
      <c r="AI10" s="49">
        <v>45505</v>
      </c>
      <c r="AJ10" s="49">
        <v>45536</v>
      </c>
      <c r="AK10" s="49">
        <v>45566</v>
      </c>
      <c r="AL10" s="49">
        <v>45597</v>
      </c>
      <c r="AM10" s="50">
        <v>45627</v>
      </c>
      <c r="AO10" s="51"/>
      <c r="AP10" s="52"/>
      <c r="AQ10" s="5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5"/>
      <c r="BK10" s="52"/>
      <c r="BL10" s="51"/>
      <c r="BO10" s="38" t="s">
        <v>97</v>
      </c>
      <c r="BP10" s="56">
        <f t="shared" si="0"/>
        <v>395841</v>
      </c>
      <c r="BQ10" s="57">
        <f t="shared" si="1"/>
        <v>0</v>
      </c>
      <c r="BR10" s="57">
        <f t="shared" si="1"/>
        <v>0</v>
      </c>
      <c r="BS10" s="57">
        <f t="shared" si="1"/>
        <v>0</v>
      </c>
      <c r="BT10" s="57">
        <f t="shared" si="1"/>
        <v>0</v>
      </c>
      <c r="BU10" s="57">
        <f t="shared" si="1"/>
        <v>0</v>
      </c>
      <c r="BV10" s="57">
        <f t="shared" si="1"/>
        <v>186991</v>
      </c>
      <c r="BW10" s="57">
        <f t="shared" si="1"/>
        <v>36666</v>
      </c>
      <c r="BX10" s="57">
        <f t="shared" si="1"/>
        <v>0</v>
      </c>
      <c r="BY10" s="57">
        <f t="shared" si="1"/>
        <v>71362</v>
      </c>
      <c r="BZ10" s="57">
        <f t="shared" si="1"/>
        <v>99849</v>
      </c>
      <c r="CA10" s="57">
        <f t="shared" si="1"/>
        <v>0</v>
      </c>
      <c r="CB10" s="58">
        <f t="shared" si="1"/>
        <v>973</v>
      </c>
    </row>
    <row r="11" spans="2:80" s="42" customFormat="1" ht="15" thickBot="1" x14ac:dyDescent="0.25">
      <c r="D11" s="59" t="s">
        <v>953</v>
      </c>
      <c r="E11" s="59" t="s">
        <v>953</v>
      </c>
      <c r="F11" s="59" t="str">
        <f>+$G$6</f>
        <v>Todos</v>
      </c>
      <c r="G11" s="60" t="s">
        <v>940</v>
      </c>
      <c r="H11" s="61" t="str">
        <f>+$G$6</f>
        <v>Todos</v>
      </c>
      <c r="I11" s="61" t="str">
        <f>+H11</f>
        <v>Todos</v>
      </c>
      <c r="J11" s="62">
        <f>+$G$7</f>
        <v>1</v>
      </c>
      <c r="K11" s="63">
        <f>+SUM(K15:K19)</f>
        <v>9717950.8249999993</v>
      </c>
      <c r="L11" s="63">
        <f>+SUM(L15:L19)</f>
        <v>5657429.3149999995</v>
      </c>
      <c r="M11" s="63">
        <f>+SUM(M15:M19)</f>
        <v>5056239.8049999997</v>
      </c>
      <c r="N11" s="64">
        <f>+IFERROR(O11/K11,0)</f>
        <v>0.4797010299751131</v>
      </c>
      <c r="O11" s="65">
        <f>+SUM(O15:O19)</f>
        <v>4661711.0199999996</v>
      </c>
      <c r="P11" s="66">
        <f t="shared" ref="P11:T11" si="2">+SUM(P15:P19)</f>
        <v>318273.26</v>
      </c>
      <c r="Q11" s="67">
        <f t="shared" si="2"/>
        <v>368548</v>
      </c>
      <c r="R11" s="67">
        <f t="shared" si="2"/>
        <v>505870.8</v>
      </c>
      <c r="S11" s="67">
        <f t="shared" si="2"/>
        <v>558554.48</v>
      </c>
      <c r="T11" s="67">
        <f t="shared" si="2"/>
        <v>442765.4</v>
      </c>
      <c r="U11" s="67">
        <f t="shared" ref="U11:AM11" si="3">+SUM(U15:U19)</f>
        <v>759035.7</v>
      </c>
      <c r="V11" s="67">
        <f t="shared" si="3"/>
        <v>501758.92499999993</v>
      </c>
      <c r="W11" s="67">
        <f t="shared" si="3"/>
        <v>308152.69</v>
      </c>
      <c r="X11" s="67">
        <f t="shared" si="3"/>
        <v>254566</v>
      </c>
      <c r="Y11" s="67">
        <f t="shared" si="3"/>
        <v>539369.55000000005</v>
      </c>
      <c r="Z11" s="67">
        <f t="shared" si="3"/>
        <v>499345</v>
      </c>
      <c r="AA11" s="68">
        <f t="shared" si="3"/>
        <v>499537</v>
      </c>
      <c r="AB11" s="67">
        <f t="shared" si="3"/>
        <v>893895.7666666666</v>
      </c>
      <c r="AC11" s="67">
        <f t="shared" si="3"/>
        <v>831981.46666666667</v>
      </c>
      <c r="AD11" s="67">
        <f t="shared" si="3"/>
        <v>755521.6333333333</v>
      </c>
      <c r="AE11" s="67">
        <f t="shared" si="3"/>
        <v>504814.46666666667</v>
      </c>
      <c r="AF11" s="67">
        <f t="shared" si="3"/>
        <v>391457.46666666673</v>
      </c>
      <c r="AG11" s="67">
        <f t="shared" si="3"/>
        <v>276593.2</v>
      </c>
      <c r="AH11" s="67">
        <f t="shared" si="3"/>
        <v>70000</v>
      </c>
      <c r="AI11" s="67">
        <f t="shared" si="3"/>
        <v>0</v>
      </c>
      <c r="AJ11" s="67">
        <f t="shared" si="3"/>
        <v>0</v>
      </c>
      <c r="AK11" s="67">
        <f t="shared" si="3"/>
        <v>0</v>
      </c>
      <c r="AL11" s="67">
        <f t="shared" si="3"/>
        <v>0</v>
      </c>
      <c r="AM11" s="68">
        <f t="shared" si="3"/>
        <v>0</v>
      </c>
      <c r="AO11" s="51"/>
      <c r="AP11" s="52"/>
      <c r="AQ11" s="5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5"/>
      <c r="BK11" s="52"/>
      <c r="BL11" s="51"/>
      <c r="BO11" s="38" t="s">
        <v>232</v>
      </c>
      <c r="BP11" s="56">
        <f t="shared" si="0"/>
        <v>258445</v>
      </c>
      <c r="BQ11" s="57">
        <f t="shared" si="1"/>
        <v>0</v>
      </c>
      <c r="BR11" s="57">
        <f t="shared" si="1"/>
        <v>0</v>
      </c>
      <c r="BS11" s="57">
        <f t="shared" si="1"/>
        <v>0</v>
      </c>
      <c r="BT11" s="57">
        <f t="shared" si="1"/>
        <v>0</v>
      </c>
      <c r="BU11" s="57">
        <f t="shared" si="1"/>
        <v>0</v>
      </c>
      <c r="BV11" s="57">
        <f t="shared" si="1"/>
        <v>0</v>
      </c>
      <c r="BW11" s="57">
        <f t="shared" si="1"/>
        <v>62800</v>
      </c>
      <c r="BX11" s="57">
        <f t="shared" si="1"/>
        <v>104003</v>
      </c>
      <c r="BY11" s="57">
        <f t="shared" si="1"/>
        <v>0</v>
      </c>
      <c r="BZ11" s="57">
        <f t="shared" si="1"/>
        <v>88161</v>
      </c>
      <c r="CA11" s="57">
        <f t="shared" si="1"/>
        <v>0</v>
      </c>
      <c r="CB11" s="58">
        <f t="shared" si="1"/>
        <v>3481</v>
      </c>
    </row>
    <row r="12" spans="2:80" s="42" customFormat="1" x14ac:dyDescent="0.2">
      <c r="D12" s="59" t="s">
        <v>954</v>
      </c>
      <c r="E12" s="59" t="s">
        <v>954</v>
      </c>
      <c r="F12" s="59" t="s">
        <v>743</v>
      </c>
      <c r="G12" s="60" t="str">
        <f t="shared" ref="G12:G19" si="4">+F12</f>
        <v>Finalizado</v>
      </c>
      <c r="H12" s="61" t="s">
        <v>743</v>
      </c>
      <c r="I12" s="60" t="s">
        <v>743</v>
      </c>
      <c r="J12" s="62">
        <v>1</v>
      </c>
      <c r="K12" s="63">
        <f>+IF($G$6="Finalizado",1*SUMIFS(K$28:K$1048576,$J$28:$J$1048576,"&gt;="&amp;$G$7,$H$28:$H$1048576,"Finalizado"))+IF($G$6="Todos",1*SUMIFS(K$28:K$1048576,$J$28:$J$1048576,"&gt;="&amp;$G$7,$H$28:$H$1048576,"Finalizado"),0)</f>
        <v>4876908.8250000002</v>
      </c>
      <c r="L12" s="63">
        <f>+IF($G$6="Finalizado",1*SUMIFS(L$28:L$1048576,$J$28:$J$1048576,"&gt;="&amp;$G$7,$H$28:$H$1048576,"Finalizado"))+IF($G$6="Todos",1*SUMIFS(L$28:L$1048576,$J$28:$J$1048576,"&gt;="&amp;$G$7,$H$28:$H$1048576,"Finalizado"),0)</f>
        <v>4231873.3149999995</v>
      </c>
      <c r="M12" s="63">
        <f>+IF($G$6="Finalizado",1*SUMIFS(M$28:M$1048576,$J$28:$J$1048576,"&gt;="&amp;$G$7,$H$28:$H$1048576,"Finalizado"))+IF($G$6="Todos",1*SUMIFS(M$28:M$1048576,$J$28:$J$1048576,"&gt;="&amp;$G$7,$H$28:$H$1048576,"Finalizado"),0)</f>
        <v>4215473.8049999997</v>
      </c>
      <c r="N12" s="64">
        <f>+IFERROR(O12/K12,0)</f>
        <v>0.13562587362908099</v>
      </c>
      <c r="O12" s="65">
        <f t="shared" ref="O12:AM12" si="5">+IF($G$6="Finalizado",1*SUMIFS(O$28:O$1048576,$J$28:$J$1048576,"&gt;="&amp;$G$7,$H$28:$H$1048576,"Finalizado"))+IF($G$6="Todos",1*SUMIFS(O$28:O$1048576,$J$28:$J$1048576,"&gt;="&amp;$G$7,$H$28:$H$1048576,"Finalizado"),0)</f>
        <v>661435.0199999999</v>
      </c>
      <c r="P12" s="69">
        <f t="shared" si="5"/>
        <v>318273.26</v>
      </c>
      <c r="Q12" s="70">
        <f t="shared" si="5"/>
        <v>283046</v>
      </c>
      <c r="R12" s="70">
        <f t="shared" si="5"/>
        <v>413939.8</v>
      </c>
      <c r="S12" s="70">
        <f t="shared" si="5"/>
        <v>484279.48000000004</v>
      </c>
      <c r="T12" s="70">
        <f t="shared" si="5"/>
        <v>386090.4</v>
      </c>
      <c r="U12" s="70">
        <f t="shared" si="5"/>
        <v>668444.69999999995</v>
      </c>
      <c r="V12" s="70">
        <f t="shared" si="5"/>
        <v>407495.92499999993</v>
      </c>
      <c r="W12" s="70">
        <f t="shared" si="5"/>
        <v>292556.69</v>
      </c>
      <c r="X12" s="70">
        <f t="shared" si="5"/>
        <v>171643</v>
      </c>
      <c r="Y12" s="70">
        <f t="shared" si="5"/>
        <v>430198.55</v>
      </c>
      <c r="Z12" s="70">
        <f t="shared" si="5"/>
        <v>359506</v>
      </c>
      <c r="AA12" s="71">
        <f t="shared" si="5"/>
        <v>37653</v>
      </c>
      <c r="AB12" s="70">
        <f t="shared" si="5"/>
        <v>128300</v>
      </c>
      <c r="AC12" s="70">
        <f t="shared" si="5"/>
        <v>10000</v>
      </c>
      <c r="AD12" s="70">
        <f t="shared" si="5"/>
        <v>0</v>
      </c>
      <c r="AE12" s="70">
        <f t="shared" si="5"/>
        <v>0</v>
      </c>
      <c r="AF12" s="70">
        <f t="shared" si="5"/>
        <v>0</v>
      </c>
      <c r="AG12" s="70">
        <f t="shared" si="5"/>
        <v>0</v>
      </c>
      <c r="AH12" s="70">
        <f t="shared" si="5"/>
        <v>0</v>
      </c>
      <c r="AI12" s="70">
        <f t="shared" si="5"/>
        <v>0</v>
      </c>
      <c r="AJ12" s="70">
        <f t="shared" si="5"/>
        <v>0</v>
      </c>
      <c r="AK12" s="70">
        <f t="shared" si="5"/>
        <v>0</v>
      </c>
      <c r="AL12" s="70">
        <f t="shared" si="5"/>
        <v>0</v>
      </c>
      <c r="AM12" s="71">
        <f t="shared" si="5"/>
        <v>0</v>
      </c>
      <c r="AO12" s="51"/>
      <c r="AP12" s="52"/>
      <c r="AQ12" s="5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5"/>
      <c r="BK12" s="52"/>
      <c r="BL12" s="51"/>
      <c r="BO12" s="38" t="s">
        <v>168</v>
      </c>
      <c r="BP12" s="56">
        <f t="shared" si="0"/>
        <v>534055</v>
      </c>
      <c r="BQ12" s="57">
        <f t="shared" si="1"/>
        <v>101539</v>
      </c>
      <c r="BR12" s="57">
        <f t="shared" si="1"/>
        <v>0</v>
      </c>
      <c r="BS12" s="57">
        <f t="shared" si="1"/>
        <v>44246</v>
      </c>
      <c r="BT12" s="57">
        <f t="shared" si="1"/>
        <v>81731</v>
      </c>
      <c r="BU12" s="57">
        <f t="shared" si="1"/>
        <v>0</v>
      </c>
      <c r="BV12" s="57">
        <f t="shared" si="1"/>
        <v>55498</v>
      </c>
      <c r="BW12" s="57">
        <f t="shared" si="1"/>
        <v>44745</v>
      </c>
      <c r="BX12" s="57">
        <f t="shared" si="1"/>
        <v>10549</v>
      </c>
      <c r="BY12" s="57">
        <f t="shared" si="1"/>
        <v>0</v>
      </c>
      <c r="BZ12" s="57">
        <f t="shared" si="1"/>
        <v>30338</v>
      </c>
      <c r="CA12" s="57">
        <f t="shared" si="1"/>
        <v>105098</v>
      </c>
      <c r="CB12" s="58">
        <f t="shared" si="1"/>
        <v>60311</v>
      </c>
    </row>
    <row r="13" spans="2:80" s="42" customFormat="1" x14ac:dyDescent="0.2">
      <c r="D13" s="72" t="s">
        <v>955</v>
      </c>
      <c r="E13" s="72" t="s">
        <v>955</v>
      </c>
      <c r="F13" s="72" t="s">
        <v>678</v>
      </c>
      <c r="G13" s="73" t="str">
        <f t="shared" si="4"/>
        <v>En Ejecución</v>
      </c>
      <c r="H13" s="74" t="s">
        <v>678</v>
      </c>
      <c r="I13" s="73" t="s">
        <v>678</v>
      </c>
      <c r="J13" s="75">
        <v>1</v>
      </c>
      <c r="K13" s="76">
        <f>+K11-K14-K12</f>
        <v>4841041.9999999991</v>
      </c>
      <c r="L13" s="76">
        <f>+L11-L14-L12</f>
        <v>1425556</v>
      </c>
      <c r="M13" s="76">
        <f>+M11-M14-M12</f>
        <v>840766</v>
      </c>
      <c r="N13" s="77">
        <f>+IFERROR(O13/K13,0)</f>
        <v>0.82632540680291566</v>
      </c>
      <c r="O13" s="69">
        <f t="shared" ref="O13:AM13" si="6">+O11-O14-O12</f>
        <v>4000275.9999999995</v>
      </c>
      <c r="P13" s="69">
        <f t="shared" si="6"/>
        <v>0</v>
      </c>
      <c r="Q13" s="70">
        <f t="shared" si="6"/>
        <v>85502</v>
      </c>
      <c r="R13" s="70">
        <f t="shared" si="6"/>
        <v>91931</v>
      </c>
      <c r="S13" s="70">
        <f t="shared" si="6"/>
        <v>74274.999999999942</v>
      </c>
      <c r="T13" s="70">
        <f t="shared" si="6"/>
        <v>56675</v>
      </c>
      <c r="U13" s="70">
        <f t="shared" si="6"/>
        <v>90591</v>
      </c>
      <c r="V13" s="70">
        <f t="shared" si="6"/>
        <v>94263</v>
      </c>
      <c r="W13" s="70">
        <f t="shared" si="6"/>
        <v>15596</v>
      </c>
      <c r="X13" s="70">
        <f t="shared" si="6"/>
        <v>82923</v>
      </c>
      <c r="Y13" s="70">
        <f t="shared" si="6"/>
        <v>109171.00000000006</v>
      </c>
      <c r="Z13" s="70">
        <f t="shared" si="6"/>
        <v>139839</v>
      </c>
      <c r="AA13" s="71">
        <f t="shared" si="6"/>
        <v>461884</v>
      </c>
      <c r="AB13" s="70">
        <f t="shared" si="6"/>
        <v>765595.7666666666</v>
      </c>
      <c r="AC13" s="70">
        <f t="shared" si="6"/>
        <v>821981.46666666667</v>
      </c>
      <c r="AD13" s="70">
        <f t="shared" si="6"/>
        <v>755521.6333333333</v>
      </c>
      <c r="AE13" s="70">
        <f t="shared" si="6"/>
        <v>504814.46666666667</v>
      </c>
      <c r="AF13" s="70">
        <f t="shared" si="6"/>
        <v>391457.46666666673</v>
      </c>
      <c r="AG13" s="70">
        <f t="shared" si="6"/>
        <v>276593.2</v>
      </c>
      <c r="AH13" s="70">
        <f t="shared" si="6"/>
        <v>70000</v>
      </c>
      <c r="AI13" s="70">
        <f t="shared" si="6"/>
        <v>0</v>
      </c>
      <c r="AJ13" s="70">
        <f t="shared" si="6"/>
        <v>0</v>
      </c>
      <c r="AK13" s="70">
        <f t="shared" si="6"/>
        <v>0</v>
      </c>
      <c r="AL13" s="70">
        <f t="shared" si="6"/>
        <v>0</v>
      </c>
      <c r="AM13" s="71">
        <f t="shared" si="6"/>
        <v>0</v>
      </c>
      <c r="AO13" s="51"/>
      <c r="AP13" s="52"/>
      <c r="AQ13" s="5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5"/>
      <c r="BK13" s="52"/>
      <c r="BL13" s="51"/>
      <c r="BO13" s="38" t="s">
        <v>175</v>
      </c>
      <c r="BP13" s="56">
        <f t="shared" si="0"/>
        <v>1079366.385</v>
      </c>
      <c r="BQ13" s="57">
        <f t="shared" si="1"/>
        <v>49915</v>
      </c>
      <c r="BR13" s="57">
        <f t="shared" si="1"/>
        <v>70329</v>
      </c>
      <c r="BS13" s="57">
        <f t="shared" si="1"/>
        <v>19250.8</v>
      </c>
      <c r="BT13" s="57">
        <f t="shared" si="1"/>
        <v>138426.07</v>
      </c>
      <c r="BU13" s="57">
        <f t="shared" si="1"/>
        <v>228228.4</v>
      </c>
      <c r="BV13" s="57">
        <f t="shared" si="1"/>
        <v>138944.25</v>
      </c>
      <c r="BW13" s="57">
        <f t="shared" si="1"/>
        <v>67365.174999999901</v>
      </c>
      <c r="BX13" s="57">
        <f t="shared" si="1"/>
        <v>79564.69</v>
      </c>
      <c r="BY13" s="57">
        <f t="shared" si="1"/>
        <v>0</v>
      </c>
      <c r="BZ13" s="57">
        <f t="shared" si="1"/>
        <v>71718</v>
      </c>
      <c r="CA13" s="57">
        <f t="shared" si="1"/>
        <v>183145</v>
      </c>
      <c r="CB13" s="58">
        <f t="shared" si="1"/>
        <v>32480</v>
      </c>
    </row>
    <row r="14" spans="2:80" s="42" customFormat="1" ht="15" thickBot="1" x14ac:dyDescent="0.25">
      <c r="D14" s="78" t="s">
        <v>956</v>
      </c>
      <c r="E14" s="78" t="s">
        <v>956</v>
      </c>
      <c r="F14" s="78" t="s">
        <v>957</v>
      </c>
      <c r="G14" s="79" t="str">
        <f t="shared" si="4"/>
        <v>Pipeline</v>
      </c>
      <c r="H14" s="80" t="s">
        <v>957</v>
      </c>
      <c r="I14" s="79" t="s">
        <v>957</v>
      </c>
      <c r="J14" s="81">
        <f>+G7</f>
        <v>1</v>
      </c>
      <c r="K14" s="82">
        <f>+IF($G$6="Pipeline",1*SUMIFS(K$28:K$1048576,$J$28:$J$1048576,"&gt;="&amp;$G$7,$H$28:$H$1048576,$G$6),0)+IF($G$6="Todos",1*SUMIFS(K$28:K$1048576,$J$28:$J$1048576,"&gt;="&amp;$G$7,$H$28:$H$1048576,"Pipeline"))</f>
        <v>0</v>
      </c>
      <c r="L14" s="82">
        <f>+IF($G$6="Pipeline",1*SUMIFS(L$28:L$1048576,$J$28:$J$1048576,"&gt;="&amp;$G$7,$H$28:$H$1048576,$G$6),0)+IF($G$6="Todos",1*SUMIFS(L$28:L$1048576,$J$28:$J$1048576,"&gt;="&amp;$G$7,$H$28:$H$1048576,"Pipeline"))</f>
        <v>0</v>
      </c>
      <c r="M14" s="82">
        <f>+IF($G$6="Pipeline",1*SUMIFS(M$28:M$1048576,$J$28:$J$1048576,"&gt;="&amp;$G$7,$H$28:$H$1048576,$G$6),0)+IF($G$6="Todos",1*SUMIFS(M$28:M$1048576,$J$28:$J$1048576,"&gt;="&amp;$G$7,$H$28:$H$1048576,"Pipeline"))</f>
        <v>0</v>
      </c>
      <c r="N14" s="83">
        <f>+IFERROR(O14/K14,0)</f>
        <v>0</v>
      </c>
      <c r="O14" s="66">
        <f t="shared" ref="O14:AM14" si="7">+IF($G$6="Pipeline",1*SUMIFS(O$28:O$1048576,$J$28:$J$1048576,"&gt;="&amp;$G$7,$H$28:$H$1048576,$G$6),0)+IF($G$6="Todos",1*SUMIFS(O$28:O$1048576,$J$28:$J$1048576,"&gt;="&amp;$G$7,$H$28:$H$1048576,"Pipeline"))</f>
        <v>0</v>
      </c>
      <c r="P14" s="66">
        <f t="shared" si="7"/>
        <v>0</v>
      </c>
      <c r="Q14" s="67">
        <f t="shared" si="7"/>
        <v>0</v>
      </c>
      <c r="R14" s="67">
        <f t="shared" si="7"/>
        <v>0</v>
      </c>
      <c r="S14" s="67">
        <f t="shared" si="7"/>
        <v>0</v>
      </c>
      <c r="T14" s="67">
        <f t="shared" si="7"/>
        <v>0</v>
      </c>
      <c r="U14" s="67">
        <f t="shared" si="7"/>
        <v>0</v>
      </c>
      <c r="V14" s="67">
        <f t="shared" si="7"/>
        <v>0</v>
      </c>
      <c r="W14" s="67">
        <f t="shared" si="7"/>
        <v>0</v>
      </c>
      <c r="X14" s="67">
        <f t="shared" si="7"/>
        <v>0</v>
      </c>
      <c r="Y14" s="67">
        <f t="shared" si="7"/>
        <v>0</v>
      </c>
      <c r="Z14" s="67">
        <f t="shared" si="7"/>
        <v>0</v>
      </c>
      <c r="AA14" s="68">
        <f t="shared" si="7"/>
        <v>0</v>
      </c>
      <c r="AB14" s="67">
        <f t="shared" si="7"/>
        <v>0</v>
      </c>
      <c r="AC14" s="67">
        <f t="shared" si="7"/>
        <v>0</v>
      </c>
      <c r="AD14" s="67">
        <f t="shared" si="7"/>
        <v>0</v>
      </c>
      <c r="AE14" s="67">
        <f t="shared" si="7"/>
        <v>0</v>
      </c>
      <c r="AF14" s="67">
        <f t="shared" si="7"/>
        <v>0</v>
      </c>
      <c r="AG14" s="67">
        <f t="shared" si="7"/>
        <v>0</v>
      </c>
      <c r="AH14" s="67">
        <f t="shared" si="7"/>
        <v>0</v>
      </c>
      <c r="AI14" s="67">
        <f t="shared" si="7"/>
        <v>0</v>
      </c>
      <c r="AJ14" s="67">
        <f t="shared" si="7"/>
        <v>0</v>
      </c>
      <c r="AK14" s="67">
        <f t="shared" si="7"/>
        <v>0</v>
      </c>
      <c r="AL14" s="67">
        <f t="shared" si="7"/>
        <v>0</v>
      </c>
      <c r="AM14" s="68">
        <f t="shared" si="7"/>
        <v>0</v>
      </c>
      <c r="AO14" s="51"/>
      <c r="AP14" s="52"/>
      <c r="AQ14" s="53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5"/>
      <c r="BK14" s="52"/>
      <c r="BL14" s="51"/>
      <c r="BO14" s="38" t="s">
        <v>195</v>
      </c>
      <c r="BP14" s="56">
        <f t="shared" si="0"/>
        <v>230128</v>
      </c>
      <c r="BQ14" s="57">
        <f t="shared" si="1"/>
        <v>0</v>
      </c>
      <c r="BR14" s="57">
        <f t="shared" si="1"/>
        <v>0</v>
      </c>
      <c r="BS14" s="57">
        <f t="shared" si="1"/>
        <v>0</v>
      </c>
      <c r="BT14" s="57">
        <f t="shared" si="1"/>
        <v>0</v>
      </c>
      <c r="BU14" s="57">
        <f t="shared" si="1"/>
        <v>0</v>
      </c>
      <c r="BV14" s="57">
        <f t="shared" si="1"/>
        <v>0</v>
      </c>
      <c r="BW14" s="57">
        <f t="shared" si="1"/>
        <v>70821</v>
      </c>
      <c r="BX14" s="57">
        <f t="shared" si="1"/>
        <v>15596</v>
      </c>
      <c r="BY14" s="57">
        <f t="shared" si="1"/>
        <v>40919</v>
      </c>
      <c r="BZ14" s="57">
        <f t="shared" si="1"/>
        <v>39419</v>
      </c>
      <c r="CA14" s="57">
        <f t="shared" si="1"/>
        <v>0</v>
      </c>
      <c r="CB14" s="58">
        <f t="shared" si="1"/>
        <v>63373</v>
      </c>
    </row>
    <row r="15" spans="2:80" s="42" customFormat="1" ht="15" thickBot="1" x14ac:dyDescent="0.25">
      <c r="D15" s="38" t="s">
        <v>43</v>
      </c>
      <c r="E15" s="38" t="s">
        <v>43</v>
      </c>
      <c r="F15" s="38" t="str">
        <f t="shared" ref="F15:F20" si="8">+$G$6</f>
        <v>Todos</v>
      </c>
      <c r="G15" s="84" t="str">
        <f t="shared" si="4"/>
        <v>Todos</v>
      </c>
      <c r="H15" s="85" t="str">
        <f t="shared" ref="H15:H20" si="9">+$G$6</f>
        <v>Todos</v>
      </c>
      <c r="I15" s="85" t="str">
        <f t="shared" ref="I15:I19" si="10">+H15</f>
        <v>Todos</v>
      </c>
      <c r="J15" s="86">
        <f>+$G$7</f>
        <v>1</v>
      </c>
      <c r="K15" s="87">
        <f t="shared" ref="K15:M19" si="11">+IF($G$6="En Ejecución",1*SUMIFS(K$28:K$1048576,$J$28:$J$1048576,"&gt;="&amp;$G$7,$D$28:$D$1048576,$D15,$H$28:$H$1048576,$G$6),0)+IF($G$6="Pipeline",1*SUMIFS(K$28:K$1048576,$J$28:$J$1048576,"&gt;="&amp;$G$7,$D$28:$D$1048576,$D15,$H$28:$H$1048576,$G$6),0)+IF($G$6="Todos",1*SUMIFS(K$28:K$1048576,$J$28:$J$1048576,"&gt;="&amp;$G$7,$D$28:$D$1048576,$D15),0)+IF($G$6="Finalizado",1*SUMIFS(K$28:K$1048576,$J$28:$J$1048576,"&gt;="&amp;$G$7,$D$28:$D$1048576,$D15,$H$28:$H$1048576,$G$6),0)</f>
        <v>5621730.7400000002</v>
      </c>
      <c r="L15" s="87">
        <f t="shared" si="11"/>
        <v>3751212.9699999997</v>
      </c>
      <c r="M15" s="87">
        <f t="shared" si="11"/>
        <v>3446243.9699999997</v>
      </c>
      <c r="N15" s="88">
        <f t="shared" ref="N15:N19" si="12">+IFERROR(O15/K15,0)</f>
        <v>0.38697811592449194</v>
      </c>
      <c r="O15" s="89">
        <f t="shared" ref="O15:X19" si="13">+IF($G$6="En Ejecución",1*SUMIFS(O$28:O$1048576,$J$28:$J$1048576,"&gt;="&amp;$G$7,$D$28:$D$1048576,$D15,$H$28:$H$1048576,$G$6),0)+IF($G$6="Pipeline",1*SUMIFS(O$28:O$1048576,$J$28:$J$1048576,"&gt;="&amp;$G$7,$D$28:$D$1048576,$D15,$H$28:$H$1048576,$G$6),0)+IF($G$6="Todos",1*SUMIFS(O$28:O$1048576,$J$28:$J$1048576,"&gt;="&amp;$G$7,$D$28:$D$1048576,$D15),0)+IF($G$6="Finalizado",1*SUMIFS(O$28:O$1048576,$J$28:$J$1048576,"&gt;="&amp;$G$7,$D$28:$D$1048576,$D15,$H$28:$H$1048576,$G$6),0)</f>
        <v>2175486.77</v>
      </c>
      <c r="P15" s="89">
        <f t="shared" si="13"/>
        <v>268358.26</v>
      </c>
      <c r="Q15" s="87">
        <f t="shared" si="13"/>
        <v>283043</v>
      </c>
      <c r="R15" s="87">
        <f t="shared" si="13"/>
        <v>467629</v>
      </c>
      <c r="S15" s="87">
        <f t="shared" si="13"/>
        <v>420128.41000000003</v>
      </c>
      <c r="T15" s="87">
        <f t="shared" si="13"/>
        <v>214537</v>
      </c>
      <c r="U15" s="87">
        <f t="shared" si="13"/>
        <v>536950.75</v>
      </c>
      <c r="V15" s="87">
        <f t="shared" si="13"/>
        <v>261642</v>
      </c>
      <c r="W15" s="87">
        <f t="shared" si="13"/>
        <v>126052</v>
      </c>
      <c r="X15" s="87">
        <f t="shared" si="13"/>
        <v>166842</v>
      </c>
      <c r="Y15" s="87">
        <f t="shared" ref="Y15:AM19" si="14">+IF($G$6="En Ejecución",1*SUMIFS(Y$28:Y$1048576,$J$28:$J$1048576,"&gt;="&amp;$G$7,$D$28:$D$1048576,$D15,$H$28:$H$1048576,$G$6),0)+IF($G$6="Pipeline",1*SUMIFS(Y$28:Y$1048576,$J$28:$J$1048576,"&gt;="&amp;$G$7,$D$28:$D$1048576,$D15,$H$28:$H$1048576,$G$6),0)+IF($G$6="Todos",1*SUMIFS(Y$28:Y$1048576,$J$28:$J$1048576,"&gt;="&amp;$G$7,$D$28:$D$1048576,$D15),0)+IF($G$6="Finalizado",1*SUMIFS(Y$28:Y$1048576,$J$28:$J$1048576,"&gt;="&amp;$G$7,$D$28:$D$1048576,$D15,$H$28:$H$1048576,$G$6),0)</f>
        <v>384861.55</v>
      </c>
      <c r="Z15" s="87">
        <f t="shared" si="14"/>
        <v>316200</v>
      </c>
      <c r="AA15" s="90">
        <f t="shared" si="14"/>
        <v>182063</v>
      </c>
      <c r="AB15" s="91">
        <f t="shared" si="14"/>
        <v>498320.5</v>
      </c>
      <c r="AC15" s="91">
        <f t="shared" si="14"/>
        <v>277050.5</v>
      </c>
      <c r="AD15" s="91">
        <f t="shared" si="14"/>
        <v>278552.5</v>
      </c>
      <c r="AE15" s="91">
        <f t="shared" si="14"/>
        <v>238552.5</v>
      </c>
      <c r="AF15" s="91">
        <f t="shared" si="14"/>
        <v>181565</v>
      </c>
      <c r="AG15" s="91">
        <f t="shared" si="14"/>
        <v>131565</v>
      </c>
      <c r="AH15" s="91">
        <f t="shared" si="14"/>
        <v>70000</v>
      </c>
      <c r="AI15" s="91">
        <f t="shared" si="14"/>
        <v>0</v>
      </c>
      <c r="AJ15" s="91">
        <f t="shared" si="14"/>
        <v>0</v>
      </c>
      <c r="AK15" s="91">
        <f t="shared" si="14"/>
        <v>0</v>
      </c>
      <c r="AL15" s="91">
        <f t="shared" si="14"/>
        <v>0</v>
      </c>
      <c r="AM15" s="90">
        <f t="shared" si="14"/>
        <v>0</v>
      </c>
      <c r="AO15" s="51"/>
      <c r="AP15" s="52"/>
      <c r="AQ15" s="5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5"/>
      <c r="BK15" s="52"/>
      <c r="BL15" s="51"/>
      <c r="BO15" s="38" t="s">
        <v>700</v>
      </c>
      <c r="BP15" s="56">
        <f t="shared" si="0"/>
        <v>0</v>
      </c>
      <c r="BQ15" s="57">
        <f t="shared" si="1"/>
        <v>0</v>
      </c>
      <c r="BR15" s="57">
        <f t="shared" si="1"/>
        <v>0</v>
      </c>
      <c r="BS15" s="57">
        <f t="shared" si="1"/>
        <v>0</v>
      </c>
      <c r="BT15" s="57">
        <f t="shared" si="1"/>
        <v>0</v>
      </c>
      <c r="BU15" s="57">
        <f t="shared" si="1"/>
        <v>0</v>
      </c>
      <c r="BV15" s="57">
        <f t="shared" si="1"/>
        <v>0</v>
      </c>
      <c r="BW15" s="57">
        <f t="shared" si="1"/>
        <v>0</v>
      </c>
      <c r="BX15" s="57">
        <f t="shared" si="1"/>
        <v>0</v>
      </c>
      <c r="BY15" s="57">
        <f t="shared" si="1"/>
        <v>0</v>
      </c>
      <c r="BZ15" s="57">
        <f t="shared" si="1"/>
        <v>0</v>
      </c>
      <c r="CA15" s="57">
        <f t="shared" si="1"/>
        <v>0</v>
      </c>
      <c r="CB15" s="58">
        <f t="shared" si="1"/>
        <v>0</v>
      </c>
    </row>
    <row r="16" spans="2:80" s="42" customFormat="1" ht="29" thickBot="1" x14ac:dyDescent="0.25">
      <c r="D16" s="38" t="s">
        <v>46</v>
      </c>
      <c r="E16" s="38" t="s">
        <v>46</v>
      </c>
      <c r="F16" s="38" t="str">
        <f t="shared" si="8"/>
        <v>Todos</v>
      </c>
      <c r="G16" s="84" t="str">
        <f t="shared" si="4"/>
        <v>Todos</v>
      </c>
      <c r="H16" s="85" t="str">
        <f t="shared" si="9"/>
        <v>Todos</v>
      </c>
      <c r="I16" s="85" t="str">
        <f t="shared" si="10"/>
        <v>Todos</v>
      </c>
      <c r="J16" s="86">
        <f>+$G$7</f>
        <v>1</v>
      </c>
      <c r="K16" s="87">
        <f t="shared" si="11"/>
        <v>2705911.085</v>
      </c>
      <c r="L16" s="87">
        <f t="shared" si="11"/>
        <v>1343782.3449999997</v>
      </c>
      <c r="M16" s="87">
        <f t="shared" si="11"/>
        <v>1152432.835</v>
      </c>
      <c r="N16" s="88">
        <f t="shared" si="12"/>
        <v>0.57410543111027612</v>
      </c>
      <c r="O16" s="89">
        <f t="shared" si="13"/>
        <v>1553478.25</v>
      </c>
      <c r="P16" s="89">
        <f t="shared" si="13"/>
        <v>49915</v>
      </c>
      <c r="Q16" s="87">
        <f t="shared" si="13"/>
        <v>85505</v>
      </c>
      <c r="R16" s="87">
        <f t="shared" si="13"/>
        <v>38241.800000000003</v>
      </c>
      <c r="S16" s="87">
        <f t="shared" si="13"/>
        <v>138426.07</v>
      </c>
      <c r="T16" s="87">
        <f t="shared" si="13"/>
        <v>228228.4</v>
      </c>
      <c r="U16" s="87">
        <f t="shared" si="13"/>
        <v>175279.95</v>
      </c>
      <c r="V16" s="87">
        <f t="shared" si="13"/>
        <v>102408.9249999999</v>
      </c>
      <c r="W16" s="87">
        <f t="shared" si="13"/>
        <v>79564.69</v>
      </c>
      <c r="X16" s="87">
        <f t="shared" si="13"/>
        <v>0</v>
      </c>
      <c r="Y16" s="87">
        <f t="shared" si="14"/>
        <v>71718</v>
      </c>
      <c r="Z16" s="87">
        <f t="shared" si="14"/>
        <v>183145</v>
      </c>
      <c r="AA16" s="90">
        <f t="shared" si="14"/>
        <v>212603</v>
      </c>
      <c r="AB16" s="91">
        <f t="shared" si="14"/>
        <v>289214.26666666666</v>
      </c>
      <c r="AC16" s="91">
        <f t="shared" si="14"/>
        <v>252194.46666666667</v>
      </c>
      <c r="AD16" s="91">
        <f t="shared" si="14"/>
        <v>220886.46666666667</v>
      </c>
      <c r="AE16" s="91">
        <f t="shared" si="14"/>
        <v>171344.80000000002</v>
      </c>
      <c r="AF16" s="91">
        <f t="shared" si="14"/>
        <v>171344.80000000002</v>
      </c>
      <c r="AG16" s="91">
        <f t="shared" si="14"/>
        <v>145028.20000000001</v>
      </c>
      <c r="AH16" s="91">
        <f t="shared" si="14"/>
        <v>0</v>
      </c>
      <c r="AI16" s="91">
        <f t="shared" si="14"/>
        <v>0</v>
      </c>
      <c r="AJ16" s="91">
        <f t="shared" si="14"/>
        <v>0</v>
      </c>
      <c r="AK16" s="91">
        <f t="shared" si="14"/>
        <v>0</v>
      </c>
      <c r="AL16" s="91">
        <f t="shared" si="14"/>
        <v>0</v>
      </c>
      <c r="AM16" s="90">
        <f t="shared" si="14"/>
        <v>0</v>
      </c>
      <c r="AO16" s="51"/>
      <c r="AP16" s="52"/>
      <c r="AQ16" s="5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92" t="s">
        <v>661</v>
      </c>
      <c r="BF16" s="93" t="s">
        <v>958</v>
      </c>
      <c r="BG16" s="94" t="s">
        <v>959</v>
      </c>
      <c r="BH16" s="95" t="s">
        <v>960</v>
      </c>
      <c r="BI16" s="95" t="s">
        <v>961</v>
      </c>
      <c r="BJ16" s="30"/>
      <c r="BK16" s="52"/>
      <c r="BL16" s="51"/>
      <c r="BO16" s="38" t="s">
        <v>249</v>
      </c>
      <c r="BP16" s="56">
        <f t="shared" si="0"/>
        <v>209300.26</v>
      </c>
      <c r="BQ16" s="57">
        <f t="shared" si="1"/>
        <v>48365.26</v>
      </c>
      <c r="BR16" s="57">
        <f t="shared" si="1"/>
        <v>43637</v>
      </c>
      <c r="BS16" s="57">
        <f t="shared" si="1"/>
        <v>0</v>
      </c>
      <c r="BT16" s="57">
        <f t="shared" si="1"/>
        <v>0</v>
      </c>
      <c r="BU16" s="57">
        <f t="shared" si="1"/>
        <v>0</v>
      </c>
      <c r="BV16" s="57">
        <f t="shared" si="1"/>
        <v>0</v>
      </c>
      <c r="BW16" s="57">
        <f t="shared" si="1"/>
        <v>0</v>
      </c>
      <c r="BX16" s="57">
        <f t="shared" si="1"/>
        <v>0</v>
      </c>
      <c r="BY16" s="57">
        <f t="shared" si="1"/>
        <v>0</v>
      </c>
      <c r="BZ16" s="57">
        <f t="shared" si="1"/>
        <v>0</v>
      </c>
      <c r="CA16" s="57">
        <f t="shared" si="1"/>
        <v>0</v>
      </c>
      <c r="CB16" s="58">
        <f t="shared" si="1"/>
        <v>117298</v>
      </c>
    </row>
    <row r="17" spans="1:80" s="42" customFormat="1" ht="15" thickBot="1" x14ac:dyDescent="0.25">
      <c r="D17" s="38" t="s">
        <v>45</v>
      </c>
      <c r="E17" s="38" t="s">
        <v>45</v>
      </c>
      <c r="F17" s="38" t="str">
        <f t="shared" si="8"/>
        <v>Todos</v>
      </c>
      <c r="G17" s="84" t="str">
        <f t="shared" si="4"/>
        <v>Todos</v>
      </c>
      <c r="H17" s="85" t="str">
        <f t="shared" si="9"/>
        <v>Todos</v>
      </c>
      <c r="I17" s="85" t="str">
        <f t="shared" si="10"/>
        <v>Todos</v>
      </c>
      <c r="J17" s="86">
        <f>+$G$7</f>
        <v>1</v>
      </c>
      <c r="K17" s="87">
        <f t="shared" si="11"/>
        <v>1040417</v>
      </c>
      <c r="L17" s="87">
        <f t="shared" si="11"/>
        <v>241772</v>
      </c>
      <c r="M17" s="87">
        <f t="shared" si="11"/>
        <v>166755</v>
      </c>
      <c r="N17" s="88">
        <f t="shared" si="12"/>
        <v>0.83972291879121541</v>
      </c>
      <c r="O17" s="89">
        <f t="shared" si="13"/>
        <v>873662</v>
      </c>
      <c r="P17" s="89">
        <f t="shared" si="13"/>
        <v>0</v>
      </c>
      <c r="Q17" s="87">
        <f t="shared" si="13"/>
        <v>0</v>
      </c>
      <c r="R17" s="87">
        <f t="shared" si="13"/>
        <v>0</v>
      </c>
      <c r="S17" s="87">
        <f t="shared" si="13"/>
        <v>0</v>
      </c>
      <c r="T17" s="87">
        <f t="shared" si="13"/>
        <v>0</v>
      </c>
      <c r="U17" s="87">
        <f t="shared" si="13"/>
        <v>0</v>
      </c>
      <c r="V17" s="87">
        <f t="shared" si="13"/>
        <v>70821</v>
      </c>
      <c r="W17" s="87">
        <f t="shared" si="13"/>
        <v>15596</v>
      </c>
      <c r="X17" s="87">
        <f t="shared" si="13"/>
        <v>40919</v>
      </c>
      <c r="Y17" s="87">
        <f t="shared" si="14"/>
        <v>39419</v>
      </c>
      <c r="Z17" s="87">
        <f t="shared" si="14"/>
        <v>0</v>
      </c>
      <c r="AA17" s="90">
        <f t="shared" si="14"/>
        <v>75017</v>
      </c>
      <c r="AB17" s="91">
        <f t="shared" si="14"/>
        <v>106361</v>
      </c>
      <c r="AC17" s="91">
        <f t="shared" si="14"/>
        <v>302736.5</v>
      </c>
      <c r="AD17" s="91">
        <f t="shared" si="14"/>
        <v>256082.66666666666</v>
      </c>
      <c r="AE17" s="91">
        <f t="shared" si="14"/>
        <v>94917.166666666657</v>
      </c>
      <c r="AF17" s="91">
        <f t="shared" si="14"/>
        <v>38547.666666666664</v>
      </c>
      <c r="AG17" s="91">
        <f t="shared" si="14"/>
        <v>0</v>
      </c>
      <c r="AH17" s="91">
        <f t="shared" si="14"/>
        <v>0</v>
      </c>
      <c r="AI17" s="91">
        <f t="shared" si="14"/>
        <v>0</v>
      </c>
      <c r="AJ17" s="91">
        <f t="shared" si="14"/>
        <v>0</v>
      </c>
      <c r="AK17" s="91">
        <f t="shared" si="14"/>
        <v>0</v>
      </c>
      <c r="AL17" s="91">
        <f t="shared" si="14"/>
        <v>0</v>
      </c>
      <c r="AM17" s="90">
        <f t="shared" si="14"/>
        <v>0</v>
      </c>
      <c r="AO17" s="51"/>
      <c r="AP17" s="52"/>
      <c r="AQ17" s="53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96" t="s">
        <v>953</v>
      </c>
      <c r="BF17" s="97">
        <f t="shared" ref="BF17:BG25" si="15">+K11</f>
        <v>9717950.8249999993</v>
      </c>
      <c r="BG17" s="98">
        <f t="shared" si="15"/>
        <v>5657429.3149999995</v>
      </c>
      <c r="BH17" s="99">
        <f t="shared" ref="BH17:BH25" si="16">+SUM(X11:AA11)</f>
        <v>1792817.55</v>
      </c>
      <c r="BI17" s="99">
        <f t="shared" ref="BI17:BI25" si="17">+SUM(AB11:AM11)</f>
        <v>3724264.0000000005</v>
      </c>
      <c r="BJ17" s="55"/>
      <c r="BK17" s="52"/>
      <c r="BL17" s="51"/>
      <c r="BO17" s="100" t="s">
        <v>962</v>
      </c>
      <c r="BP17" s="101">
        <f t="shared" si="0"/>
        <v>0</v>
      </c>
      <c r="BQ17" s="102">
        <f t="shared" si="1"/>
        <v>0</v>
      </c>
      <c r="BR17" s="102">
        <f t="shared" si="1"/>
        <v>0</v>
      </c>
      <c r="BS17" s="102">
        <f t="shared" si="1"/>
        <v>0</v>
      </c>
      <c r="BT17" s="102">
        <f t="shared" si="1"/>
        <v>0</v>
      </c>
      <c r="BU17" s="102">
        <f t="shared" si="1"/>
        <v>0</v>
      </c>
      <c r="BV17" s="102">
        <f t="shared" si="1"/>
        <v>0</v>
      </c>
      <c r="BW17" s="102">
        <f t="shared" si="1"/>
        <v>0</v>
      </c>
      <c r="BX17" s="102">
        <f t="shared" si="1"/>
        <v>0</v>
      </c>
      <c r="BY17" s="102">
        <f t="shared" si="1"/>
        <v>0</v>
      </c>
      <c r="BZ17" s="102">
        <f t="shared" si="1"/>
        <v>0</v>
      </c>
      <c r="CA17" s="102">
        <f t="shared" si="1"/>
        <v>0</v>
      </c>
      <c r="CB17" s="103">
        <f t="shared" si="1"/>
        <v>0</v>
      </c>
    </row>
    <row r="18" spans="1:80" s="42" customFormat="1" ht="15" x14ac:dyDescent="0.2">
      <c r="D18" s="38" t="s">
        <v>48</v>
      </c>
      <c r="E18" s="38" t="s">
        <v>48</v>
      </c>
      <c r="F18" s="38" t="str">
        <f t="shared" si="8"/>
        <v>Todos</v>
      </c>
      <c r="G18" s="84" t="str">
        <f t="shared" si="4"/>
        <v>Todos</v>
      </c>
      <c r="H18" s="85" t="str">
        <f t="shared" si="9"/>
        <v>Todos</v>
      </c>
      <c r="I18" s="85" t="str">
        <f t="shared" si="10"/>
        <v>Todos</v>
      </c>
      <c r="J18" s="86">
        <f>+$G$7</f>
        <v>1</v>
      </c>
      <c r="K18" s="87">
        <f t="shared" si="11"/>
        <v>349892</v>
      </c>
      <c r="L18" s="87">
        <f t="shared" si="11"/>
        <v>320662</v>
      </c>
      <c r="M18" s="87">
        <f t="shared" si="11"/>
        <v>290808</v>
      </c>
      <c r="N18" s="88">
        <f t="shared" si="12"/>
        <v>0.16886353503366752</v>
      </c>
      <c r="O18" s="89">
        <f t="shared" si="13"/>
        <v>59084</v>
      </c>
      <c r="P18" s="89">
        <f t="shared" si="13"/>
        <v>0</v>
      </c>
      <c r="Q18" s="87">
        <f t="shared" si="13"/>
        <v>0</v>
      </c>
      <c r="R18" s="87">
        <f t="shared" si="13"/>
        <v>0</v>
      </c>
      <c r="S18" s="87">
        <f t="shared" si="13"/>
        <v>0</v>
      </c>
      <c r="T18" s="87">
        <f t="shared" si="13"/>
        <v>0</v>
      </c>
      <c r="U18" s="87">
        <f t="shared" si="13"/>
        <v>46805</v>
      </c>
      <c r="V18" s="87">
        <f t="shared" si="13"/>
        <v>66887</v>
      </c>
      <c r="W18" s="87">
        <f t="shared" si="13"/>
        <v>86940</v>
      </c>
      <c r="X18" s="87">
        <f t="shared" si="13"/>
        <v>46805</v>
      </c>
      <c r="Y18" s="87">
        <f t="shared" si="14"/>
        <v>43371</v>
      </c>
      <c r="Z18" s="87">
        <f t="shared" si="14"/>
        <v>0</v>
      </c>
      <c r="AA18" s="90">
        <f t="shared" si="14"/>
        <v>29854</v>
      </c>
      <c r="AB18" s="91">
        <f t="shared" si="14"/>
        <v>0</v>
      </c>
      <c r="AC18" s="91">
        <f t="shared" si="14"/>
        <v>0</v>
      </c>
      <c r="AD18" s="91">
        <f t="shared" si="14"/>
        <v>0</v>
      </c>
      <c r="AE18" s="91">
        <f t="shared" si="14"/>
        <v>0</v>
      </c>
      <c r="AF18" s="91">
        <f t="shared" si="14"/>
        <v>0</v>
      </c>
      <c r="AG18" s="91">
        <f t="shared" si="14"/>
        <v>0</v>
      </c>
      <c r="AH18" s="91">
        <f t="shared" si="14"/>
        <v>0</v>
      </c>
      <c r="AI18" s="91">
        <f t="shared" si="14"/>
        <v>0</v>
      </c>
      <c r="AJ18" s="91">
        <f t="shared" si="14"/>
        <v>0</v>
      </c>
      <c r="AK18" s="91">
        <f t="shared" si="14"/>
        <v>0</v>
      </c>
      <c r="AL18" s="91">
        <f t="shared" si="14"/>
        <v>0</v>
      </c>
      <c r="AM18" s="90">
        <f t="shared" si="14"/>
        <v>0</v>
      </c>
      <c r="AO18" s="51"/>
      <c r="AP18" s="52"/>
      <c r="AQ18" s="53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104" t="s">
        <v>954</v>
      </c>
      <c r="BF18" s="99">
        <f t="shared" si="15"/>
        <v>4876908.8250000002</v>
      </c>
      <c r="BG18" s="99">
        <f t="shared" si="15"/>
        <v>4231873.3149999995</v>
      </c>
      <c r="BH18" s="99">
        <f t="shared" si="16"/>
        <v>999000.55</v>
      </c>
      <c r="BI18" s="99">
        <f t="shared" si="17"/>
        <v>138300</v>
      </c>
      <c r="BJ18" s="55"/>
      <c r="BK18" s="52"/>
      <c r="BL18" s="51"/>
      <c r="BO18"/>
      <c r="BP18"/>
    </row>
    <row r="19" spans="1:80" s="42" customFormat="1" ht="16" thickBot="1" x14ac:dyDescent="0.25">
      <c r="D19" s="100" t="s">
        <v>845</v>
      </c>
      <c r="E19" s="100" t="s">
        <v>845</v>
      </c>
      <c r="F19" s="100" t="str">
        <f t="shared" si="8"/>
        <v>Todos</v>
      </c>
      <c r="G19" s="105" t="str">
        <f t="shared" si="4"/>
        <v>Todos</v>
      </c>
      <c r="H19" s="106" t="str">
        <f t="shared" si="9"/>
        <v>Todos</v>
      </c>
      <c r="I19" s="106" t="str">
        <f t="shared" si="10"/>
        <v>Todos</v>
      </c>
      <c r="J19" s="107">
        <f>+$G$7</f>
        <v>1</v>
      </c>
      <c r="K19" s="108">
        <f t="shared" si="11"/>
        <v>0</v>
      </c>
      <c r="L19" s="108">
        <f t="shared" si="11"/>
        <v>0</v>
      </c>
      <c r="M19" s="108">
        <f t="shared" si="11"/>
        <v>0</v>
      </c>
      <c r="N19" s="109">
        <f t="shared" si="12"/>
        <v>0</v>
      </c>
      <c r="O19" s="110">
        <f t="shared" si="13"/>
        <v>0</v>
      </c>
      <c r="P19" s="110">
        <f t="shared" si="13"/>
        <v>0</v>
      </c>
      <c r="Q19" s="108">
        <f t="shared" si="13"/>
        <v>0</v>
      </c>
      <c r="R19" s="108">
        <f t="shared" si="13"/>
        <v>0</v>
      </c>
      <c r="S19" s="108">
        <f t="shared" si="13"/>
        <v>0</v>
      </c>
      <c r="T19" s="108">
        <f t="shared" si="13"/>
        <v>0</v>
      </c>
      <c r="U19" s="108">
        <f t="shared" si="13"/>
        <v>0</v>
      </c>
      <c r="V19" s="108">
        <f t="shared" si="13"/>
        <v>0</v>
      </c>
      <c r="W19" s="108">
        <f t="shared" si="13"/>
        <v>0</v>
      </c>
      <c r="X19" s="108">
        <f t="shared" si="13"/>
        <v>0</v>
      </c>
      <c r="Y19" s="108">
        <f t="shared" si="14"/>
        <v>0</v>
      </c>
      <c r="Z19" s="108">
        <f t="shared" si="14"/>
        <v>0</v>
      </c>
      <c r="AA19" s="111">
        <f t="shared" si="14"/>
        <v>0</v>
      </c>
      <c r="AB19" s="108">
        <f t="shared" si="14"/>
        <v>0</v>
      </c>
      <c r="AC19" s="108">
        <f t="shared" si="14"/>
        <v>0</v>
      </c>
      <c r="AD19" s="108">
        <f t="shared" si="14"/>
        <v>0</v>
      </c>
      <c r="AE19" s="108">
        <f t="shared" si="14"/>
        <v>0</v>
      </c>
      <c r="AF19" s="108">
        <f t="shared" si="14"/>
        <v>0</v>
      </c>
      <c r="AG19" s="108">
        <f t="shared" si="14"/>
        <v>0</v>
      </c>
      <c r="AH19" s="108">
        <f t="shared" si="14"/>
        <v>0</v>
      </c>
      <c r="AI19" s="108">
        <f t="shared" si="14"/>
        <v>0</v>
      </c>
      <c r="AJ19" s="108">
        <f t="shared" si="14"/>
        <v>0</v>
      </c>
      <c r="AK19" s="108">
        <f t="shared" si="14"/>
        <v>0</v>
      </c>
      <c r="AL19" s="108">
        <f t="shared" si="14"/>
        <v>0</v>
      </c>
      <c r="AM19" s="111">
        <f t="shared" si="14"/>
        <v>0</v>
      </c>
      <c r="AO19" s="51"/>
      <c r="AP19" s="52"/>
      <c r="AQ19" s="53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112" t="s">
        <v>955</v>
      </c>
      <c r="BF19" s="98">
        <f t="shared" si="15"/>
        <v>4841041.9999999991</v>
      </c>
      <c r="BG19" s="98">
        <f t="shared" si="15"/>
        <v>1425556</v>
      </c>
      <c r="BH19" s="98">
        <f t="shared" si="16"/>
        <v>793817</v>
      </c>
      <c r="BI19" s="98">
        <f t="shared" si="17"/>
        <v>3585964.0000000005</v>
      </c>
      <c r="BJ19" s="30"/>
      <c r="BK19" s="52"/>
      <c r="BL19" s="51"/>
      <c r="BO19"/>
      <c r="BP19"/>
    </row>
    <row r="20" spans="1:80" s="42" customFormat="1" ht="16" thickBot="1" x14ac:dyDescent="0.25">
      <c r="D20" s="100" t="s">
        <v>963</v>
      </c>
      <c r="E20" s="100" t="s">
        <v>963</v>
      </c>
      <c r="F20" s="100" t="str">
        <f t="shared" si="8"/>
        <v>Todos</v>
      </c>
      <c r="G20" s="105" t="str">
        <f>+F20</f>
        <v>Todos</v>
      </c>
      <c r="H20" s="106" t="str">
        <f t="shared" si="9"/>
        <v>Todos</v>
      </c>
      <c r="I20" s="106" t="str">
        <f>+H20</f>
        <v>Todos</v>
      </c>
      <c r="J20" s="107">
        <f>+G7</f>
        <v>1</v>
      </c>
      <c r="K20" s="108" t="s">
        <v>77</v>
      </c>
      <c r="L20" s="108" t="s">
        <v>77</v>
      </c>
      <c r="M20" s="108" t="s">
        <v>77</v>
      </c>
      <c r="N20" s="109" t="s">
        <v>77</v>
      </c>
      <c r="O20" s="110" t="s">
        <v>77</v>
      </c>
      <c r="P20" s="110">
        <f t="shared" ref="P20:AM20" si="18">+COUNTIFS(P$28:P$1048576,"&gt;"&amp;0,$J$28:$J$1048576,"&gt;="&amp;$G$7,$H$28:$H$1048576,$G$6)+IF($G$6="Todos",COUNTIFS(P$28:P$1048576,"&gt;"&amp;0,$J$28:$J$1048576,"&gt;="&amp;$G$7))</f>
        <v>6</v>
      </c>
      <c r="Q20" s="108">
        <f t="shared" si="18"/>
        <v>6</v>
      </c>
      <c r="R20" s="108">
        <f t="shared" si="18"/>
        <v>9</v>
      </c>
      <c r="S20" s="108">
        <f t="shared" si="18"/>
        <v>9</v>
      </c>
      <c r="T20" s="108">
        <f t="shared" si="18"/>
        <v>7</v>
      </c>
      <c r="U20" s="108">
        <f t="shared" si="18"/>
        <v>13</v>
      </c>
      <c r="V20" s="108">
        <f t="shared" si="18"/>
        <v>12</v>
      </c>
      <c r="W20" s="108">
        <f t="shared" si="18"/>
        <v>9</v>
      </c>
      <c r="X20" s="108">
        <f t="shared" si="18"/>
        <v>6</v>
      </c>
      <c r="Y20" s="108">
        <f t="shared" si="18"/>
        <v>13</v>
      </c>
      <c r="Z20" s="108">
        <f t="shared" si="18"/>
        <v>9</v>
      </c>
      <c r="AA20" s="111">
        <f t="shared" si="18"/>
        <v>14</v>
      </c>
      <c r="AB20" s="108">
        <f t="shared" si="18"/>
        <v>22</v>
      </c>
      <c r="AC20" s="108">
        <f t="shared" si="18"/>
        <v>17</v>
      </c>
      <c r="AD20" s="108">
        <f t="shared" si="18"/>
        <v>16</v>
      </c>
      <c r="AE20" s="108">
        <f t="shared" si="18"/>
        <v>11</v>
      </c>
      <c r="AF20" s="108">
        <f t="shared" si="18"/>
        <v>8</v>
      </c>
      <c r="AG20" s="108">
        <f t="shared" si="18"/>
        <v>5</v>
      </c>
      <c r="AH20" s="108">
        <f t="shared" si="18"/>
        <v>1</v>
      </c>
      <c r="AI20" s="108">
        <f t="shared" si="18"/>
        <v>0</v>
      </c>
      <c r="AJ20" s="108">
        <f t="shared" si="18"/>
        <v>0</v>
      </c>
      <c r="AK20" s="108">
        <f t="shared" si="18"/>
        <v>0</v>
      </c>
      <c r="AL20" s="108">
        <f t="shared" si="18"/>
        <v>0</v>
      </c>
      <c r="AM20" s="111">
        <f t="shared" si="18"/>
        <v>0</v>
      </c>
      <c r="AO20" s="51"/>
      <c r="AP20" s="52"/>
      <c r="AQ20" s="53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113" t="s">
        <v>956</v>
      </c>
      <c r="BF20" s="114">
        <f>+K14</f>
        <v>0</v>
      </c>
      <c r="BG20" s="114">
        <f t="shared" si="15"/>
        <v>0</v>
      </c>
      <c r="BH20" s="114">
        <f t="shared" si="16"/>
        <v>0</v>
      </c>
      <c r="BI20" s="114">
        <f t="shared" si="17"/>
        <v>0</v>
      </c>
      <c r="BJ20" s="55"/>
      <c r="BK20" s="52"/>
      <c r="BL20" s="51"/>
      <c r="BO20"/>
      <c r="BP20"/>
    </row>
    <row r="21" spans="1:80" s="42" customFormat="1" ht="15" x14ac:dyDescent="0.2">
      <c r="D21" s="115"/>
      <c r="E21" s="115"/>
      <c r="F21" s="115"/>
      <c r="G21" s="115"/>
      <c r="H21" s="115"/>
      <c r="I21" s="115"/>
      <c r="J21" s="116"/>
      <c r="K21" s="117"/>
      <c r="L21" s="117"/>
      <c r="M21" s="117"/>
      <c r="N21" s="118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O21" s="51"/>
      <c r="AP21" s="52"/>
      <c r="AQ21" s="53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119" t="s">
        <v>43</v>
      </c>
      <c r="BF21" s="120">
        <f>+O15</f>
        <v>2175486.77</v>
      </c>
      <c r="BG21" s="121">
        <f t="shared" si="15"/>
        <v>3751212.9699999997</v>
      </c>
      <c r="BH21" s="121">
        <f t="shared" si="16"/>
        <v>1049966.55</v>
      </c>
      <c r="BI21" s="121">
        <f t="shared" si="17"/>
        <v>1675606</v>
      </c>
      <c r="BJ21" s="55"/>
      <c r="BK21" s="52"/>
      <c r="BL21" s="51"/>
      <c r="BO21"/>
      <c r="BP21"/>
    </row>
    <row r="22" spans="1:80" s="42" customFormat="1" ht="15" x14ac:dyDescent="0.2">
      <c r="D22" s="115"/>
      <c r="E22" s="115"/>
      <c r="F22" s="115"/>
      <c r="G22" s="115"/>
      <c r="H22" s="115"/>
      <c r="I22" s="115"/>
      <c r="J22" s="116"/>
      <c r="K22" s="117"/>
      <c r="L22" s="117"/>
      <c r="M22" s="117"/>
      <c r="N22" s="118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O22" s="51"/>
      <c r="AP22" s="52"/>
      <c r="AQ22" s="53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119" t="s">
        <v>46</v>
      </c>
      <c r="BF22" s="120">
        <f>+O16</f>
        <v>1553478.25</v>
      </c>
      <c r="BG22" s="121">
        <f t="shared" si="15"/>
        <v>1343782.3449999997</v>
      </c>
      <c r="BH22" s="121">
        <f t="shared" si="16"/>
        <v>467466</v>
      </c>
      <c r="BI22" s="121">
        <f t="shared" si="17"/>
        <v>1250013</v>
      </c>
      <c r="BJ22" s="30"/>
      <c r="BK22" s="52"/>
      <c r="BL22" s="51"/>
      <c r="BO22"/>
      <c r="BP22"/>
    </row>
    <row r="23" spans="1:80" s="42" customFormat="1" ht="15" x14ac:dyDescent="0.2">
      <c r="D23" s="115"/>
      <c r="E23" s="115"/>
      <c r="F23" s="115"/>
      <c r="G23" s="115"/>
      <c r="H23" s="115"/>
      <c r="I23" s="115"/>
      <c r="J23" s="116"/>
      <c r="K23" s="117"/>
      <c r="L23" s="117"/>
      <c r="M23" s="117"/>
      <c r="N23" s="118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O23" s="51"/>
      <c r="AP23" s="52"/>
      <c r="AQ23" s="53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119" t="s">
        <v>45</v>
      </c>
      <c r="BF23" s="120">
        <f>+O17</f>
        <v>873662</v>
      </c>
      <c r="BG23" s="121">
        <f t="shared" si="15"/>
        <v>241772</v>
      </c>
      <c r="BH23" s="121">
        <f t="shared" si="16"/>
        <v>155355</v>
      </c>
      <c r="BI23" s="121">
        <f t="shared" si="17"/>
        <v>798644.99999999988</v>
      </c>
      <c r="BJ23" s="55"/>
      <c r="BK23" s="52"/>
      <c r="BL23" s="51"/>
      <c r="BO23"/>
      <c r="BP23"/>
    </row>
    <row r="24" spans="1:80" s="42" customFormat="1" ht="15" x14ac:dyDescent="0.2">
      <c r="D24" s="115"/>
      <c r="E24" s="115"/>
      <c r="F24" s="115"/>
      <c r="G24" s="115"/>
      <c r="H24" s="115"/>
      <c r="I24" s="115"/>
      <c r="J24" s="116"/>
      <c r="K24" s="117"/>
      <c r="L24" s="117"/>
      <c r="M24" s="117"/>
      <c r="N24" s="118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O24" s="51"/>
      <c r="AP24" s="52"/>
      <c r="AQ24" s="53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119" t="s">
        <v>48</v>
      </c>
      <c r="BF24" s="120">
        <f>+O18</f>
        <v>59084</v>
      </c>
      <c r="BG24" s="121">
        <f t="shared" si="15"/>
        <v>320662</v>
      </c>
      <c r="BH24" s="121">
        <f t="shared" si="16"/>
        <v>120030</v>
      </c>
      <c r="BI24" s="121">
        <f t="shared" si="17"/>
        <v>0</v>
      </c>
      <c r="BJ24" s="55"/>
      <c r="BK24" s="52"/>
      <c r="BL24" s="51"/>
      <c r="BO24"/>
      <c r="BP24"/>
    </row>
    <row r="25" spans="1:80" s="42" customFormat="1" ht="16" thickBot="1" x14ac:dyDescent="0.25">
      <c r="D25" s="115"/>
      <c r="E25" s="115"/>
      <c r="F25" s="115"/>
      <c r="G25" s="115"/>
      <c r="H25" s="115"/>
      <c r="I25" s="115"/>
      <c r="J25" s="116"/>
      <c r="K25" s="117"/>
      <c r="L25" s="117"/>
      <c r="M25" s="117"/>
      <c r="N25" s="118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36"/>
      <c r="AE25" s="136"/>
      <c r="AF25" s="117"/>
      <c r="AG25" s="117"/>
      <c r="AH25" s="117"/>
      <c r="AI25" s="117"/>
      <c r="AJ25" s="117"/>
      <c r="AK25" s="117"/>
      <c r="AL25" s="117"/>
      <c r="AM25" s="117"/>
      <c r="AO25" s="51"/>
      <c r="AP25" s="52"/>
      <c r="AQ25" s="53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122" t="s">
        <v>845</v>
      </c>
      <c r="BF25" s="123">
        <f>+O19</f>
        <v>0</v>
      </c>
      <c r="BG25" s="124">
        <f t="shared" si="15"/>
        <v>0</v>
      </c>
      <c r="BH25" s="124">
        <f t="shared" si="16"/>
        <v>0</v>
      </c>
      <c r="BI25" s="124">
        <f t="shared" si="17"/>
        <v>0</v>
      </c>
      <c r="BJ25" s="30"/>
      <c r="BK25" s="52"/>
      <c r="BL25" s="51"/>
      <c r="BO25"/>
      <c r="BP25"/>
    </row>
    <row r="26" spans="1:80" ht="16" thickBot="1" x14ac:dyDescent="0.25">
      <c r="J26" s="17"/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1</v>
      </c>
      <c r="X26" s="17">
        <v>1</v>
      </c>
      <c r="Y26" s="17">
        <v>1</v>
      </c>
      <c r="Z26" s="17">
        <v>1</v>
      </c>
      <c r="AA26" s="17">
        <v>-1</v>
      </c>
      <c r="AB26" s="17"/>
      <c r="AC26" s="17"/>
      <c r="AD26" s="203"/>
      <c r="AE26" s="17"/>
      <c r="AF26" s="17"/>
      <c r="AG26" s="17"/>
      <c r="AH26" s="17"/>
      <c r="AI26" s="17"/>
      <c r="AJ26" s="17"/>
      <c r="AK26" s="17"/>
      <c r="AL26" s="17"/>
      <c r="AM26" s="17"/>
      <c r="AO26" s="4"/>
      <c r="AP26" s="18"/>
      <c r="AQ26" s="27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54"/>
      <c r="BE26" s="28"/>
      <c r="BF26" s="28"/>
      <c r="BG26" s="28"/>
      <c r="BH26" s="28"/>
      <c r="BI26" s="28"/>
      <c r="BJ26" s="30"/>
      <c r="BK26" s="18"/>
      <c r="BL26" s="4"/>
      <c r="BO26"/>
      <c r="BP26"/>
    </row>
    <row r="27" spans="1:80" s="42" customFormat="1" ht="29" thickBot="1" x14ac:dyDescent="0.25">
      <c r="B27" s="47" t="s">
        <v>734</v>
      </c>
      <c r="C27" s="44" t="s">
        <v>660</v>
      </c>
      <c r="D27" s="43" t="s">
        <v>661</v>
      </c>
      <c r="E27" s="43" t="s">
        <v>964</v>
      </c>
      <c r="F27" s="43" t="s">
        <v>662</v>
      </c>
      <c r="G27" s="44" t="s">
        <v>663</v>
      </c>
      <c r="H27" s="45" t="s">
        <v>664</v>
      </c>
      <c r="I27" s="46" t="s">
        <v>735</v>
      </c>
      <c r="J27" s="47" t="s">
        <v>665</v>
      </c>
      <c r="K27" s="34" t="s">
        <v>666</v>
      </c>
      <c r="L27" s="34" t="s">
        <v>736</v>
      </c>
      <c r="M27" s="34" t="s">
        <v>737</v>
      </c>
      <c r="N27" s="34" t="s">
        <v>738</v>
      </c>
      <c r="O27" s="32" t="s">
        <v>739</v>
      </c>
      <c r="P27" s="48">
        <v>44927</v>
      </c>
      <c r="Q27" s="49">
        <v>44958</v>
      </c>
      <c r="R27" s="49">
        <v>44986</v>
      </c>
      <c r="S27" s="49">
        <v>45017</v>
      </c>
      <c r="T27" s="49">
        <v>45047</v>
      </c>
      <c r="U27" s="49">
        <v>45078</v>
      </c>
      <c r="V27" s="49">
        <v>45108</v>
      </c>
      <c r="W27" s="49">
        <v>45139</v>
      </c>
      <c r="X27" s="49">
        <v>45170</v>
      </c>
      <c r="Y27" s="49">
        <v>45200</v>
      </c>
      <c r="Z27" s="49">
        <v>45231</v>
      </c>
      <c r="AA27" s="125">
        <v>45261</v>
      </c>
      <c r="AB27" s="126">
        <v>45292</v>
      </c>
      <c r="AC27" s="126">
        <v>45323</v>
      </c>
      <c r="AD27" s="126">
        <v>45352</v>
      </c>
      <c r="AE27" s="126">
        <v>45383</v>
      </c>
      <c r="AF27" s="126">
        <v>45413</v>
      </c>
      <c r="AG27" s="126">
        <v>45444</v>
      </c>
      <c r="AH27" s="126">
        <v>45474</v>
      </c>
      <c r="AI27" s="126">
        <v>45505</v>
      </c>
      <c r="AJ27" s="126">
        <v>45536</v>
      </c>
      <c r="AK27" s="126">
        <v>45566</v>
      </c>
      <c r="AL27" s="126">
        <v>45597</v>
      </c>
      <c r="AM27" s="127">
        <v>45627</v>
      </c>
      <c r="AO27" s="51"/>
      <c r="AP27" s="52"/>
      <c r="AQ27" s="53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28"/>
      <c r="BF27" s="28"/>
      <c r="BG27" s="28"/>
      <c r="BH27" s="28"/>
      <c r="BI27" s="28"/>
      <c r="BJ27" s="30"/>
      <c r="BK27" s="52"/>
      <c r="BL27" s="51"/>
      <c r="BO27"/>
      <c r="BP27"/>
    </row>
    <row r="28" spans="1:80" ht="15" x14ac:dyDescent="0.2">
      <c r="A28" s="15">
        <f>+LEN(B28)</f>
        <v>21</v>
      </c>
      <c r="B28" s="169" t="s">
        <v>674</v>
      </c>
      <c r="C28" s="168" t="s">
        <v>675</v>
      </c>
      <c r="D28" s="128" t="s">
        <v>46</v>
      </c>
      <c r="E28" s="128" t="str">
        <f t="shared" ref="E28:E29" si="19">+IF(D28="Chile","30 días",IF(D28="Perú","30 días",IF(D28="Brasil","60 días",IF(D28="Rusia","Indeterminado","Por definir"))))</f>
        <v>30 días</v>
      </c>
      <c r="F28" s="156" t="s">
        <v>676</v>
      </c>
      <c r="G28" s="129" t="s">
        <v>677</v>
      </c>
      <c r="H28" s="129" t="s">
        <v>678</v>
      </c>
      <c r="I28" s="128" t="s">
        <v>744</v>
      </c>
      <c r="J28" s="130">
        <v>1</v>
      </c>
      <c r="K28" s="16">
        <v>160000</v>
      </c>
      <c r="L28" s="131">
        <f t="shared" ref="L28:L29" si="20">+SUM(P28:AA28)</f>
        <v>28417</v>
      </c>
      <c r="M28" s="131">
        <f t="shared" ref="M28:M29" si="21">+SUM(P28:Z28)</f>
        <v>0</v>
      </c>
      <c r="N28" s="132">
        <f t="shared" ref="N28:N29" si="22">IFERROR(+M28/K28,0)</f>
        <v>0</v>
      </c>
      <c r="O28" s="133">
        <f t="shared" ref="O28:O29" si="23">+K28-M28</f>
        <v>160000</v>
      </c>
      <c r="P28" s="134">
        <v>0</v>
      </c>
      <c r="Q28" s="135">
        <v>0</v>
      </c>
      <c r="R28" s="135">
        <v>0</v>
      </c>
      <c r="S28" s="135">
        <v>0</v>
      </c>
      <c r="T28" s="135">
        <v>0</v>
      </c>
      <c r="U28" s="136">
        <v>0</v>
      </c>
      <c r="V28" s="136">
        <v>0</v>
      </c>
      <c r="W28" s="136">
        <v>0</v>
      </c>
      <c r="X28" s="136">
        <v>0</v>
      </c>
      <c r="Y28" s="137">
        <v>0</v>
      </c>
      <c r="Z28" s="137">
        <v>0</v>
      </c>
      <c r="AA28" s="147">
        <v>28417</v>
      </c>
      <c r="AB28" s="139">
        <f>+(K28-SUM(Z28:AA28))/5</f>
        <v>26316.6</v>
      </c>
      <c r="AC28" s="139">
        <f>+AB28</f>
        <v>26316.6</v>
      </c>
      <c r="AD28" s="139">
        <f>+AC28</f>
        <v>26316.6</v>
      </c>
      <c r="AE28" s="139">
        <f>+AD28</f>
        <v>26316.6</v>
      </c>
      <c r="AF28" s="139">
        <f>+AE28</f>
        <v>26316.6</v>
      </c>
      <c r="AG28" s="139">
        <v>0</v>
      </c>
      <c r="AH28" s="139">
        <v>0</v>
      </c>
      <c r="AI28" s="139">
        <v>0</v>
      </c>
      <c r="AJ28" s="139">
        <v>0</v>
      </c>
      <c r="AK28" s="139">
        <v>0</v>
      </c>
      <c r="AL28" s="139">
        <v>0</v>
      </c>
      <c r="AM28" s="140">
        <v>0</v>
      </c>
      <c r="AO28" s="4"/>
      <c r="AP28" s="18"/>
      <c r="AQ28" s="27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54"/>
      <c r="BE28" s="28"/>
      <c r="BF28" s="28"/>
      <c r="BG28" s="28"/>
      <c r="BH28" s="28"/>
      <c r="BI28" s="28"/>
      <c r="BJ28" s="30"/>
      <c r="BK28" s="18"/>
      <c r="BL28" s="4"/>
      <c r="BO28"/>
      <c r="BP28"/>
    </row>
    <row r="29" spans="1:80" ht="15" x14ac:dyDescent="0.2">
      <c r="A29" s="15">
        <f t="shared" ref="A29:A92" si="24">+LEN(B29)</f>
        <v>21</v>
      </c>
      <c r="B29" s="169" t="s">
        <v>679</v>
      </c>
      <c r="C29" s="168" t="s">
        <v>680</v>
      </c>
      <c r="D29" s="128" t="s">
        <v>46</v>
      </c>
      <c r="E29" s="128" t="str">
        <f t="shared" si="19"/>
        <v>30 días</v>
      </c>
      <c r="F29" s="156" t="s">
        <v>680</v>
      </c>
      <c r="G29" s="129" t="s">
        <v>681</v>
      </c>
      <c r="H29" s="129" t="s">
        <v>678</v>
      </c>
      <c r="I29" s="128" t="s">
        <v>744</v>
      </c>
      <c r="J29" s="130">
        <v>1</v>
      </c>
      <c r="K29" s="16">
        <v>917313</v>
      </c>
      <c r="L29" s="131">
        <f t="shared" si="20"/>
        <v>91731</v>
      </c>
      <c r="M29" s="131">
        <f t="shared" si="21"/>
        <v>0</v>
      </c>
      <c r="N29" s="132">
        <f t="shared" si="22"/>
        <v>0</v>
      </c>
      <c r="O29" s="133">
        <f t="shared" si="23"/>
        <v>917313</v>
      </c>
      <c r="P29" s="134">
        <v>0</v>
      </c>
      <c r="Q29" s="136">
        <v>0</v>
      </c>
      <c r="R29" s="136">
        <v>0</v>
      </c>
      <c r="S29" s="136">
        <v>0</v>
      </c>
      <c r="T29" s="136">
        <v>0</v>
      </c>
      <c r="U29" s="136">
        <v>0</v>
      </c>
      <c r="V29" s="136">
        <v>0</v>
      </c>
      <c r="W29" s="136">
        <v>0</v>
      </c>
      <c r="X29" s="136">
        <v>0</v>
      </c>
      <c r="Y29" s="137">
        <v>0</v>
      </c>
      <c r="Z29" s="148">
        <v>0</v>
      </c>
      <c r="AA29" s="141">
        <v>91731</v>
      </c>
      <c r="AB29" s="150">
        <v>100441</v>
      </c>
      <c r="AC29" s="149">
        <f>+(K29-SUM(Z29:AB29))/5</f>
        <v>145028.20000000001</v>
      </c>
      <c r="AD29" s="149">
        <f>+AC29</f>
        <v>145028.20000000001</v>
      </c>
      <c r="AE29" s="149">
        <f>+AD29</f>
        <v>145028.20000000001</v>
      </c>
      <c r="AF29" s="149">
        <f>+AE29</f>
        <v>145028.20000000001</v>
      </c>
      <c r="AG29" s="149">
        <f>+AF29</f>
        <v>145028.20000000001</v>
      </c>
      <c r="AH29" s="149">
        <v>0</v>
      </c>
      <c r="AI29" s="139">
        <v>0</v>
      </c>
      <c r="AJ29" s="139">
        <v>0</v>
      </c>
      <c r="AK29" s="139">
        <v>0</v>
      </c>
      <c r="AL29" s="139">
        <v>0</v>
      </c>
      <c r="AM29" s="140">
        <v>0</v>
      </c>
      <c r="AO29" s="4"/>
      <c r="AP29" s="18"/>
      <c r="AQ29" s="27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54"/>
      <c r="BE29" s="28"/>
      <c r="BF29" s="28"/>
      <c r="BG29" s="28"/>
      <c r="BH29" s="28"/>
      <c r="BI29" s="28"/>
      <c r="BJ29" s="30"/>
      <c r="BK29" s="18"/>
      <c r="BL29" s="4"/>
      <c r="BO29"/>
      <c r="BP29"/>
    </row>
    <row r="30" spans="1:80" ht="15" hidden="1" x14ac:dyDescent="0.2">
      <c r="A30" s="15">
        <f t="shared" si="24"/>
        <v>21</v>
      </c>
      <c r="B30" s="169" t="s">
        <v>682</v>
      </c>
      <c r="C30" s="168" t="s">
        <v>683</v>
      </c>
      <c r="D30" s="128" t="s">
        <v>45</v>
      </c>
      <c r="E30" s="128" t="str">
        <f t="shared" ref="E30:E61" si="25">+IF(D30="Chile","30 días",IF(D30="Perú","30 días",IF(D30="Brasil","60 días",IF(D30="Rusia","Indeterminado","Por definir"))))</f>
        <v>60 días</v>
      </c>
      <c r="F30" s="156" t="s">
        <v>330</v>
      </c>
      <c r="G30" s="129" t="s">
        <v>195</v>
      </c>
      <c r="H30" s="129" t="s">
        <v>678</v>
      </c>
      <c r="I30" s="128" t="s">
        <v>744</v>
      </c>
      <c r="J30" s="130">
        <v>1</v>
      </c>
      <c r="K30" s="16">
        <v>555021</v>
      </c>
      <c r="L30" s="131">
        <f>+SUM(P30:AA30)</f>
        <v>196061</v>
      </c>
      <c r="M30" s="131">
        <f t="shared" ref="M30:M61" si="26">+SUM(P30:Z30)</f>
        <v>166755</v>
      </c>
      <c r="N30" s="132">
        <f t="shared" ref="N30:N61" si="27">IFERROR(+M30/K30,0)</f>
        <v>0.30044809115330773</v>
      </c>
      <c r="O30" s="133">
        <f t="shared" ref="O30:O61" si="28">+K30-M30</f>
        <v>388266</v>
      </c>
      <c r="P30" s="134">
        <v>0</v>
      </c>
      <c r="Q30" s="135">
        <v>0</v>
      </c>
      <c r="R30" s="135">
        <v>0</v>
      </c>
      <c r="S30" s="135">
        <v>0</v>
      </c>
      <c r="T30" s="135">
        <v>0</v>
      </c>
      <c r="U30" s="151">
        <v>0</v>
      </c>
      <c r="V30" s="151">
        <v>70821</v>
      </c>
      <c r="W30" s="151">
        <v>15596</v>
      </c>
      <c r="X30" s="151">
        <v>40919</v>
      </c>
      <c r="Y30" s="137">
        <v>39419</v>
      </c>
      <c r="Z30" s="148">
        <v>0</v>
      </c>
      <c r="AA30" s="141">
        <v>29306</v>
      </c>
      <c r="AB30" s="150">
        <v>36629</v>
      </c>
      <c r="AC30" s="150">
        <f>+(K30-SUM(P30:AB30))/2</f>
        <v>161165.5</v>
      </c>
      <c r="AD30" s="150">
        <f>+AC30</f>
        <v>161165.5</v>
      </c>
      <c r="AE30" s="139">
        <v>0</v>
      </c>
      <c r="AF30" s="139">
        <v>0</v>
      </c>
      <c r="AG30" s="139">
        <v>0</v>
      </c>
      <c r="AH30" s="139">
        <v>0</v>
      </c>
      <c r="AI30" s="139">
        <v>0</v>
      </c>
      <c r="AJ30" s="139">
        <v>0</v>
      </c>
      <c r="AK30" s="139">
        <v>0</v>
      </c>
      <c r="AL30" s="139">
        <v>0</v>
      </c>
      <c r="AM30" s="140">
        <v>0</v>
      </c>
      <c r="AO30" s="4"/>
      <c r="AP30" s="18"/>
      <c r="AQ30" s="27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54"/>
      <c r="BE30" s="28"/>
      <c r="BF30" s="28"/>
      <c r="BG30" s="28"/>
      <c r="BH30" s="28"/>
      <c r="BI30" s="28"/>
      <c r="BJ30" s="30"/>
      <c r="BK30" s="18"/>
      <c r="BL30" s="4"/>
      <c r="BO30"/>
      <c r="BP30"/>
    </row>
    <row r="31" spans="1:80" ht="15" hidden="1" x14ac:dyDescent="0.2">
      <c r="A31" s="15">
        <f t="shared" si="24"/>
        <v>21</v>
      </c>
      <c r="B31" s="169" t="s">
        <v>684</v>
      </c>
      <c r="C31" s="168" t="s">
        <v>685</v>
      </c>
      <c r="D31" s="128" t="s">
        <v>45</v>
      </c>
      <c r="E31" s="128" t="str">
        <f t="shared" si="25"/>
        <v>60 días</v>
      </c>
      <c r="F31" s="156" t="s">
        <v>686</v>
      </c>
      <c r="G31" s="129" t="s">
        <v>687</v>
      </c>
      <c r="H31" s="129" t="s">
        <v>678</v>
      </c>
      <c r="I31" s="128" t="s">
        <v>744</v>
      </c>
      <c r="J31" s="130">
        <v>1</v>
      </c>
      <c r="K31" s="16">
        <v>203609</v>
      </c>
      <c r="L31" s="131">
        <f>+SUM(P31:AA31)</f>
        <v>11644</v>
      </c>
      <c r="M31" s="131">
        <f t="shared" si="26"/>
        <v>0</v>
      </c>
      <c r="N31" s="132">
        <f t="shared" si="27"/>
        <v>0</v>
      </c>
      <c r="O31" s="133">
        <f t="shared" si="28"/>
        <v>203609</v>
      </c>
      <c r="P31" s="134">
        <v>0</v>
      </c>
      <c r="Q31" s="136">
        <v>0</v>
      </c>
      <c r="R31" s="136">
        <v>0</v>
      </c>
      <c r="S31" s="136">
        <v>0</v>
      </c>
      <c r="T31" s="136">
        <v>0</v>
      </c>
      <c r="U31" s="136">
        <v>0</v>
      </c>
      <c r="V31" s="136">
        <v>0</v>
      </c>
      <c r="W31" s="136">
        <v>0</v>
      </c>
      <c r="X31" s="136">
        <v>0</v>
      </c>
      <c r="Y31" s="137">
        <v>0</v>
      </c>
      <c r="Z31" s="148">
        <v>0</v>
      </c>
      <c r="AA31" s="141">
        <v>11644</v>
      </c>
      <c r="AB31" s="150">
        <v>30506</v>
      </c>
      <c r="AC31" s="150">
        <v>48720</v>
      </c>
      <c r="AD31" s="139">
        <v>56369.5</v>
      </c>
      <c r="AE31" s="139">
        <v>56369.5</v>
      </c>
      <c r="AF31" s="139">
        <v>0</v>
      </c>
      <c r="AG31" s="139">
        <v>0</v>
      </c>
      <c r="AH31" s="139">
        <v>0</v>
      </c>
      <c r="AI31" s="139">
        <v>0</v>
      </c>
      <c r="AJ31" s="139">
        <v>0</v>
      </c>
      <c r="AK31" s="139">
        <v>0</v>
      </c>
      <c r="AL31" s="139">
        <v>0</v>
      </c>
      <c r="AM31" s="140">
        <v>0</v>
      </c>
      <c r="AN31"/>
      <c r="AO31" s="4"/>
      <c r="AP31" s="18"/>
      <c r="AQ31" s="27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54"/>
      <c r="BE31" s="28"/>
      <c r="BF31" s="28"/>
      <c r="BG31" s="28"/>
      <c r="BH31" s="28"/>
      <c r="BI31" s="28"/>
      <c r="BJ31" s="30"/>
      <c r="BK31" s="18"/>
      <c r="BL31" s="4"/>
      <c r="BN31"/>
      <c r="BO31"/>
      <c r="BP31"/>
    </row>
    <row r="32" spans="1:80" ht="15" hidden="1" x14ac:dyDescent="0.2">
      <c r="A32" s="15">
        <f t="shared" si="24"/>
        <v>21</v>
      </c>
      <c r="B32" s="169" t="s">
        <v>688</v>
      </c>
      <c r="C32" s="168" t="s">
        <v>689</v>
      </c>
      <c r="D32" s="128" t="s">
        <v>45</v>
      </c>
      <c r="E32" s="128" t="str">
        <f t="shared" si="25"/>
        <v>60 días</v>
      </c>
      <c r="F32" s="156" t="s">
        <v>690</v>
      </c>
      <c r="G32" s="129" t="s">
        <v>195</v>
      </c>
      <c r="H32" s="129" t="s">
        <v>678</v>
      </c>
      <c r="I32" s="128" t="s">
        <v>744</v>
      </c>
      <c r="J32" s="130">
        <v>1</v>
      </c>
      <c r="K32" s="16">
        <v>281787</v>
      </c>
      <c r="L32" s="131">
        <f>+SUM(P32:AA32)</f>
        <v>34067</v>
      </c>
      <c r="M32" s="131">
        <f t="shared" si="26"/>
        <v>0</v>
      </c>
      <c r="N32" s="132">
        <f t="shared" si="27"/>
        <v>0</v>
      </c>
      <c r="O32" s="133">
        <f t="shared" si="28"/>
        <v>281787</v>
      </c>
      <c r="P32" s="134">
        <v>0</v>
      </c>
      <c r="Q32" s="135">
        <v>0</v>
      </c>
      <c r="R32" s="135">
        <v>0</v>
      </c>
      <c r="S32" s="135">
        <v>0</v>
      </c>
      <c r="T32" s="135">
        <v>0</v>
      </c>
      <c r="U32" s="136">
        <v>0</v>
      </c>
      <c r="V32" s="136">
        <v>0</v>
      </c>
      <c r="W32" s="136">
        <v>0</v>
      </c>
      <c r="X32" s="136">
        <v>0</v>
      </c>
      <c r="Y32" s="137">
        <v>0</v>
      </c>
      <c r="Z32" s="148">
        <v>0</v>
      </c>
      <c r="AA32" s="141">
        <v>34067</v>
      </c>
      <c r="AB32" s="150">
        <v>39226</v>
      </c>
      <c r="AC32" s="150">
        <v>92851</v>
      </c>
      <c r="AD32" s="139">
        <v>38547.666666666664</v>
      </c>
      <c r="AE32" s="139">
        <v>38547.666666666664</v>
      </c>
      <c r="AF32" s="139">
        <v>38547.666666666664</v>
      </c>
      <c r="AG32" s="139">
        <v>0</v>
      </c>
      <c r="AH32" s="139">
        <v>0</v>
      </c>
      <c r="AI32" s="139">
        <v>0</v>
      </c>
      <c r="AJ32" s="139">
        <v>0</v>
      </c>
      <c r="AK32" s="139">
        <v>0</v>
      </c>
      <c r="AL32" s="139">
        <v>0</v>
      </c>
      <c r="AM32" s="140">
        <v>0</v>
      </c>
      <c r="AO32" s="4"/>
      <c r="AP32" s="18"/>
      <c r="AQ32" s="27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54"/>
      <c r="BE32" s="28"/>
      <c r="BF32" s="28"/>
      <c r="BG32" s="28"/>
      <c r="BH32" s="28"/>
      <c r="BI32" s="28"/>
      <c r="BJ32" s="30"/>
      <c r="BK32" s="18"/>
      <c r="BL32" s="4"/>
      <c r="BM32"/>
      <c r="BO32"/>
      <c r="BP32"/>
    </row>
    <row r="33" spans="1:68" ht="15" hidden="1" x14ac:dyDescent="0.2">
      <c r="A33" s="15">
        <f t="shared" si="24"/>
        <v>21</v>
      </c>
      <c r="B33" s="169" t="s">
        <v>691</v>
      </c>
      <c r="C33" s="168" t="s">
        <v>692</v>
      </c>
      <c r="D33" s="128" t="s">
        <v>43</v>
      </c>
      <c r="E33" s="128" t="str">
        <f t="shared" si="25"/>
        <v>30 días</v>
      </c>
      <c r="F33" s="156" t="s">
        <v>693</v>
      </c>
      <c r="G33" s="129" t="s">
        <v>168</v>
      </c>
      <c r="H33" s="129" t="s">
        <v>678</v>
      </c>
      <c r="I33" s="128" t="s">
        <v>744</v>
      </c>
      <c r="J33" s="130">
        <v>1</v>
      </c>
      <c r="K33" s="16">
        <v>427230</v>
      </c>
      <c r="L33" s="131">
        <f>+SUM(P33:AA33)</f>
        <v>195747</v>
      </c>
      <c r="M33" s="131">
        <f t="shared" si="26"/>
        <v>135436</v>
      </c>
      <c r="N33" s="132">
        <f t="shared" si="27"/>
        <v>0.31700957329775531</v>
      </c>
      <c r="O33" s="133">
        <f t="shared" si="28"/>
        <v>291794</v>
      </c>
      <c r="P33" s="134">
        <v>0</v>
      </c>
      <c r="Q33" s="135">
        <v>0</v>
      </c>
      <c r="R33" s="135">
        <v>0</v>
      </c>
      <c r="S33" s="135">
        <v>0</v>
      </c>
      <c r="T33" s="135">
        <v>0</v>
      </c>
      <c r="U33" s="136">
        <v>0</v>
      </c>
      <c r="V33" s="136">
        <v>0</v>
      </c>
      <c r="W33" s="136">
        <v>0</v>
      </c>
      <c r="X33" s="136">
        <v>0</v>
      </c>
      <c r="Y33" s="137">
        <v>30338</v>
      </c>
      <c r="Z33" s="137">
        <v>105098</v>
      </c>
      <c r="AA33" s="141">
        <v>60311</v>
      </c>
      <c r="AB33" s="153">
        <v>105098</v>
      </c>
      <c r="AC33" s="153">
        <v>81598</v>
      </c>
      <c r="AD33" s="139">
        <v>0</v>
      </c>
      <c r="AE33" s="139">
        <v>0</v>
      </c>
      <c r="AF33" s="139">
        <v>0</v>
      </c>
      <c r="AG33" s="139">
        <v>0</v>
      </c>
      <c r="AH33" s="139">
        <v>0</v>
      </c>
      <c r="AI33" s="139">
        <v>0</v>
      </c>
      <c r="AJ33" s="139">
        <v>0</v>
      </c>
      <c r="AK33" s="139">
        <v>0</v>
      </c>
      <c r="AL33" s="139">
        <v>0</v>
      </c>
      <c r="AM33" s="140">
        <v>0</v>
      </c>
      <c r="AO33" s="4"/>
      <c r="AP33" s="18"/>
      <c r="AQ33" s="27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30"/>
      <c r="BK33" s="18"/>
      <c r="BL33" s="4"/>
      <c r="BO33"/>
      <c r="BP33"/>
    </row>
    <row r="34" spans="1:68" ht="15" hidden="1" x14ac:dyDescent="0.2">
      <c r="A34" s="15">
        <f t="shared" si="24"/>
        <v>21</v>
      </c>
      <c r="B34" s="169" t="s">
        <v>694</v>
      </c>
      <c r="C34" s="168" t="s">
        <v>695</v>
      </c>
      <c r="D34" s="128" t="s">
        <v>43</v>
      </c>
      <c r="E34" s="128" t="str">
        <f t="shared" si="25"/>
        <v>30 días</v>
      </c>
      <c r="F34" s="156" t="s">
        <v>696</v>
      </c>
      <c r="G34" s="129" t="s">
        <v>249</v>
      </c>
      <c r="H34" s="129" t="s">
        <v>678</v>
      </c>
      <c r="I34" s="128" t="s">
        <v>744</v>
      </c>
      <c r="J34" s="130">
        <v>1</v>
      </c>
      <c r="K34" s="16">
        <v>75000</v>
      </c>
      <c r="L34" s="131">
        <f>+SUM(P34:AB34)</f>
        <v>30000</v>
      </c>
      <c r="M34" s="131">
        <f t="shared" si="26"/>
        <v>0</v>
      </c>
      <c r="N34" s="132">
        <f t="shared" si="27"/>
        <v>0</v>
      </c>
      <c r="O34" s="133">
        <f t="shared" si="28"/>
        <v>75000</v>
      </c>
      <c r="P34" s="134">
        <v>0</v>
      </c>
      <c r="Q34" s="135">
        <v>0</v>
      </c>
      <c r="R34" s="135">
        <v>0</v>
      </c>
      <c r="S34" s="135">
        <v>0</v>
      </c>
      <c r="T34" s="135">
        <v>0</v>
      </c>
      <c r="U34" s="136">
        <v>0</v>
      </c>
      <c r="V34" s="136">
        <v>0</v>
      </c>
      <c r="W34" s="136">
        <v>0</v>
      </c>
      <c r="X34" s="136">
        <v>0</v>
      </c>
      <c r="Y34" s="137">
        <v>0</v>
      </c>
      <c r="Z34" s="137">
        <v>0</v>
      </c>
      <c r="AA34" s="154">
        <v>0</v>
      </c>
      <c r="AB34" s="139">
        <v>30000</v>
      </c>
      <c r="AC34" s="139">
        <v>50000</v>
      </c>
      <c r="AD34" s="139">
        <v>40000</v>
      </c>
      <c r="AE34" s="139">
        <v>0</v>
      </c>
      <c r="AF34" s="139">
        <v>0</v>
      </c>
      <c r="AG34" s="139">
        <v>0</v>
      </c>
      <c r="AH34" s="139">
        <v>0</v>
      </c>
      <c r="AI34" s="139">
        <v>0</v>
      </c>
      <c r="AJ34" s="139">
        <v>0</v>
      </c>
      <c r="AK34" s="139">
        <v>0</v>
      </c>
      <c r="AL34" s="139">
        <v>0</v>
      </c>
      <c r="AM34" s="140">
        <v>0</v>
      </c>
      <c r="AO34" s="4"/>
      <c r="AP34" s="18"/>
      <c r="AQ34" s="27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30"/>
      <c r="BK34" s="18"/>
      <c r="BL34" s="4"/>
      <c r="BO34"/>
      <c r="BP34"/>
    </row>
    <row r="35" spans="1:68" ht="15" hidden="1" x14ac:dyDescent="0.2">
      <c r="A35" s="15">
        <f t="shared" si="24"/>
        <v>21</v>
      </c>
      <c r="B35" s="169" t="s">
        <v>806</v>
      </c>
      <c r="C35" s="168" t="s">
        <v>807</v>
      </c>
      <c r="D35" s="128" t="s">
        <v>43</v>
      </c>
      <c r="E35" s="128" t="str">
        <f t="shared" si="25"/>
        <v>30 días</v>
      </c>
      <c r="F35" s="156" t="s">
        <v>808</v>
      </c>
      <c r="G35" s="129" t="s">
        <v>249</v>
      </c>
      <c r="H35" s="129" t="s">
        <v>678</v>
      </c>
      <c r="I35" s="128" t="s">
        <v>744</v>
      </c>
      <c r="J35" s="130">
        <v>1</v>
      </c>
      <c r="K35" s="16">
        <v>93503</v>
      </c>
      <c r="L35" s="131">
        <f>+SUM(P35:AB35)</f>
        <v>80851</v>
      </c>
      <c r="M35" s="131">
        <f t="shared" si="26"/>
        <v>0</v>
      </c>
      <c r="N35" s="132">
        <f t="shared" si="27"/>
        <v>0</v>
      </c>
      <c r="O35" s="133">
        <f t="shared" si="28"/>
        <v>93503</v>
      </c>
      <c r="P35" s="134">
        <v>0</v>
      </c>
      <c r="Q35" s="136">
        <v>0</v>
      </c>
      <c r="R35" s="136">
        <v>0</v>
      </c>
      <c r="S35" s="136">
        <v>0</v>
      </c>
      <c r="T35" s="136">
        <v>0</v>
      </c>
      <c r="U35" s="136">
        <v>0</v>
      </c>
      <c r="V35" s="136">
        <v>0</v>
      </c>
      <c r="W35" s="136">
        <v>0</v>
      </c>
      <c r="X35" s="136">
        <v>0</v>
      </c>
      <c r="Y35" s="137">
        <v>0</v>
      </c>
      <c r="Z35" s="137">
        <v>0</v>
      </c>
      <c r="AA35" s="147">
        <v>61712</v>
      </c>
      <c r="AB35" s="150">
        <v>19139</v>
      </c>
      <c r="AC35" s="139">
        <v>0</v>
      </c>
      <c r="AD35" s="139">
        <v>0</v>
      </c>
      <c r="AE35" s="139">
        <v>0</v>
      </c>
      <c r="AF35" s="139">
        <v>0</v>
      </c>
      <c r="AG35" s="139">
        <v>0</v>
      </c>
      <c r="AH35" s="139">
        <v>0</v>
      </c>
      <c r="AI35" s="139">
        <v>0</v>
      </c>
      <c r="AJ35" s="139">
        <v>0</v>
      </c>
      <c r="AK35" s="139">
        <v>0</v>
      </c>
      <c r="AL35" s="139">
        <v>0</v>
      </c>
      <c r="AM35" s="140">
        <v>0</v>
      </c>
      <c r="AO35" s="4"/>
      <c r="AP35" s="18"/>
      <c r="AQ35" s="27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30"/>
      <c r="BK35" s="18"/>
      <c r="BL35" s="4"/>
      <c r="BO35"/>
      <c r="BP35"/>
    </row>
    <row r="36" spans="1:68" hidden="1" x14ac:dyDescent="0.2">
      <c r="A36" s="15">
        <f t="shared" si="24"/>
        <v>21</v>
      </c>
      <c r="B36" s="169" t="s">
        <v>809</v>
      </c>
      <c r="C36" s="168" t="s">
        <v>810</v>
      </c>
      <c r="D36" s="128" t="s">
        <v>43</v>
      </c>
      <c r="E36" s="128" t="str">
        <f t="shared" si="25"/>
        <v>30 días</v>
      </c>
      <c r="F36" s="156" t="s">
        <v>811</v>
      </c>
      <c r="G36" s="129" t="s">
        <v>249</v>
      </c>
      <c r="H36" s="129" t="s">
        <v>678</v>
      </c>
      <c r="I36" s="128" t="s">
        <v>744</v>
      </c>
      <c r="J36" s="130">
        <v>1</v>
      </c>
      <c r="K36" s="16">
        <v>87154</v>
      </c>
      <c r="L36" s="131">
        <f>+SUM(P36:AB36)</f>
        <v>72788</v>
      </c>
      <c r="M36" s="131">
        <f t="shared" si="26"/>
        <v>0</v>
      </c>
      <c r="N36" s="132">
        <f t="shared" si="27"/>
        <v>0</v>
      </c>
      <c r="O36" s="133">
        <f t="shared" si="28"/>
        <v>87154</v>
      </c>
      <c r="P36" s="134">
        <v>0</v>
      </c>
      <c r="Q36" s="136">
        <v>0</v>
      </c>
      <c r="R36" s="136">
        <v>0</v>
      </c>
      <c r="S36" s="136">
        <v>0</v>
      </c>
      <c r="T36" s="136">
        <v>0</v>
      </c>
      <c r="U36" s="136">
        <v>0</v>
      </c>
      <c r="V36" s="136">
        <v>0</v>
      </c>
      <c r="W36" s="136">
        <v>0</v>
      </c>
      <c r="X36" s="136">
        <v>0</v>
      </c>
      <c r="Y36" s="137">
        <v>0</v>
      </c>
      <c r="Z36" s="137">
        <v>0</v>
      </c>
      <c r="AA36" s="147">
        <v>55586</v>
      </c>
      <c r="AB36" s="150">
        <v>17202</v>
      </c>
      <c r="AC36" s="139">
        <v>0</v>
      </c>
      <c r="AD36" s="139">
        <v>0</v>
      </c>
      <c r="AE36" s="139">
        <v>0</v>
      </c>
      <c r="AF36" s="139">
        <v>0</v>
      </c>
      <c r="AG36" s="139">
        <v>0</v>
      </c>
      <c r="AH36" s="139">
        <v>0</v>
      </c>
      <c r="AI36" s="139">
        <v>0</v>
      </c>
      <c r="AJ36" s="139">
        <v>0</v>
      </c>
      <c r="AK36" s="139">
        <v>0</v>
      </c>
      <c r="AL36" s="139">
        <v>0</v>
      </c>
      <c r="AM36" s="140">
        <v>0</v>
      </c>
      <c r="AO36" s="4"/>
      <c r="AP36" s="18"/>
      <c r="AQ36" s="27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30"/>
      <c r="BK36" s="18"/>
      <c r="BL36" s="4"/>
    </row>
    <row r="37" spans="1:68" hidden="1" x14ac:dyDescent="0.2">
      <c r="A37" s="15">
        <f t="shared" si="24"/>
        <v>21</v>
      </c>
      <c r="B37" s="169" t="s">
        <v>812</v>
      </c>
      <c r="C37" s="168" t="s">
        <v>813</v>
      </c>
      <c r="D37" s="128" t="s">
        <v>43</v>
      </c>
      <c r="E37" s="128" t="str">
        <f t="shared" si="25"/>
        <v>30 días</v>
      </c>
      <c r="F37" s="156" t="s">
        <v>813</v>
      </c>
      <c r="G37" s="129" t="s">
        <v>143</v>
      </c>
      <c r="H37" s="129" t="s">
        <v>678</v>
      </c>
      <c r="I37" s="128" t="s">
        <v>744</v>
      </c>
      <c r="J37" s="130">
        <v>1</v>
      </c>
      <c r="K37" s="16">
        <v>545327</v>
      </c>
      <c r="L37" s="131">
        <f>+SUM(P37:AA37)</f>
        <v>538575</v>
      </c>
      <c r="M37" s="131">
        <f t="shared" si="26"/>
        <v>538575</v>
      </c>
      <c r="N37" s="132">
        <f t="shared" si="27"/>
        <v>0.98761843811144501</v>
      </c>
      <c r="O37" s="133">
        <f t="shared" si="28"/>
        <v>6752</v>
      </c>
      <c r="P37" s="134">
        <v>0</v>
      </c>
      <c r="Q37" s="135">
        <v>85502</v>
      </c>
      <c r="R37" s="135">
        <v>91931</v>
      </c>
      <c r="S37" s="135">
        <v>74275</v>
      </c>
      <c r="T37" s="135">
        <v>56675</v>
      </c>
      <c r="U37" s="136">
        <v>90591</v>
      </c>
      <c r="V37" s="136">
        <v>23442</v>
      </c>
      <c r="W37" s="136">
        <v>0</v>
      </c>
      <c r="X37" s="136">
        <v>42004</v>
      </c>
      <c r="Y37" s="137">
        <v>39414</v>
      </c>
      <c r="Z37" s="137">
        <v>34741</v>
      </c>
      <c r="AA37" s="141">
        <v>0</v>
      </c>
      <c r="AB37" s="153">
        <v>78129</v>
      </c>
      <c r="AC37" s="153">
        <v>0</v>
      </c>
      <c r="AD37" s="153">
        <v>0</v>
      </c>
      <c r="AE37" s="139">
        <v>0</v>
      </c>
      <c r="AF37" s="139">
        <v>0</v>
      </c>
      <c r="AG37" s="139">
        <v>0</v>
      </c>
      <c r="AH37" s="139">
        <v>0</v>
      </c>
      <c r="AI37" s="139">
        <v>0</v>
      </c>
      <c r="AJ37" s="139">
        <v>0</v>
      </c>
      <c r="AK37" s="139">
        <v>0</v>
      </c>
      <c r="AL37" s="139">
        <v>0</v>
      </c>
      <c r="AM37" s="140">
        <v>0</v>
      </c>
      <c r="AO37" s="4"/>
      <c r="AP37" s="18"/>
      <c r="AQ37" s="27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30"/>
      <c r="BK37" s="18"/>
      <c r="BL37" s="4"/>
    </row>
    <row r="38" spans="1:68" hidden="1" x14ac:dyDescent="0.2">
      <c r="A38" s="15">
        <f t="shared" si="24"/>
        <v>21</v>
      </c>
      <c r="B38" s="170" t="s">
        <v>814</v>
      </c>
      <c r="C38" s="168" t="s">
        <v>813</v>
      </c>
      <c r="D38" s="155" t="s">
        <v>43</v>
      </c>
      <c r="E38" s="128" t="str">
        <f t="shared" si="25"/>
        <v>30 días</v>
      </c>
      <c r="F38" s="156" t="s">
        <v>815</v>
      </c>
      <c r="G38" s="156" t="s">
        <v>143</v>
      </c>
      <c r="H38" s="156" t="s">
        <v>678</v>
      </c>
      <c r="I38" s="128" t="s">
        <v>744</v>
      </c>
      <c r="J38" s="130">
        <v>1</v>
      </c>
      <c r="K38" s="16">
        <v>0</v>
      </c>
      <c r="L38" s="131">
        <f>+SUM(P38:AA38)</f>
        <v>0</v>
      </c>
      <c r="M38" s="131">
        <f t="shared" si="26"/>
        <v>0</v>
      </c>
      <c r="N38" s="132">
        <f t="shared" si="27"/>
        <v>0</v>
      </c>
      <c r="O38" s="133">
        <f t="shared" si="28"/>
        <v>0</v>
      </c>
      <c r="P38" s="134">
        <v>0</v>
      </c>
      <c r="Q38" s="135">
        <v>0</v>
      </c>
      <c r="R38" s="135">
        <v>0</v>
      </c>
      <c r="S38" s="135">
        <v>0</v>
      </c>
      <c r="T38" s="135">
        <v>0</v>
      </c>
      <c r="U38" s="136">
        <v>0</v>
      </c>
      <c r="V38" s="136">
        <v>0</v>
      </c>
      <c r="W38" s="136">
        <v>0</v>
      </c>
      <c r="X38" s="136">
        <v>0</v>
      </c>
      <c r="Y38" s="137">
        <v>0</v>
      </c>
      <c r="Z38" s="137">
        <v>0</v>
      </c>
      <c r="AA38" s="138">
        <v>0</v>
      </c>
      <c r="AB38" s="153">
        <v>0</v>
      </c>
      <c r="AC38" s="139">
        <v>0</v>
      </c>
      <c r="AD38" s="139">
        <v>0</v>
      </c>
      <c r="AE38" s="139">
        <v>0</v>
      </c>
      <c r="AF38" s="139">
        <v>0</v>
      </c>
      <c r="AG38" s="139">
        <v>0</v>
      </c>
      <c r="AH38" s="139">
        <v>0</v>
      </c>
      <c r="AI38" s="139">
        <v>0</v>
      </c>
      <c r="AJ38" s="139">
        <v>0</v>
      </c>
      <c r="AK38" s="139">
        <v>0</v>
      </c>
      <c r="AL38" s="139">
        <v>0</v>
      </c>
      <c r="AM38" s="140">
        <v>0</v>
      </c>
      <c r="AO38" s="4"/>
      <c r="AP38" s="18"/>
      <c r="AQ38" s="27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30"/>
      <c r="BK38" s="18"/>
      <c r="BL38" s="4"/>
    </row>
    <row r="39" spans="1:68" hidden="1" x14ac:dyDescent="0.2">
      <c r="A39" s="15">
        <f t="shared" si="24"/>
        <v>21</v>
      </c>
      <c r="B39" s="169" t="s">
        <v>697</v>
      </c>
      <c r="C39" s="168" t="s">
        <v>698</v>
      </c>
      <c r="D39" s="128" t="s">
        <v>43</v>
      </c>
      <c r="E39" s="128" t="str">
        <f t="shared" si="25"/>
        <v>30 días</v>
      </c>
      <c r="F39" s="156" t="s">
        <v>699</v>
      </c>
      <c r="G39" s="129" t="s">
        <v>700</v>
      </c>
      <c r="H39" s="129" t="s">
        <v>678</v>
      </c>
      <c r="I39" s="128" t="s">
        <v>965</v>
      </c>
      <c r="J39" s="130">
        <v>1</v>
      </c>
      <c r="K39" s="16">
        <v>114390</v>
      </c>
      <c r="L39" s="131">
        <f>+SUM(P39:AB39)</f>
        <v>19065</v>
      </c>
      <c r="M39" s="131">
        <f t="shared" si="26"/>
        <v>0</v>
      </c>
      <c r="N39" s="132">
        <f t="shared" si="27"/>
        <v>0</v>
      </c>
      <c r="O39" s="133">
        <f t="shared" si="28"/>
        <v>114390</v>
      </c>
      <c r="P39" s="134">
        <v>0</v>
      </c>
      <c r="Q39" s="135">
        <v>0</v>
      </c>
      <c r="R39" s="135">
        <v>0</v>
      </c>
      <c r="S39" s="135">
        <v>0</v>
      </c>
      <c r="T39" s="135">
        <v>0</v>
      </c>
      <c r="U39" s="136">
        <v>0</v>
      </c>
      <c r="V39" s="136">
        <v>0</v>
      </c>
      <c r="W39" s="136">
        <v>0</v>
      </c>
      <c r="X39" s="136">
        <v>0</v>
      </c>
      <c r="Y39" s="137">
        <v>0</v>
      </c>
      <c r="Z39" s="137">
        <v>0</v>
      </c>
      <c r="AA39" s="154">
        <v>0</v>
      </c>
      <c r="AB39" s="139">
        <v>19065</v>
      </c>
      <c r="AC39" s="139">
        <v>19065</v>
      </c>
      <c r="AD39" s="139">
        <v>19065</v>
      </c>
      <c r="AE39" s="139">
        <v>19065</v>
      </c>
      <c r="AF39" s="139">
        <v>19065</v>
      </c>
      <c r="AG39" s="139">
        <v>19065</v>
      </c>
      <c r="AH39" s="139">
        <v>0</v>
      </c>
      <c r="AI39" s="139">
        <v>0</v>
      </c>
      <c r="AJ39" s="139">
        <v>0</v>
      </c>
      <c r="AK39" s="139">
        <v>0</v>
      </c>
      <c r="AL39" s="139">
        <v>0</v>
      </c>
      <c r="AM39" s="140">
        <v>0</v>
      </c>
      <c r="AO39" s="4"/>
      <c r="AP39" s="18"/>
      <c r="AQ39" s="27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30"/>
      <c r="BK39" s="18"/>
      <c r="BL39" s="4"/>
    </row>
    <row r="40" spans="1:68" x14ac:dyDescent="0.2">
      <c r="A40" s="15">
        <f t="shared" si="24"/>
        <v>21</v>
      </c>
      <c r="B40" s="169" t="s">
        <v>701</v>
      </c>
      <c r="C40" s="168" t="s">
        <v>702</v>
      </c>
      <c r="D40" s="128" t="s">
        <v>46</v>
      </c>
      <c r="E40" s="128" t="str">
        <f t="shared" si="25"/>
        <v>30 días</v>
      </c>
      <c r="F40" s="156" t="s">
        <v>703</v>
      </c>
      <c r="G40" s="129" t="s">
        <v>308</v>
      </c>
      <c r="H40" s="129" t="s">
        <v>678</v>
      </c>
      <c r="I40" s="128" t="s">
        <v>744</v>
      </c>
      <c r="J40" s="130">
        <v>1</v>
      </c>
      <c r="K40" s="16">
        <v>47960</v>
      </c>
      <c r="L40" s="131">
        <f>+SUM(P40:AA40)</f>
        <v>0</v>
      </c>
      <c r="M40" s="131">
        <f t="shared" si="26"/>
        <v>0</v>
      </c>
      <c r="N40" s="132">
        <f t="shared" si="27"/>
        <v>0</v>
      </c>
      <c r="O40" s="133">
        <f t="shared" si="28"/>
        <v>47960</v>
      </c>
      <c r="P40" s="134">
        <v>0</v>
      </c>
      <c r="Q40" s="136">
        <v>0</v>
      </c>
      <c r="R40" s="136">
        <v>0</v>
      </c>
      <c r="S40" s="136">
        <v>0</v>
      </c>
      <c r="T40" s="136">
        <v>0</v>
      </c>
      <c r="U40" s="136">
        <v>0</v>
      </c>
      <c r="V40" s="136">
        <v>0</v>
      </c>
      <c r="W40" s="136">
        <v>0</v>
      </c>
      <c r="X40" s="136">
        <v>0</v>
      </c>
      <c r="Y40" s="137">
        <v>0</v>
      </c>
      <c r="Z40" s="137">
        <v>0</v>
      </c>
      <c r="AA40" s="147">
        <v>0</v>
      </c>
      <c r="AB40" s="139">
        <v>11510</v>
      </c>
      <c r="AC40" s="139">
        <v>31174</v>
      </c>
      <c r="AD40" s="139">
        <v>5276</v>
      </c>
      <c r="AE40" s="139">
        <v>0</v>
      </c>
      <c r="AF40" s="139">
        <v>0</v>
      </c>
      <c r="AG40" s="139">
        <v>0</v>
      </c>
      <c r="AH40" s="139">
        <v>0</v>
      </c>
      <c r="AI40" s="139">
        <v>0</v>
      </c>
      <c r="AJ40" s="139">
        <v>0</v>
      </c>
      <c r="AK40" s="139">
        <v>0</v>
      </c>
      <c r="AL40" s="139">
        <v>0</v>
      </c>
      <c r="AM40" s="140">
        <v>0</v>
      </c>
      <c r="AO40" s="4"/>
      <c r="AP40" s="18"/>
      <c r="AQ40" s="27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30"/>
      <c r="BK40" s="18"/>
      <c r="BL40" s="4"/>
    </row>
    <row r="41" spans="1:68" x14ac:dyDescent="0.2">
      <c r="A41" s="15">
        <f t="shared" si="24"/>
        <v>21</v>
      </c>
      <c r="B41" s="169" t="s">
        <v>816</v>
      </c>
      <c r="C41" s="168" t="s">
        <v>817</v>
      </c>
      <c r="D41" s="128" t="s">
        <v>46</v>
      </c>
      <c r="E41" s="128" t="str">
        <f t="shared" si="25"/>
        <v>30 días</v>
      </c>
      <c r="F41" s="156" t="s">
        <v>818</v>
      </c>
      <c r="G41" s="129" t="s">
        <v>175</v>
      </c>
      <c r="H41" s="129" t="s">
        <v>678</v>
      </c>
      <c r="I41" s="128" t="s">
        <v>744</v>
      </c>
      <c r="J41" s="130">
        <v>1</v>
      </c>
      <c r="K41" s="16">
        <v>65088</v>
      </c>
      <c r="L41" s="131">
        <f>+SUM(P41:AA41)</f>
        <v>0</v>
      </c>
      <c r="M41" s="131">
        <f t="shared" si="26"/>
        <v>0</v>
      </c>
      <c r="N41" s="132">
        <f t="shared" si="27"/>
        <v>0</v>
      </c>
      <c r="O41" s="133">
        <f t="shared" si="28"/>
        <v>65088</v>
      </c>
      <c r="P41" s="134">
        <v>0</v>
      </c>
      <c r="Q41" s="135">
        <v>0</v>
      </c>
      <c r="R41" s="135">
        <v>0</v>
      </c>
      <c r="S41" s="135">
        <v>0</v>
      </c>
      <c r="T41" s="135">
        <v>0</v>
      </c>
      <c r="U41" s="136">
        <v>0</v>
      </c>
      <c r="V41" s="136">
        <v>0</v>
      </c>
      <c r="W41" s="136">
        <v>0</v>
      </c>
      <c r="X41" s="136">
        <v>0</v>
      </c>
      <c r="Y41" s="137">
        <v>0</v>
      </c>
      <c r="Z41" s="148">
        <v>0</v>
      </c>
      <c r="AA41" s="147">
        <v>0</v>
      </c>
      <c r="AB41" s="153">
        <v>65088</v>
      </c>
      <c r="AC41" s="139">
        <v>0</v>
      </c>
      <c r="AD41" s="139">
        <v>0</v>
      </c>
      <c r="AE41" s="139">
        <v>0</v>
      </c>
      <c r="AF41" s="139">
        <v>0</v>
      </c>
      <c r="AG41" s="139">
        <v>0</v>
      </c>
      <c r="AH41" s="139">
        <v>0</v>
      </c>
      <c r="AI41" s="139">
        <v>0</v>
      </c>
      <c r="AJ41" s="139">
        <v>0</v>
      </c>
      <c r="AK41" s="139">
        <v>0</v>
      </c>
      <c r="AL41" s="139">
        <v>0</v>
      </c>
      <c r="AM41" s="140">
        <v>0</v>
      </c>
      <c r="AO41" s="4"/>
      <c r="AP41" s="18"/>
      <c r="AQ41" s="27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30"/>
      <c r="BK41" s="18"/>
      <c r="BL41" s="4"/>
    </row>
    <row r="42" spans="1:68" hidden="1" x14ac:dyDescent="0.2">
      <c r="A42" s="15">
        <f t="shared" si="24"/>
        <v>21</v>
      </c>
      <c r="B42" s="169" t="s">
        <v>704</v>
      </c>
      <c r="C42" s="168" t="s">
        <v>705</v>
      </c>
      <c r="D42" s="128" t="s">
        <v>43</v>
      </c>
      <c r="E42" s="128" t="str">
        <f t="shared" si="25"/>
        <v>30 días</v>
      </c>
      <c r="F42" s="156" t="s">
        <v>706</v>
      </c>
      <c r="G42" s="129" t="s">
        <v>249</v>
      </c>
      <c r="H42" s="129" t="s">
        <v>678</v>
      </c>
      <c r="I42" s="128" t="s">
        <v>744</v>
      </c>
      <c r="J42" s="130">
        <v>1</v>
      </c>
      <c r="K42" s="16">
        <v>77950</v>
      </c>
      <c r="L42" s="131">
        <f>+SUM(P42:AA42)</f>
        <v>0</v>
      </c>
      <c r="M42" s="131">
        <f t="shared" si="26"/>
        <v>0</v>
      </c>
      <c r="N42" s="132">
        <f t="shared" si="27"/>
        <v>0</v>
      </c>
      <c r="O42" s="133">
        <f t="shared" si="28"/>
        <v>77950</v>
      </c>
      <c r="P42" s="134">
        <v>0</v>
      </c>
      <c r="Q42" s="136">
        <v>0</v>
      </c>
      <c r="R42" s="136">
        <v>0</v>
      </c>
      <c r="S42" s="136">
        <v>0</v>
      </c>
      <c r="T42" s="136">
        <v>0</v>
      </c>
      <c r="U42" s="136">
        <v>0</v>
      </c>
      <c r="V42" s="136">
        <v>0</v>
      </c>
      <c r="W42" s="136">
        <v>0</v>
      </c>
      <c r="X42" s="136">
        <v>0</v>
      </c>
      <c r="Y42" s="137">
        <v>0</v>
      </c>
      <c r="Z42" s="137">
        <v>0</v>
      </c>
      <c r="AA42" s="154">
        <v>0</v>
      </c>
      <c r="AB42" s="139">
        <f>+K42/4</f>
        <v>19487.5</v>
      </c>
      <c r="AC42" s="139">
        <f t="shared" ref="AC42:AE43" si="29">+AB42</f>
        <v>19487.5</v>
      </c>
      <c r="AD42" s="139">
        <f t="shared" si="29"/>
        <v>19487.5</v>
      </c>
      <c r="AE42" s="139">
        <f t="shared" si="29"/>
        <v>19487.5</v>
      </c>
      <c r="AF42" s="139">
        <v>0</v>
      </c>
      <c r="AG42" s="139">
        <v>0</v>
      </c>
      <c r="AH42" s="139">
        <v>0</v>
      </c>
      <c r="AI42" s="139">
        <v>0</v>
      </c>
      <c r="AJ42" s="139">
        <v>0</v>
      </c>
      <c r="AK42" s="139">
        <v>0</v>
      </c>
      <c r="AL42" s="139">
        <v>0</v>
      </c>
      <c r="AM42" s="140">
        <v>0</v>
      </c>
      <c r="AO42" s="4"/>
      <c r="AP42" s="18"/>
      <c r="AQ42" s="27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30"/>
      <c r="BK42" s="18"/>
      <c r="BL42" s="4"/>
    </row>
    <row r="43" spans="1:68" hidden="1" x14ac:dyDescent="0.2">
      <c r="A43" s="15">
        <f t="shared" si="24"/>
        <v>21</v>
      </c>
      <c r="B43" s="169" t="s">
        <v>707</v>
      </c>
      <c r="C43" s="168" t="s">
        <v>708</v>
      </c>
      <c r="D43" s="128" t="s">
        <v>43</v>
      </c>
      <c r="E43" s="128" t="str">
        <f t="shared" si="25"/>
        <v>30 días</v>
      </c>
      <c r="F43" s="156" t="s">
        <v>709</v>
      </c>
      <c r="G43" s="129" t="s">
        <v>143</v>
      </c>
      <c r="H43" s="129" t="s">
        <v>678</v>
      </c>
      <c r="I43" s="128" t="s">
        <v>744</v>
      </c>
      <c r="J43" s="130">
        <v>1</v>
      </c>
      <c r="K43" s="16">
        <v>250000</v>
      </c>
      <c r="L43" s="131">
        <f>+SUM(P43:AA43)</f>
        <v>0</v>
      </c>
      <c r="M43" s="131">
        <f t="shared" si="26"/>
        <v>0</v>
      </c>
      <c r="N43" s="132">
        <f t="shared" si="27"/>
        <v>0</v>
      </c>
      <c r="O43" s="133">
        <f t="shared" si="28"/>
        <v>250000</v>
      </c>
      <c r="P43" s="134">
        <v>0</v>
      </c>
      <c r="Q43" s="135">
        <v>0</v>
      </c>
      <c r="R43" s="135">
        <v>0</v>
      </c>
      <c r="S43" s="135">
        <v>0</v>
      </c>
      <c r="T43" s="135">
        <v>0</v>
      </c>
      <c r="U43" s="136">
        <v>0</v>
      </c>
      <c r="V43" s="136">
        <v>0</v>
      </c>
      <c r="W43" s="136">
        <v>0</v>
      </c>
      <c r="X43" s="136">
        <v>0</v>
      </c>
      <c r="Y43" s="137">
        <v>0</v>
      </c>
      <c r="Z43" s="137">
        <v>0</v>
      </c>
      <c r="AA43" s="154">
        <v>0</v>
      </c>
      <c r="AB43" s="139">
        <f>+K43/5</f>
        <v>50000</v>
      </c>
      <c r="AC43" s="139">
        <f t="shared" si="29"/>
        <v>50000</v>
      </c>
      <c r="AD43" s="139">
        <f t="shared" si="29"/>
        <v>50000</v>
      </c>
      <c r="AE43" s="139">
        <f t="shared" si="29"/>
        <v>50000</v>
      </c>
      <c r="AF43" s="139">
        <f>+AE43</f>
        <v>50000</v>
      </c>
      <c r="AG43" s="139">
        <v>0</v>
      </c>
      <c r="AH43" s="139">
        <v>0</v>
      </c>
      <c r="AI43" s="139">
        <v>0</v>
      </c>
      <c r="AJ43" s="139">
        <v>0</v>
      </c>
      <c r="AK43" s="139">
        <v>0</v>
      </c>
      <c r="AL43" s="139">
        <v>0</v>
      </c>
      <c r="AM43" s="140">
        <v>0</v>
      </c>
      <c r="AO43" s="4"/>
      <c r="AP43" s="18"/>
      <c r="AQ43" s="27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30"/>
      <c r="BK43" s="18"/>
      <c r="BL43" s="4"/>
    </row>
    <row r="44" spans="1:68" hidden="1" x14ac:dyDescent="0.2">
      <c r="A44" s="15">
        <f t="shared" si="24"/>
        <v>21</v>
      </c>
      <c r="B44" s="169" t="s">
        <v>710</v>
      </c>
      <c r="C44" s="168" t="s">
        <v>711</v>
      </c>
      <c r="D44" s="128" t="s">
        <v>43</v>
      </c>
      <c r="E44" s="128" t="str">
        <f t="shared" si="25"/>
        <v>30 días</v>
      </c>
      <c r="F44" s="156" t="s">
        <v>712</v>
      </c>
      <c r="G44" s="129" t="s">
        <v>249</v>
      </c>
      <c r="H44" s="129" t="s">
        <v>678</v>
      </c>
      <c r="I44" s="128" t="s">
        <v>744</v>
      </c>
      <c r="J44" s="130">
        <v>1</v>
      </c>
      <c r="K44" s="16">
        <v>147000</v>
      </c>
      <c r="L44" s="131">
        <f>+SUM(P44:AB44)</f>
        <v>37500</v>
      </c>
      <c r="M44" s="131">
        <f t="shared" si="26"/>
        <v>0</v>
      </c>
      <c r="N44" s="132">
        <f t="shared" si="27"/>
        <v>0</v>
      </c>
      <c r="O44" s="133">
        <f t="shared" si="28"/>
        <v>147000</v>
      </c>
      <c r="P44" s="134">
        <v>0</v>
      </c>
      <c r="Q44" s="135">
        <v>0</v>
      </c>
      <c r="R44" s="135">
        <v>0</v>
      </c>
      <c r="S44" s="135">
        <v>0</v>
      </c>
      <c r="T44" s="135">
        <v>0</v>
      </c>
      <c r="U44" s="136">
        <v>0</v>
      </c>
      <c r="V44" s="136">
        <v>0</v>
      </c>
      <c r="W44" s="136">
        <v>0</v>
      </c>
      <c r="X44" s="136">
        <v>0</v>
      </c>
      <c r="Y44" s="137">
        <v>0</v>
      </c>
      <c r="Z44" s="137">
        <v>0</v>
      </c>
      <c r="AA44" s="154">
        <v>0</v>
      </c>
      <c r="AB44" s="139">
        <v>37500</v>
      </c>
      <c r="AC44" s="139">
        <v>37500</v>
      </c>
      <c r="AD44" s="139">
        <v>37500</v>
      </c>
      <c r="AE44" s="139">
        <v>37500</v>
      </c>
      <c r="AF44" s="139">
        <v>0</v>
      </c>
      <c r="AG44" s="139">
        <v>0</v>
      </c>
      <c r="AH44" s="139">
        <v>0</v>
      </c>
      <c r="AI44" s="139">
        <v>0</v>
      </c>
      <c r="AJ44" s="139">
        <v>0</v>
      </c>
      <c r="AK44" s="139">
        <v>0</v>
      </c>
      <c r="AL44" s="139">
        <v>0</v>
      </c>
      <c r="AM44" s="140">
        <v>0</v>
      </c>
      <c r="AO44" s="4"/>
      <c r="AP44" s="18"/>
      <c r="AQ44" s="27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30"/>
      <c r="BK44" s="18"/>
      <c r="BL44" s="4"/>
    </row>
    <row r="45" spans="1:68" ht="15" hidden="1" x14ac:dyDescent="0.2">
      <c r="A45" s="15">
        <f t="shared" si="24"/>
        <v>21</v>
      </c>
      <c r="B45" s="169" t="s">
        <v>821</v>
      </c>
      <c r="C45" s="168" t="s">
        <v>822</v>
      </c>
      <c r="D45" s="128" t="s">
        <v>43</v>
      </c>
      <c r="E45" s="128" t="str">
        <f t="shared" si="25"/>
        <v>30 días</v>
      </c>
      <c r="F45" s="156" t="s">
        <v>823</v>
      </c>
      <c r="G45" s="129" t="s">
        <v>143</v>
      </c>
      <c r="H45" s="129" t="s">
        <v>678</v>
      </c>
      <c r="I45" s="128" t="s">
        <v>744</v>
      </c>
      <c r="J45" s="130">
        <v>1</v>
      </c>
      <c r="K45" s="16">
        <v>18800</v>
      </c>
      <c r="L45" s="131">
        <f t="shared" ref="L45:L60" si="30">+SUM(P45:AA45)</f>
        <v>0</v>
      </c>
      <c r="M45" s="131">
        <f t="shared" si="26"/>
        <v>0</v>
      </c>
      <c r="N45" s="132">
        <f t="shared" si="27"/>
        <v>0</v>
      </c>
      <c r="O45" s="133">
        <f t="shared" si="28"/>
        <v>18800</v>
      </c>
      <c r="P45" s="134">
        <v>0</v>
      </c>
      <c r="Q45" s="136">
        <v>0</v>
      </c>
      <c r="R45" s="136">
        <v>0</v>
      </c>
      <c r="S45" s="136">
        <v>0</v>
      </c>
      <c r="T45" s="136">
        <v>0</v>
      </c>
      <c r="U45" s="136">
        <v>0</v>
      </c>
      <c r="V45" s="136">
        <v>0</v>
      </c>
      <c r="W45" s="136">
        <v>0</v>
      </c>
      <c r="X45" s="136">
        <v>0</v>
      </c>
      <c r="Y45" s="137">
        <v>0</v>
      </c>
      <c r="Z45" s="137">
        <v>0</v>
      </c>
      <c r="AA45" s="154">
        <v>0</v>
      </c>
      <c r="AB45" s="139">
        <f>+K45/2</f>
        <v>9400</v>
      </c>
      <c r="AC45" s="139">
        <f>+AB45</f>
        <v>9400</v>
      </c>
      <c r="AD45" s="139">
        <v>0</v>
      </c>
      <c r="AE45" s="139">
        <v>0</v>
      </c>
      <c r="AF45" s="139">
        <v>0</v>
      </c>
      <c r="AG45" s="139">
        <v>0</v>
      </c>
      <c r="AH45" s="139">
        <v>0</v>
      </c>
      <c r="AI45" s="139">
        <v>0</v>
      </c>
      <c r="AJ45" s="139">
        <v>0</v>
      </c>
      <c r="AK45" s="139">
        <v>0</v>
      </c>
      <c r="AL45" s="139">
        <v>0</v>
      </c>
      <c r="AM45" s="140">
        <v>0</v>
      </c>
      <c r="AO45" s="4"/>
      <c r="AP45" s="18"/>
      <c r="AQ45" s="27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30"/>
      <c r="BK45" s="18"/>
      <c r="BL45" s="4"/>
      <c r="BM45"/>
    </row>
    <row r="46" spans="1:68" x14ac:dyDescent="0.2">
      <c r="A46" s="15">
        <f t="shared" si="24"/>
        <v>21</v>
      </c>
      <c r="B46" s="169" t="s">
        <v>837</v>
      </c>
      <c r="C46" s="168" t="s">
        <v>838</v>
      </c>
      <c r="D46" s="128" t="s">
        <v>46</v>
      </c>
      <c r="E46" s="128" t="str">
        <f t="shared" si="25"/>
        <v>30 días</v>
      </c>
      <c r="F46" s="156" t="s">
        <v>839</v>
      </c>
      <c r="G46" s="129" t="s">
        <v>175</v>
      </c>
      <c r="H46" s="129" t="s">
        <v>678</v>
      </c>
      <c r="I46" s="128" t="s">
        <v>744</v>
      </c>
      <c r="J46" s="130">
        <v>1</v>
      </c>
      <c r="K46" s="16">
        <v>82144</v>
      </c>
      <c r="L46" s="131">
        <f t="shared" si="30"/>
        <v>32480</v>
      </c>
      <c r="M46" s="131">
        <f t="shared" si="26"/>
        <v>0</v>
      </c>
      <c r="N46" s="132">
        <f t="shared" si="27"/>
        <v>0</v>
      </c>
      <c r="O46" s="133">
        <f t="shared" si="28"/>
        <v>82144</v>
      </c>
      <c r="P46" s="134">
        <v>0</v>
      </c>
      <c r="Q46" s="136">
        <v>0</v>
      </c>
      <c r="R46" s="136">
        <v>0</v>
      </c>
      <c r="S46" s="136">
        <v>0</v>
      </c>
      <c r="T46" s="136">
        <v>0</v>
      </c>
      <c r="U46" s="136">
        <v>0</v>
      </c>
      <c r="V46" s="136">
        <v>0</v>
      </c>
      <c r="W46" s="136">
        <v>0</v>
      </c>
      <c r="X46" s="136">
        <v>0</v>
      </c>
      <c r="Y46" s="137">
        <v>0</v>
      </c>
      <c r="Z46" s="148">
        <v>0</v>
      </c>
      <c r="AA46" s="147">
        <v>32480</v>
      </c>
      <c r="AB46" s="158">
        <v>32480</v>
      </c>
      <c r="AC46" s="158">
        <v>11297</v>
      </c>
      <c r="AD46" s="139">
        <f>+O46-SUM(AA46:AC46)</f>
        <v>5887</v>
      </c>
      <c r="AE46" s="139">
        <v>0</v>
      </c>
      <c r="AF46" s="139">
        <v>0</v>
      </c>
      <c r="AG46" s="139">
        <v>0</v>
      </c>
      <c r="AH46" s="139">
        <v>0</v>
      </c>
      <c r="AI46" s="139">
        <v>0</v>
      </c>
      <c r="AJ46" s="139">
        <v>0</v>
      </c>
      <c r="AK46" s="139">
        <v>0</v>
      </c>
      <c r="AL46" s="139">
        <v>0</v>
      </c>
      <c r="AM46" s="140">
        <v>0</v>
      </c>
      <c r="AO46" s="4"/>
      <c r="AP46" s="18"/>
      <c r="AQ46" s="27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30"/>
      <c r="BK46" s="18"/>
      <c r="BL46" s="4"/>
    </row>
    <row r="47" spans="1:68" x14ac:dyDescent="0.2">
      <c r="A47" s="15">
        <f t="shared" si="24"/>
        <v>21</v>
      </c>
      <c r="B47" s="169" t="s">
        <v>840</v>
      </c>
      <c r="C47" s="168" t="s">
        <v>841</v>
      </c>
      <c r="D47" s="128" t="s">
        <v>46</v>
      </c>
      <c r="E47" s="128" t="str">
        <f t="shared" si="25"/>
        <v>30 días</v>
      </c>
      <c r="F47" s="156" t="s">
        <v>842</v>
      </c>
      <c r="G47" s="129" t="s">
        <v>799</v>
      </c>
      <c r="H47" s="129" t="s">
        <v>678</v>
      </c>
      <c r="I47" s="128" t="s">
        <v>744</v>
      </c>
      <c r="J47" s="130">
        <v>1</v>
      </c>
      <c r="K47" s="16">
        <v>56630</v>
      </c>
      <c r="L47" s="131">
        <f t="shared" si="30"/>
        <v>56630</v>
      </c>
      <c r="M47" s="131">
        <f t="shared" si="26"/>
        <v>0</v>
      </c>
      <c r="N47" s="132">
        <f t="shared" si="27"/>
        <v>0</v>
      </c>
      <c r="O47" s="133">
        <f t="shared" si="28"/>
        <v>56630</v>
      </c>
      <c r="P47" s="134">
        <v>0</v>
      </c>
      <c r="Q47" s="136">
        <v>0</v>
      </c>
      <c r="R47" s="136">
        <v>0</v>
      </c>
      <c r="S47" s="136">
        <v>0</v>
      </c>
      <c r="T47" s="136">
        <v>0</v>
      </c>
      <c r="U47" s="136">
        <v>0</v>
      </c>
      <c r="V47" s="136">
        <v>0</v>
      </c>
      <c r="W47" s="136">
        <v>0</v>
      </c>
      <c r="X47" s="136">
        <v>0</v>
      </c>
      <c r="Y47" s="137">
        <v>0</v>
      </c>
      <c r="Z47" s="148">
        <v>0</v>
      </c>
      <c r="AA47" s="147">
        <v>56630</v>
      </c>
      <c r="AB47" s="158">
        <v>0</v>
      </c>
      <c r="AC47" s="158">
        <v>0</v>
      </c>
      <c r="AD47" s="139">
        <v>0</v>
      </c>
      <c r="AE47" s="139">
        <v>0</v>
      </c>
      <c r="AF47" s="139">
        <v>0</v>
      </c>
      <c r="AG47" s="139">
        <v>0</v>
      </c>
      <c r="AH47" s="139">
        <v>0</v>
      </c>
      <c r="AI47" s="139">
        <v>0</v>
      </c>
      <c r="AJ47" s="139">
        <v>0</v>
      </c>
      <c r="AK47" s="139">
        <v>0</v>
      </c>
      <c r="AL47" s="139">
        <v>0</v>
      </c>
      <c r="AM47" s="140">
        <v>0</v>
      </c>
      <c r="AO47" s="4"/>
      <c r="AP47" s="18"/>
      <c r="AQ47" s="144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6"/>
      <c r="BK47" s="18"/>
      <c r="BL47" s="4"/>
    </row>
    <row r="48" spans="1:68" x14ac:dyDescent="0.2">
      <c r="A48" s="15">
        <f t="shared" si="24"/>
        <v>21</v>
      </c>
      <c r="B48" s="169" t="s">
        <v>716</v>
      </c>
      <c r="C48" s="168" t="s">
        <v>717</v>
      </c>
      <c r="D48" s="128" t="s">
        <v>46</v>
      </c>
      <c r="E48" s="128" t="str">
        <f t="shared" si="25"/>
        <v>30 días</v>
      </c>
      <c r="F48" s="156" t="s">
        <v>717</v>
      </c>
      <c r="G48" s="129" t="s">
        <v>626</v>
      </c>
      <c r="H48" s="129" t="s">
        <v>678</v>
      </c>
      <c r="I48" s="128" t="s">
        <v>744</v>
      </c>
      <c r="J48" s="130">
        <v>1</v>
      </c>
      <c r="K48" s="16">
        <v>115136</v>
      </c>
      <c r="L48" s="131">
        <f t="shared" si="30"/>
        <v>0</v>
      </c>
      <c r="M48" s="131">
        <f t="shared" si="26"/>
        <v>0</v>
      </c>
      <c r="N48" s="132">
        <f t="shared" si="27"/>
        <v>0</v>
      </c>
      <c r="O48" s="133">
        <f t="shared" si="28"/>
        <v>115136</v>
      </c>
      <c r="P48" s="134">
        <v>0</v>
      </c>
      <c r="Q48" s="136">
        <v>0</v>
      </c>
      <c r="R48" s="136">
        <v>0</v>
      </c>
      <c r="S48" s="136">
        <v>0</v>
      </c>
      <c r="T48" s="136">
        <v>0</v>
      </c>
      <c r="U48" s="136">
        <v>0</v>
      </c>
      <c r="V48" s="136">
        <v>0</v>
      </c>
      <c r="W48" s="136">
        <v>0</v>
      </c>
      <c r="X48" s="136">
        <v>0</v>
      </c>
      <c r="Y48" s="137">
        <v>0</v>
      </c>
      <c r="Z48" s="137">
        <v>0</v>
      </c>
      <c r="AA48" s="154">
        <v>0</v>
      </c>
      <c r="AB48" s="158">
        <v>38378.666666666664</v>
      </c>
      <c r="AC48" s="158">
        <v>38378.666666666664</v>
      </c>
      <c r="AD48" s="139">
        <v>38378.666666666664</v>
      </c>
      <c r="AE48" s="139">
        <v>0</v>
      </c>
      <c r="AF48" s="139">
        <v>0</v>
      </c>
      <c r="AG48" s="139">
        <v>0</v>
      </c>
      <c r="AH48" s="139">
        <v>0</v>
      </c>
      <c r="AI48" s="139">
        <v>0</v>
      </c>
      <c r="AJ48" s="139">
        <v>0</v>
      </c>
      <c r="AK48" s="139">
        <v>0</v>
      </c>
      <c r="AL48" s="139">
        <v>0</v>
      </c>
      <c r="AM48" s="140">
        <v>0</v>
      </c>
      <c r="AO48" s="4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4"/>
    </row>
    <row r="49" spans="1:64" hidden="1" x14ac:dyDescent="0.2">
      <c r="A49" s="15">
        <f t="shared" si="24"/>
        <v>21</v>
      </c>
      <c r="B49" s="169" t="s">
        <v>966</v>
      </c>
      <c r="C49" s="168" t="s">
        <v>844</v>
      </c>
      <c r="D49" s="128" t="s">
        <v>44</v>
      </c>
      <c r="E49" s="128" t="str">
        <f t="shared" si="25"/>
        <v>Por definir</v>
      </c>
      <c r="F49" s="156" t="s">
        <v>846</v>
      </c>
      <c r="G49" s="129" t="s">
        <v>113</v>
      </c>
      <c r="H49" s="129" t="s">
        <v>678</v>
      </c>
      <c r="I49" s="128" t="s">
        <v>744</v>
      </c>
      <c r="J49" s="130">
        <v>1</v>
      </c>
      <c r="K49" s="16">
        <v>536410</v>
      </c>
      <c r="L49" s="131">
        <f t="shared" si="30"/>
        <v>0</v>
      </c>
      <c r="M49" s="131">
        <f t="shared" si="26"/>
        <v>0</v>
      </c>
      <c r="N49" s="132">
        <f t="shared" si="27"/>
        <v>0</v>
      </c>
      <c r="O49" s="133">
        <f t="shared" si="28"/>
        <v>536410</v>
      </c>
      <c r="P49" s="134">
        <v>0</v>
      </c>
      <c r="Q49" s="136">
        <v>0</v>
      </c>
      <c r="R49" s="136">
        <v>0</v>
      </c>
      <c r="S49" s="136">
        <v>0</v>
      </c>
      <c r="T49" s="136">
        <v>0</v>
      </c>
      <c r="U49" s="136">
        <v>0</v>
      </c>
      <c r="V49" s="136">
        <v>0</v>
      </c>
      <c r="W49" s="136">
        <v>0</v>
      </c>
      <c r="X49" s="136">
        <v>0</v>
      </c>
      <c r="Y49" s="137">
        <v>0</v>
      </c>
      <c r="Z49" s="137">
        <v>0</v>
      </c>
      <c r="AA49" s="154">
        <v>0</v>
      </c>
      <c r="AB49" s="158">
        <v>0</v>
      </c>
      <c r="AC49" s="158">
        <f>+K49/5</f>
        <v>107282</v>
      </c>
      <c r="AD49" s="139">
        <f>+AC49</f>
        <v>107282</v>
      </c>
      <c r="AE49" s="139">
        <f>+AD49</f>
        <v>107282</v>
      </c>
      <c r="AF49" s="139">
        <f>+AE49</f>
        <v>107282</v>
      </c>
      <c r="AG49" s="139">
        <f>+AF49</f>
        <v>107282</v>
      </c>
      <c r="AH49" s="139">
        <v>0</v>
      </c>
      <c r="AI49" s="139">
        <v>0</v>
      </c>
      <c r="AJ49" s="139">
        <v>0</v>
      </c>
      <c r="AK49" s="139">
        <v>0</v>
      </c>
      <c r="AL49" s="139">
        <v>0</v>
      </c>
      <c r="AM49" s="140">
        <v>0</v>
      </c>
      <c r="AO49" s="4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4"/>
    </row>
    <row r="50" spans="1:64" hidden="1" x14ac:dyDescent="0.2">
      <c r="A50" s="15">
        <f t="shared" si="24"/>
        <v>21</v>
      </c>
      <c r="B50" s="207" t="s">
        <v>713</v>
      </c>
      <c r="C50" s="211" t="s">
        <v>967</v>
      </c>
      <c r="D50" s="208" t="s">
        <v>43</v>
      </c>
      <c r="E50" s="128" t="str">
        <f t="shared" si="25"/>
        <v>30 días</v>
      </c>
      <c r="F50" s="209" t="s">
        <v>715</v>
      </c>
      <c r="G50" s="209" t="s">
        <v>143</v>
      </c>
      <c r="H50" s="209" t="s">
        <v>678</v>
      </c>
      <c r="I50" s="208" t="s">
        <v>744</v>
      </c>
      <c r="J50" s="130">
        <v>1</v>
      </c>
      <c r="K50" s="210">
        <v>350000</v>
      </c>
      <c r="L50" s="131">
        <f t="shared" si="30"/>
        <v>0</v>
      </c>
      <c r="M50" s="131">
        <f t="shared" si="26"/>
        <v>0</v>
      </c>
      <c r="N50" s="132">
        <f t="shared" si="27"/>
        <v>0</v>
      </c>
      <c r="O50" s="133">
        <f t="shared" si="28"/>
        <v>350000</v>
      </c>
      <c r="P50" s="134">
        <v>0</v>
      </c>
      <c r="Q50" s="136">
        <v>0</v>
      </c>
      <c r="R50" s="136">
        <v>0</v>
      </c>
      <c r="S50" s="136">
        <v>0</v>
      </c>
      <c r="T50" s="136">
        <v>0</v>
      </c>
      <c r="U50" s="136">
        <v>0</v>
      </c>
      <c r="V50" s="136">
        <v>0</v>
      </c>
      <c r="W50" s="136">
        <v>0</v>
      </c>
      <c r="X50" s="136">
        <v>0</v>
      </c>
      <c r="Y50" s="137">
        <v>0</v>
      </c>
      <c r="Z50" s="137">
        <v>0</v>
      </c>
      <c r="AA50" s="138">
        <v>0</v>
      </c>
      <c r="AB50" s="158">
        <v>0</v>
      </c>
      <c r="AC50" s="158">
        <v>0</v>
      </c>
      <c r="AD50" s="139">
        <f>+K50/5</f>
        <v>70000</v>
      </c>
      <c r="AE50" s="139">
        <f>+AD50</f>
        <v>70000</v>
      </c>
      <c r="AF50" s="139">
        <f>+AE50</f>
        <v>70000</v>
      </c>
      <c r="AG50" s="139">
        <f>+AF50</f>
        <v>70000</v>
      </c>
      <c r="AH50" s="139">
        <f>+AG50</f>
        <v>70000</v>
      </c>
      <c r="AI50" s="139">
        <v>0</v>
      </c>
      <c r="AJ50" s="139">
        <v>0</v>
      </c>
      <c r="AK50" s="139">
        <v>0</v>
      </c>
      <c r="AL50" s="139">
        <v>0</v>
      </c>
      <c r="AM50" s="140">
        <v>0</v>
      </c>
      <c r="AO50" s="4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4"/>
    </row>
    <row r="51" spans="1:64" hidden="1" x14ac:dyDescent="0.2">
      <c r="A51" s="15">
        <f t="shared" si="24"/>
        <v>21</v>
      </c>
      <c r="B51" s="170" t="s">
        <v>968</v>
      </c>
      <c r="C51" s="214" t="s">
        <v>969</v>
      </c>
      <c r="D51" s="155" t="s">
        <v>43</v>
      </c>
      <c r="E51" s="128" t="str">
        <f t="shared" si="25"/>
        <v>30 días</v>
      </c>
      <c r="F51" s="156" t="s">
        <v>969</v>
      </c>
      <c r="G51" s="156" t="s">
        <v>168</v>
      </c>
      <c r="H51" s="156" t="s">
        <v>678</v>
      </c>
      <c r="I51" s="155" t="s">
        <v>744</v>
      </c>
      <c r="J51" s="215">
        <v>1</v>
      </c>
      <c r="K51" s="216">
        <v>170000</v>
      </c>
      <c r="L51" s="131">
        <f t="shared" si="30"/>
        <v>0</v>
      </c>
      <c r="M51" s="131">
        <f t="shared" si="26"/>
        <v>0</v>
      </c>
      <c r="N51" s="132">
        <f t="shared" si="27"/>
        <v>0</v>
      </c>
      <c r="O51" s="133">
        <f t="shared" si="28"/>
        <v>170000</v>
      </c>
      <c r="P51" s="134">
        <v>0</v>
      </c>
      <c r="Q51" s="136">
        <v>0</v>
      </c>
      <c r="R51" s="136">
        <v>0</v>
      </c>
      <c r="S51" s="136">
        <v>0</v>
      </c>
      <c r="T51" s="136">
        <v>0</v>
      </c>
      <c r="U51" s="136">
        <v>0</v>
      </c>
      <c r="V51" s="136">
        <v>0</v>
      </c>
      <c r="W51" s="136">
        <v>0</v>
      </c>
      <c r="X51" s="136">
        <v>0</v>
      </c>
      <c r="Y51" s="136">
        <v>0</v>
      </c>
      <c r="Z51" s="136">
        <v>0</v>
      </c>
      <c r="AA51" s="138">
        <v>0</v>
      </c>
      <c r="AB51" s="158">
        <v>0</v>
      </c>
      <c r="AC51" s="139">
        <v>0</v>
      </c>
      <c r="AD51" s="139">
        <f>+K51/4</f>
        <v>42500</v>
      </c>
      <c r="AE51" s="139">
        <f>+AD51</f>
        <v>42500</v>
      </c>
      <c r="AF51" s="139">
        <f>+AD51</f>
        <v>42500</v>
      </c>
      <c r="AG51" s="139">
        <f>+AD51</f>
        <v>42500</v>
      </c>
      <c r="AH51" s="139">
        <v>0</v>
      </c>
      <c r="AI51" s="139">
        <v>0</v>
      </c>
      <c r="AJ51" s="139">
        <v>0</v>
      </c>
      <c r="AK51" s="139">
        <v>0</v>
      </c>
      <c r="AL51" s="139">
        <v>0</v>
      </c>
      <c r="AM51" s="140">
        <v>0</v>
      </c>
      <c r="AO51" s="4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4"/>
    </row>
    <row r="52" spans="1:64" hidden="1" x14ac:dyDescent="0.2">
      <c r="A52" s="15">
        <f t="shared" si="24"/>
        <v>21</v>
      </c>
      <c r="B52" s="169" t="s">
        <v>740</v>
      </c>
      <c r="C52" s="17" t="s">
        <v>741</v>
      </c>
      <c r="D52" s="128" t="s">
        <v>43</v>
      </c>
      <c r="E52" s="128" t="str">
        <f t="shared" si="25"/>
        <v>30 días</v>
      </c>
      <c r="F52" s="156" t="s">
        <v>742</v>
      </c>
      <c r="G52" s="129" t="s">
        <v>143</v>
      </c>
      <c r="H52" s="129" t="s">
        <v>743</v>
      </c>
      <c r="I52" s="128" t="s">
        <v>970</v>
      </c>
      <c r="J52" s="130">
        <v>1</v>
      </c>
      <c r="K52" s="16">
        <v>179433</v>
      </c>
      <c r="L52" s="131">
        <f t="shared" si="30"/>
        <v>202930</v>
      </c>
      <c r="M52" s="131">
        <f t="shared" si="26"/>
        <v>202930</v>
      </c>
      <c r="N52" s="132">
        <f t="shared" si="27"/>
        <v>1.1309513857540141</v>
      </c>
      <c r="O52" s="133">
        <f t="shared" si="28"/>
        <v>-23497</v>
      </c>
      <c r="P52" s="134">
        <v>46514</v>
      </c>
      <c r="Q52" s="135">
        <v>0</v>
      </c>
      <c r="R52" s="135">
        <v>36425</v>
      </c>
      <c r="S52" s="135">
        <v>19249</v>
      </c>
      <c r="T52" s="135">
        <v>0</v>
      </c>
      <c r="U52" s="136">
        <v>67380</v>
      </c>
      <c r="V52" s="136">
        <v>23028</v>
      </c>
      <c r="W52" s="136">
        <v>0</v>
      </c>
      <c r="X52" s="136">
        <v>10060</v>
      </c>
      <c r="Y52" s="137">
        <v>0</v>
      </c>
      <c r="Z52" s="137">
        <v>274</v>
      </c>
      <c r="AA52" s="138">
        <v>0</v>
      </c>
      <c r="AB52" s="139">
        <v>0</v>
      </c>
      <c r="AC52" s="139">
        <v>0</v>
      </c>
      <c r="AD52" s="139">
        <v>0</v>
      </c>
      <c r="AE52" s="139">
        <v>0</v>
      </c>
      <c r="AF52" s="139">
        <v>0</v>
      </c>
      <c r="AG52" s="139">
        <v>0</v>
      </c>
      <c r="AH52" s="139">
        <v>0</v>
      </c>
      <c r="AI52" s="139">
        <v>0</v>
      </c>
      <c r="AJ52" s="139">
        <v>0</v>
      </c>
      <c r="AK52" s="139">
        <v>0</v>
      </c>
      <c r="AL52" s="139">
        <v>0</v>
      </c>
      <c r="AM52" s="140">
        <v>0</v>
      </c>
      <c r="AO52" s="4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4"/>
    </row>
    <row r="53" spans="1:64" hidden="1" x14ac:dyDescent="0.2">
      <c r="A53" s="15">
        <f t="shared" si="24"/>
        <v>21</v>
      </c>
      <c r="B53" s="169" t="s">
        <v>745</v>
      </c>
      <c r="C53" s="17" t="s">
        <v>741</v>
      </c>
      <c r="D53" s="128" t="s">
        <v>43</v>
      </c>
      <c r="E53" s="128" t="str">
        <f t="shared" si="25"/>
        <v>30 días</v>
      </c>
      <c r="F53" s="156" t="s">
        <v>746</v>
      </c>
      <c r="G53" s="129" t="s">
        <v>143</v>
      </c>
      <c r="H53" s="129" t="s">
        <v>743</v>
      </c>
      <c r="I53" s="128" t="s">
        <v>744</v>
      </c>
      <c r="J53" s="130">
        <v>1</v>
      </c>
      <c r="K53" s="16">
        <v>52447</v>
      </c>
      <c r="L53" s="131">
        <f t="shared" si="30"/>
        <v>51143</v>
      </c>
      <c r="M53" s="131">
        <f t="shared" si="26"/>
        <v>51143</v>
      </c>
      <c r="N53" s="132">
        <f t="shared" si="27"/>
        <v>0.97513680477434361</v>
      </c>
      <c r="O53" s="133">
        <f t="shared" si="28"/>
        <v>1304</v>
      </c>
      <c r="P53" s="134">
        <v>0</v>
      </c>
      <c r="Q53" s="136">
        <v>0</v>
      </c>
      <c r="R53" s="136">
        <v>0</v>
      </c>
      <c r="S53" s="136">
        <v>0</v>
      </c>
      <c r="T53" s="136">
        <v>0</v>
      </c>
      <c r="U53" s="136">
        <v>0</v>
      </c>
      <c r="V53" s="136">
        <v>0</v>
      </c>
      <c r="W53" s="136">
        <v>0</v>
      </c>
      <c r="X53" s="136">
        <v>0</v>
      </c>
      <c r="Y53" s="137">
        <v>0</v>
      </c>
      <c r="Z53" s="137">
        <v>51143</v>
      </c>
      <c r="AA53" s="141">
        <v>0</v>
      </c>
      <c r="AB53" s="139">
        <v>0</v>
      </c>
      <c r="AC53" s="139">
        <v>0</v>
      </c>
      <c r="AD53" s="139">
        <v>0</v>
      </c>
      <c r="AE53" s="139">
        <v>0</v>
      </c>
      <c r="AF53" s="139">
        <v>0</v>
      </c>
      <c r="AG53" s="139">
        <v>0</v>
      </c>
      <c r="AH53" s="139">
        <v>0</v>
      </c>
      <c r="AI53" s="139">
        <v>0</v>
      </c>
      <c r="AJ53" s="139">
        <v>0</v>
      </c>
      <c r="AK53" s="139">
        <v>0</v>
      </c>
      <c r="AL53" s="139">
        <v>0</v>
      </c>
      <c r="AM53" s="140">
        <v>0</v>
      </c>
      <c r="AO53" s="4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4"/>
    </row>
    <row r="54" spans="1:64" hidden="1" x14ac:dyDescent="0.2">
      <c r="A54" s="15">
        <f t="shared" si="24"/>
        <v>21</v>
      </c>
      <c r="B54" s="169" t="s">
        <v>971</v>
      </c>
      <c r="C54" s="17" t="s">
        <v>278</v>
      </c>
      <c r="D54" s="128" t="s">
        <v>43</v>
      </c>
      <c r="E54" s="128" t="str">
        <f t="shared" si="25"/>
        <v>30 días</v>
      </c>
      <c r="F54" s="156" t="s">
        <v>278</v>
      </c>
      <c r="G54" s="129" t="s">
        <v>143</v>
      </c>
      <c r="H54" s="129" t="s">
        <v>743</v>
      </c>
      <c r="I54" s="128" t="s">
        <v>744</v>
      </c>
      <c r="J54" s="130">
        <v>1</v>
      </c>
      <c r="K54" s="16">
        <v>475343</v>
      </c>
      <c r="L54" s="131">
        <f t="shared" si="30"/>
        <v>331287</v>
      </c>
      <c r="M54" s="131">
        <f t="shared" si="26"/>
        <v>331287</v>
      </c>
      <c r="N54" s="132">
        <f t="shared" si="27"/>
        <v>0.69694304954527575</v>
      </c>
      <c r="O54" s="133">
        <f t="shared" si="28"/>
        <v>144056</v>
      </c>
      <c r="P54" s="134">
        <v>0</v>
      </c>
      <c r="Q54" s="135">
        <v>153904</v>
      </c>
      <c r="R54" s="135">
        <v>74541</v>
      </c>
      <c r="S54" s="135">
        <v>31473</v>
      </c>
      <c r="T54" s="135">
        <v>53056</v>
      </c>
      <c r="U54" s="142">
        <v>18313</v>
      </c>
      <c r="V54" s="142">
        <v>0</v>
      </c>
      <c r="W54" s="142">
        <v>0</v>
      </c>
      <c r="X54" s="142">
        <v>0</v>
      </c>
      <c r="Y54" s="137">
        <v>0</v>
      </c>
      <c r="Z54" s="137">
        <v>0</v>
      </c>
      <c r="AA54" s="138">
        <v>0</v>
      </c>
      <c r="AB54" s="139">
        <v>0</v>
      </c>
      <c r="AC54" s="139">
        <v>0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139">
        <v>0</v>
      </c>
      <c r="AJ54" s="139">
        <v>0</v>
      </c>
      <c r="AK54" s="139">
        <v>0</v>
      </c>
      <c r="AL54" s="139">
        <v>0</v>
      </c>
      <c r="AM54" s="140">
        <v>0</v>
      </c>
      <c r="AO54" s="4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4"/>
    </row>
    <row r="55" spans="1:64" hidden="1" x14ac:dyDescent="0.2">
      <c r="A55" s="15">
        <f t="shared" si="24"/>
        <v>21</v>
      </c>
      <c r="B55" s="169" t="s">
        <v>747</v>
      </c>
      <c r="C55" s="17" t="s">
        <v>972</v>
      </c>
      <c r="D55" s="128" t="s">
        <v>43</v>
      </c>
      <c r="E55" s="128" t="str">
        <f t="shared" si="25"/>
        <v>30 días</v>
      </c>
      <c r="F55" s="156" t="s">
        <v>749</v>
      </c>
      <c r="G55" s="129" t="s">
        <v>181</v>
      </c>
      <c r="H55" s="129" t="s">
        <v>743</v>
      </c>
      <c r="I55" s="128" t="s">
        <v>744</v>
      </c>
      <c r="J55" s="130">
        <v>1</v>
      </c>
      <c r="K55" s="16">
        <v>50688</v>
      </c>
      <c r="L55" s="131">
        <f t="shared" si="30"/>
        <v>50688</v>
      </c>
      <c r="M55" s="131">
        <f t="shared" si="26"/>
        <v>50688</v>
      </c>
      <c r="N55" s="132">
        <f t="shared" si="27"/>
        <v>1</v>
      </c>
      <c r="O55" s="133">
        <f t="shared" si="28"/>
        <v>0</v>
      </c>
      <c r="P55" s="134">
        <v>0</v>
      </c>
      <c r="Q55" s="136">
        <v>0</v>
      </c>
      <c r="R55" s="136">
        <v>50688</v>
      </c>
      <c r="S55" s="136">
        <v>0</v>
      </c>
      <c r="T55" s="136">
        <v>0</v>
      </c>
      <c r="U55" s="136">
        <v>0</v>
      </c>
      <c r="V55" s="136">
        <v>0</v>
      </c>
      <c r="W55" s="136">
        <v>0</v>
      </c>
      <c r="X55" s="136">
        <v>0</v>
      </c>
      <c r="Y55" s="137">
        <v>0</v>
      </c>
      <c r="Z55" s="137">
        <v>0</v>
      </c>
      <c r="AA55" s="138">
        <v>0</v>
      </c>
      <c r="AB55" s="139">
        <v>0</v>
      </c>
      <c r="AC55" s="139">
        <v>0</v>
      </c>
      <c r="AD55" s="139">
        <v>0</v>
      </c>
      <c r="AE55" s="139">
        <v>0</v>
      </c>
      <c r="AF55" s="139">
        <v>0</v>
      </c>
      <c r="AG55" s="139">
        <v>0</v>
      </c>
      <c r="AH55" s="139">
        <v>0</v>
      </c>
      <c r="AI55" s="139">
        <v>0</v>
      </c>
      <c r="AJ55" s="139">
        <v>0</v>
      </c>
      <c r="AK55" s="139">
        <v>0</v>
      </c>
      <c r="AL55" s="139">
        <v>0</v>
      </c>
      <c r="AM55" s="140">
        <v>0</v>
      </c>
      <c r="AO55" s="4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4"/>
    </row>
    <row r="56" spans="1:64" hidden="1" x14ac:dyDescent="0.2">
      <c r="A56" s="15">
        <f t="shared" si="24"/>
        <v>21</v>
      </c>
      <c r="B56" s="169" t="s">
        <v>750</v>
      </c>
      <c r="C56" s="17" t="s">
        <v>751</v>
      </c>
      <c r="D56" s="128" t="s">
        <v>43</v>
      </c>
      <c r="E56" s="128" t="str">
        <f t="shared" si="25"/>
        <v>30 días</v>
      </c>
      <c r="F56" s="156" t="s">
        <v>751</v>
      </c>
      <c r="G56" s="129" t="s">
        <v>97</v>
      </c>
      <c r="H56" s="129" t="s">
        <v>743</v>
      </c>
      <c r="I56" s="128" t="s">
        <v>744</v>
      </c>
      <c r="J56" s="130">
        <v>1</v>
      </c>
      <c r="K56" s="16">
        <v>260550</v>
      </c>
      <c r="L56" s="131">
        <f t="shared" si="30"/>
        <v>140949</v>
      </c>
      <c r="M56" s="131">
        <f t="shared" si="26"/>
        <v>140949</v>
      </c>
      <c r="N56" s="132">
        <f t="shared" si="27"/>
        <v>0.54096718480138173</v>
      </c>
      <c r="O56" s="133">
        <f t="shared" si="28"/>
        <v>119601</v>
      </c>
      <c r="P56" s="134">
        <v>0</v>
      </c>
      <c r="Q56" s="135">
        <v>0</v>
      </c>
      <c r="R56" s="135">
        <v>0</v>
      </c>
      <c r="S56" s="135">
        <v>0</v>
      </c>
      <c r="T56" s="135">
        <v>0</v>
      </c>
      <c r="U56" s="136">
        <v>90837</v>
      </c>
      <c r="V56" s="135">
        <f>28476+8190</f>
        <v>36666</v>
      </c>
      <c r="W56" s="135">
        <v>0</v>
      </c>
      <c r="X56" s="142">
        <v>0</v>
      </c>
      <c r="Y56" s="137">
        <v>13446</v>
      </c>
      <c r="Z56" s="137">
        <v>0</v>
      </c>
      <c r="AA56" s="138">
        <v>0</v>
      </c>
      <c r="AB56" s="139">
        <v>0</v>
      </c>
      <c r="AC56" s="139">
        <v>0</v>
      </c>
      <c r="AD56" s="139">
        <v>0</v>
      </c>
      <c r="AE56" s="139">
        <v>0</v>
      </c>
      <c r="AF56" s="139">
        <v>0</v>
      </c>
      <c r="AG56" s="139">
        <v>0</v>
      </c>
      <c r="AH56" s="139">
        <v>0</v>
      </c>
      <c r="AI56" s="139">
        <v>0</v>
      </c>
      <c r="AJ56" s="139">
        <v>0</v>
      </c>
      <c r="AK56" s="139">
        <v>0</v>
      </c>
      <c r="AL56" s="139">
        <v>0</v>
      </c>
      <c r="AM56" s="140">
        <v>0</v>
      </c>
      <c r="AO56" s="4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4"/>
    </row>
    <row r="57" spans="1:64" hidden="1" x14ac:dyDescent="0.2">
      <c r="A57" s="15">
        <f t="shared" si="24"/>
        <v>21</v>
      </c>
      <c r="B57" s="169" t="s">
        <v>752</v>
      </c>
      <c r="C57" s="17" t="s">
        <v>754</v>
      </c>
      <c r="D57" s="128" t="s">
        <v>43</v>
      </c>
      <c r="E57" s="128" t="str">
        <f t="shared" si="25"/>
        <v>30 días</v>
      </c>
      <c r="F57" s="156" t="s">
        <v>754</v>
      </c>
      <c r="G57" s="129" t="s">
        <v>97</v>
      </c>
      <c r="H57" s="129" t="s">
        <v>743</v>
      </c>
      <c r="I57" s="128" t="s">
        <v>744</v>
      </c>
      <c r="J57" s="130">
        <v>1</v>
      </c>
      <c r="K57" s="16">
        <v>74080</v>
      </c>
      <c r="L57" s="131">
        <f t="shared" si="30"/>
        <v>74080</v>
      </c>
      <c r="M57" s="131">
        <f t="shared" si="26"/>
        <v>73107</v>
      </c>
      <c r="N57" s="132">
        <f t="shared" si="27"/>
        <v>0.98686555075593951</v>
      </c>
      <c r="O57" s="133">
        <f t="shared" si="28"/>
        <v>973</v>
      </c>
      <c r="P57" s="134">
        <v>0</v>
      </c>
      <c r="Q57" s="135">
        <v>0</v>
      </c>
      <c r="R57" s="135">
        <v>0</v>
      </c>
      <c r="S57" s="135">
        <v>0</v>
      </c>
      <c r="T57" s="135">
        <v>0</v>
      </c>
      <c r="U57" s="136">
        <v>0</v>
      </c>
      <c r="V57" s="136">
        <v>0</v>
      </c>
      <c r="W57" s="136">
        <v>0</v>
      </c>
      <c r="X57" s="136">
        <v>71362</v>
      </c>
      <c r="Y57" s="137">
        <v>1745</v>
      </c>
      <c r="Z57" s="137">
        <v>0</v>
      </c>
      <c r="AA57" s="138">
        <v>973</v>
      </c>
      <c r="AB57" s="139">
        <v>0</v>
      </c>
      <c r="AC57" s="139">
        <v>0</v>
      </c>
      <c r="AD57" s="139">
        <v>0</v>
      </c>
      <c r="AE57" s="139">
        <v>0</v>
      </c>
      <c r="AF57" s="139">
        <v>0</v>
      </c>
      <c r="AG57" s="139">
        <v>0</v>
      </c>
      <c r="AH57" s="139">
        <v>0</v>
      </c>
      <c r="AI57" s="139">
        <v>0</v>
      </c>
      <c r="AJ57" s="139">
        <v>0</v>
      </c>
      <c r="AK57" s="139">
        <v>0</v>
      </c>
      <c r="AL57" s="139">
        <v>0</v>
      </c>
      <c r="AM57" s="140">
        <v>0</v>
      </c>
      <c r="AO57" s="4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4"/>
    </row>
    <row r="58" spans="1:64" hidden="1" x14ac:dyDescent="0.2">
      <c r="A58" s="15">
        <f t="shared" si="24"/>
        <v>21</v>
      </c>
      <c r="B58" s="169" t="s">
        <v>755</v>
      </c>
      <c r="C58" s="17" t="s">
        <v>753</v>
      </c>
      <c r="D58" s="128" t="s">
        <v>43</v>
      </c>
      <c r="E58" s="128" t="str">
        <f t="shared" si="25"/>
        <v>30 días</v>
      </c>
      <c r="F58" s="156" t="s">
        <v>757</v>
      </c>
      <c r="G58" s="129" t="s">
        <v>143</v>
      </c>
      <c r="H58" s="129" t="s">
        <v>743</v>
      </c>
      <c r="I58" s="128" t="s">
        <v>744</v>
      </c>
      <c r="J58" s="130">
        <v>1</v>
      </c>
      <c r="K58" s="16">
        <v>296990</v>
      </c>
      <c r="L58" s="131">
        <f t="shared" si="30"/>
        <v>153748.16</v>
      </c>
      <c r="M58" s="131">
        <f t="shared" si="26"/>
        <v>153748.16</v>
      </c>
      <c r="N58" s="132">
        <f t="shared" si="27"/>
        <v>0.51768800296306272</v>
      </c>
      <c r="O58" s="133">
        <f t="shared" si="28"/>
        <v>143241.84</v>
      </c>
      <c r="P58" s="134">
        <v>32039</v>
      </c>
      <c r="Q58" s="135">
        <v>0</v>
      </c>
      <c r="R58" s="135">
        <v>59914</v>
      </c>
      <c r="S58" s="135">
        <v>25685.41</v>
      </c>
      <c r="T58" s="135">
        <v>0</v>
      </c>
      <c r="U58" s="136">
        <v>24609.75</v>
      </c>
      <c r="V58" s="136">
        <v>0</v>
      </c>
      <c r="W58" s="136">
        <v>11500</v>
      </c>
      <c r="X58" s="136">
        <v>0</v>
      </c>
      <c r="Y58" s="137">
        <v>0</v>
      </c>
      <c r="Z58" s="137">
        <v>0</v>
      </c>
      <c r="AA58" s="138">
        <v>0</v>
      </c>
      <c r="AB58" s="139">
        <v>0</v>
      </c>
      <c r="AC58" s="139">
        <v>0</v>
      </c>
      <c r="AD58" s="139">
        <v>0</v>
      </c>
      <c r="AE58" s="139">
        <v>0</v>
      </c>
      <c r="AF58" s="139">
        <v>0</v>
      </c>
      <c r="AG58" s="139">
        <v>0</v>
      </c>
      <c r="AH58" s="139">
        <v>0</v>
      </c>
      <c r="AI58" s="139">
        <v>0</v>
      </c>
      <c r="AJ58" s="139">
        <v>0</v>
      </c>
      <c r="AK58" s="139">
        <v>0</v>
      </c>
      <c r="AL58" s="139">
        <v>0</v>
      </c>
      <c r="AM58" s="140">
        <v>0</v>
      </c>
      <c r="AO58" s="4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4"/>
    </row>
    <row r="59" spans="1:64" hidden="1" x14ac:dyDescent="0.2">
      <c r="A59" s="15">
        <f t="shared" si="24"/>
        <v>21</v>
      </c>
      <c r="B59" s="169" t="s">
        <v>758</v>
      </c>
      <c r="C59" s="17" t="s">
        <v>759</v>
      </c>
      <c r="D59" s="128" t="s">
        <v>43</v>
      </c>
      <c r="E59" s="128" t="str">
        <f t="shared" si="25"/>
        <v>30 días</v>
      </c>
      <c r="F59" s="156" t="s">
        <v>759</v>
      </c>
      <c r="G59" s="129" t="s">
        <v>97</v>
      </c>
      <c r="H59" s="129" t="s">
        <v>743</v>
      </c>
      <c r="I59" s="128" t="s">
        <v>744</v>
      </c>
      <c r="J59" s="130">
        <v>1</v>
      </c>
      <c r="K59" s="16">
        <v>183024</v>
      </c>
      <c r="L59" s="131">
        <f t="shared" si="30"/>
        <v>180812</v>
      </c>
      <c r="M59" s="131">
        <f t="shared" si="26"/>
        <v>180812</v>
      </c>
      <c r="N59" s="132">
        <f t="shared" si="27"/>
        <v>0.9879141533350817</v>
      </c>
      <c r="O59" s="133">
        <f t="shared" si="28"/>
        <v>2212</v>
      </c>
      <c r="P59" s="134">
        <v>0</v>
      </c>
      <c r="Q59" s="135">
        <v>0</v>
      </c>
      <c r="R59" s="135">
        <v>0</v>
      </c>
      <c r="S59" s="135">
        <v>0</v>
      </c>
      <c r="T59" s="135">
        <v>0</v>
      </c>
      <c r="U59" s="135">
        <v>96154</v>
      </c>
      <c r="V59" s="135">
        <v>0</v>
      </c>
      <c r="W59" s="136">
        <v>0</v>
      </c>
      <c r="X59" s="142">
        <v>0</v>
      </c>
      <c r="Y59" s="137">
        <v>84658</v>
      </c>
      <c r="Z59" s="142">
        <v>0</v>
      </c>
      <c r="AA59" s="138">
        <v>0</v>
      </c>
      <c r="AB59" s="139">
        <v>0</v>
      </c>
      <c r="AC59" s="139">
        <v>0</v>
      </c>
      <c r="AD59" s="139">
        <v>0</v>
      </c>
      <c r="AE59" s="139">
        <v>0</v>
      </c>
      <c r="AF59" s="139">
        <v>0</v>
      </c>
      <c r="AG59" s="139">
        <v>0</v>
      </c>
      <c r="AH59" s="139">
        <v>0</v>
      </c>
      <c r="AI59" s="139">
        <v>0</v>
      </c>
      <c r="AJ59" s="139">
        <v>0</v>
      </c>
      <c r="AK59" s="139">
        <v>0</v>
      </c>
      <c r="AL59" s="139">
        <v>0</v>
      </c>
      <c r="AM59" s="140">
        <v>0</v>
      </c>
      <c r="AO59" s="4"/>
      <c r="AP59" s="18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8"/>
      <c r="BL59" s="4"/>
    </row>
    <row r="60" spans="1:64" x14ac:dyDescent="0.2">
      <c r="A60" s="15">
        <f t="shared" si="24"/>
        <v>21</v>
      </c>
      <c r="B60" s="169" t="s">
        <v>760</v>
      </c>
      <c r="C60" s="17" t="s">
        <v>761</v>
      </c>
      <c r="D60" s="128" t="s">
        <v>46</v>
      </c>
      <c r="E60" s="128" t="str">
        <f t="shared" si="25"/>
        <v>30 días</v>
      </c>
      <c r="F60" s="156" t="s">
        <v>762</v>
      </c>
      <c r="G60" s="129" t="s">
        <v>175</v>
      </c>
      <c r="H60" s="129" t="s">
        <v>743</v>
      </c>
      <c r="I60" s="128" t="s">
        <v>744</v>
      </c>
      <c r="J60" s="130">
        <v>1</v>
      </c>
      <c r="K60" s="16">
        <v>165237</v>
      </c>
      <c r="L60" s="131">
        <f t="shared" si="30"/>
        <v>165237</v>
      </c>
      <c r="M60" s="131">
        <f t="shared" si="26"/>
        <v>165237</v>
      </c>
      <c r="N60" s="132">
        <f t="shared" si="27"/>
        <v>1</v>
      </c>
      <c r="O60" s="133">
        <f t="shared" si="28"/>
        <v>0</v>
      </c>
      <c r="P60" s="134">
        <v>0</v>
      </c>
      <c r="Q60" s="135">
        <v>0</v>
      </c>
      <c r="R60" s="135">
        <v>0</v>
      </c>
      <c r="S60" s="135">
        <v>0</v>
      </c>
      <c r="T60" s="135">
        <v>0</v>
      </c>
      <c r="U60" s="136">
        <v>0</v>
      </c>
      <c r="V60" s="136">
        <v>0</v>
      </c>
      <c r="W60" s="136">
        <v>0</v>
      </c>
      <c r="X60" s="136">
        <v>0</v>
      </c>
      <c r="Y60" s="137">
        <v>0</v>
      </c>
      <c r="Z60" s="137">
        <v>165237</v>
      </c>
      <c r="AA60" s="138">
        <v>0</v>
      </c>
      <c r="AB60" s="139">
        <v>0</v>
      </c>
      <c r="AC60" s="139">
        <v>0</v>
      </c>
      <c r="AD60" s="139">
        <v>0</v>
      </c>
      <c r="AE60" s="139">
        <v>0</v>
      </c>
      <c r="AF60" s="139">
        <v>0</v>
      </c>
      <c r="AG60" s="139">
        <v>0</v>
      </c>
      <c r="AH60" s="139">
        <v>0</v>
      </c>
      <c r="AI60" s="139">
        <v>0</v>
      </c>
      <c r="AJ60" s="139">
        <v>0</v>
      </c>
      <c r="AK60" s="139">
        <v>0</v>
      </c>
      <c r="AL60" s="139">
        <v>0</v>
      </c>
      <c r="AM60" s="140">
        <v>0</v>
      </c>
      <c r="AO60" s="4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4"/>
    </row>
    <row r="61" spans="1:64" x14ac:dyDescent="0.2">
      <c r="A61" s="15">
        <f t="shared" si="24"/>
        <v>21</v>
      </c>
      <c r="B61" s="169" t="s">
        <v>763</v>
      </c>
      <c r="C61" s="17" t="s">
        <v>764</v>
      </c>
      <c r="D61" s="128" t="s">
        <v>46</v>
      </c>
      <c r="E61" s="128" t="str">
        <f t="shared" si="25"/>
        <v>30 días</v>
      </c>
      <c r="F61" s="156" t="s">
        <v>764</v>
      </c>
      <c r="G61" s="129" t="s">
        <v>175</v>
      </c>
      <c r="H61" s="129" t="s">
        <v>743</v>
      </c>
      <c r="I61" s="128" t="s">
        <v>744</v>
      </c>
      <c r="J61" s="130">
        <v>1</v>
      </c>
      <c r="K61" s="16">
        <v>27907</v>
      </c>
      <c r="L61" s="131">
        <v>27907</v>
      </c>
      <c r="M61" s="131">
        <f t="shared" si="26"/>
        <v>45815.49</v>
      </c>
      <c r="N61" s="132">
        <f t="shared" si="27"/>
        <v>1.6417203568997025</v>
      </c>
      <c r="O61" s="133">
        <f t="shared" si="28"/>
        <v>-17908.489999999998</v>
      </c>
      <c r="P61" s="134">
        <v>0</v>
      </c>
      <c r="Q61" s="136">
        <v>0</v>
      </c>
      <c r="R61" s="136">
        <v>19250.8</v>
      </c>
      <c r="S61" s="136">
        <v>0</v>
      </c>
      <c r="T61" s="136">
        <v>0</v>
      </c>
      <c r="U61" s="136">
        <v>0</v>
      </c>
      <c r="V61" s="136">
        <v>0</v>
      </c>
      <c r="W61" s="136">
        <v>8656.69</v>
      </c>
      <c r="X61" s="136">
        <v>0</v>
      </c>
      <c r="Y61" s="137">
        <v>0</v>
      </c>
      <c r="Z61" s="137">
        <v>17908</v>
      </c>
      <c r="AA61" s="138">
        <v>0</v>
      </c>
      <c r="AB61" s="139">
        <v>0</v>
      </c>
      <c r="AC61" s="139">
        <v>0</v>
      </c>
      <c r="AD61" s="139">
        <v>0</v>
      </c>
      <c r="AE61" s="139">
        <v>0</v>
      </c>
      <c r="AF61" s="139">
        <v>0</v>
      </c>
      <c r="AG61" s="139">
        <v>0</v>
      </c>
      <c r="AH61" s="139">
        <v>0</v>
      </c>
      <c r="AI61" s="139">
        <v>0</v>
      </c>
      <c r="AJ61" s="139">
        <v>0</v>
      </c>
      <c r="AK61" s="139">
        <v>0</v>
      </c>
      <c r="AL61" s="139">
        <v>0</v>
      </c>
      <c r="AM61" s="140">
        <v>0</v>
      </c>
      <c r="AO61" s="4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4"/>
    </row>
    <row r="62" spans="1:64" hidden="1" x14ac:dyDescent="0.2">
      <c r="A62" s="15">
        <f t="shared" si="24"/>
        <v>21</v>
      </c>
      <c r="B62" s="169" t="s">
        <v>765</v>
      </c>
      <c r="C62" s="17" t="s">
        <v>766</v>
      </c>
      <c r="D62" s="128" t="s">
        <v>43</v>
      </c>
      <c r="E62" s="128" t="str">
        <f t="shared" ref="E62:E93" si="31">+IF(D62="Chile","30 días",IF(D62="Perú","30 días",IF(D62="Brasil","60 días",IF(D62="Rusia","Indeterminado","Por definir"))))</f>
        <v>30 días</v>
      </c>
      <c r="F62" s="156" t="s">
        <v>767</v>
      </c>
      <c r="G62" s="129" t="s">
        <v>143</v>
      </c>
      <c r="H62" s="129" t="s">
        <v>743</v>
      </c>
      <c r="I62" s="128"/>
      <c r="J62" s="130">
        <v>1</v>
      </c>
      <c r="K62" s="16">
        <v>40859.57</v>
      </c>
      <c r="L62" s="131">
        <f t="shared" ref="L62:L73" si="32">+SUM(P62:AA62)</f>
        <v>38221.35</v>
      </c>
      <c r="M62" s="131">
        <f t="shared" ref="M62:M93" si="33">+SUM(P62:Z62)</f>
        <v>38221.35</v>
      </c>
      <c r="N62" s="132">
        <f t="shared" ref="N62:N93" si="34">IFERROR(+M62/K62,0)</f>
        <v>0.93543201751756078</v>
      </c>
      <c r="O62" s="133">
        <f t="shared" ref="O62:O93" si="35">+K62-M62</f>
        <v>2638.2200000000012</v>
      </c>
      <c r="P62" s="134">
        <v>0</v>
      </c>
      <c r="Q62" s="136">
        <v>0</v>
      </c>
      <c r="R62" s="136">
        <v>0</v>
      </c>
      <c r="S62" s="136">
        <v>0</v>
      </c>
      <c r="T62" s="136">
        <v>0</v>
      </c>
      <c r="U62" s="136">
        <v>0</v>
      </c>
      <c r="V62" s="136">
        <v>0</v>
      </c>
      <c r="W62" s="136">
        <v>0</v>
      </c>
      <c r="X62" s="136">
        <v>0</v>
      </c>
      <c r="Y62" s="137">
        <v>38221.35</v>
      </c>
      <c r="Z62" s="137">
        <v>0</v>
      </c>
      <c r="AA62" s="138">
        <v>0</v>
      </c>
      <c r="AB62" s="139">
        <v>0</v>
      </c>
      <c r="AC62" s="139">
        <v>0</v>
      </c>
      <c r="AD62" s="139">
        <v>0</v>
      </c>
      <c r="AE62" s="139">
        <v>0</v>
      </c>
      <c r="AF62" s="139">
        <v>0</v>
      </c>
      <c r="AG62" s="139">
        <v>0</v>
      </c>
      <c r="AH62" s="139">
        <v>0</v>
      </c>
      <c r="AI62" s="139">
        <v>0</v>
      </c>
      <c r="AJ62" s="139">
        <v>0</v>
      </c>
      <c r="AK62" s="139">
        <v>0</v>
      </c>
      <c r="AL62" s="139">
        <v>0</v>
      </c>
      <c r="AM62" s="140">
        <v>0</v>
      </c>
      <c r="AO62" s="4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4"/>
    </row>
    <row r="63" spans="1:64" hidden="1" x14ac:dyDescent="0.2">
      <c r="A63" s="15">
        <f t="shared" si="24"/>
        <v>21</v>
      </c>
      <c r="B63" s="169" t="s">
        <v>768</v>
      </c>
      <c r="C63" s="17" t="s">
        <v>769</v>
      </c>
      <c r="D63" s="128" t="s">
        <v>43</v>
      </c>
      <c r="E63" s="128" t="str">
        <f t="shared" si="31"/>
        <v>30 días</v>
      </c>
      <c r="F63" s="156" t="s">
        <v>770</v>
      </c>
      <c r="G63" s="129" t="s">
        <v>143</v>
      </c>
      <c r="H63" s="129" t="s">
        <v>743</v>
      </c>
      <c r="I63" s="128"/>
      <c r="J63" s="130">
        <v>1</v>
      </c>
      <c r="K63" s="16">
        <v>27860.87</v>
      </c>
      <c r="L63" s="131">
        <f t="shared" si="32"/>
        <v>26093.649999999998</v>
      </c>
      <c r="M63" s="131">
        <f t="shared" si="33"/>
        <v>26093.649999999998</v>
      </c>
      <c r="N63" s="132">
        <f t="shared" si="34"/>
        <v>0.93656981996613886</v>
      </c>
      <c r="O63" s="133">
        <f t="shared" si="35"/>
        <v>1767.2200000000012</v>
      </c>
      <c r="P63" s="134">
        <v>0</v>
      </c>
      <c r="Q63" s="136">
        <v>0</v>
      </c>
      <c r="R63" s="136">
        <v>0</v>
      </c>
      <c r="S63" s="136">
        <v>0</v>
      </c>
      <c r="T63" s="136">
        <v>0</v>
      </c>
      <c r="U63" s="136">
        <v>0</v>
      </c>
      <c r="V63" s="136">
        <v>0</v>
      </c>
      <c r="W63" s="136">
        <v>0</v>
      </c>
      <c r="X63" s="136">
        <v>0</v>
      </c>
      <c r="Y63" s="137">
        <v>26093.649999999998</v>
      </c>
      <c r="Z63" s="137">
        <v>0</v>
      </c>
      <c r="AA63" s="138">
        <v>0</v>
      </c>
      <c r="AB63" s="139">
        <v>0</v>
      </c>
      <c r="AC63" s="139">
        <v>0</v>
      </c>
      <c r="AD63" s="139">
        <v>0</v>
      </c>
      <c r="AE63" s="139">
        <v>0</v>
      </c>
      <c r="AF63" s="139">
        <v>0</v>
      </c>
      <c r="AG63" s="139">
        <v>0</v>
      </c>
      <c r="AH63" s="139">
        <v>0</v>
      </c>
      <c r="AI63" s="139">
        <v>0</v>
      </c>
      <c r="AJ63" s="139">
        <v>0</v>
      </c>
      <c r="AK63" s="139">
        <v>0</v>
      </c>
      <c r="AL63" s="139">
        <v>0</v>
      </c>
      <c r="AM63" s="140">
        <v>0</v>
      </c>
      <c r="AO63" s="4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4"/>
    </row>
    <row r="64" spans="1:64" hidden="1" x14ac:dyDescent="0.2">
      <c r="A64" s="15">
        <f t="shared" si="24"/>
        <v>21</v>
      </c>
      <c r="B64" s="169" t="s">
        <v>771</v>
      </c>
      <c r="C64" s="17" t="s">
        <v>772</v>
      </c>
      <c r="D64" s="128" t="s">
        <v>43</v>
      </c>
      <c r="E64" s="128" t="str">
        <f t="shared" si="31"/>
        <v>30 días</v>
      </c>
      <c r="F64" s="156" t="s">
        <v>402</v>
      </c>
      <c r="G64" s="129" t="s">
        <v>232</v>
      </c>
      <c r="H64" s="129" t="s">
        <v>743</v>
      </c>
      <c r="I64" s="128" t="s">
        <v>744</v>
      </c>
      <c r="J64" s="130">
        <v>1</v>
      </c>
      <c r="K64" s="16">
        <v>294845.56</v>
      </c>
      <c r="L64" s="131">
        <f t="shared" si="32"/>
        <v>258445</v>
      </c>
      <c r="M64" s="131">
        <f t="shared" si="33"/>
        <v>254964</v>
      </c>
      <c r="N64" s="132">
        <f t="shared" si="34"/>
        <v>0.86473745780672429</v>
      </c>
      <c r="O64" s="133">
        <f t="shared" si="35"/>
        <v>39881.56</v>
      </c>
      <c r="P64" s="134">
        <v>0</v>
      </c>
      <c r="Q64" s="135">
        <v>0</v>
      </c>
      <c r="R64" s="135">
        <v>0</v>
      </c>
      <c r="S64" s="135">
        <v>0</v>
      </c>
      <c r="T64" s="135">
        <v>0</v>
      </c>
      <c r="U64" s="136">
        <v>0</v>
      </c>
      <c r="V64" s="136">
        <v>62800</v>
      </c>
      <c r="W64" s="136">
        <v>104003</v>
      </c>
      <c r="X64" s="142">
        <v>0</v>
      </c>
      <c r="Y64" s="137">
        <v>88161</v>
      </c>
      <c r="Z64" s="137">
        <v>0</v>
      </c>
      <c r="AA64" s="141">
        <v>3481</v>
      </c>
      <c r="AB64" s="139">
        <v>0</v>
      </c>
      <c r="AC64" s="139">
        <v>0</v>
      </c>
      <c r="AD64" s="139">
        <v>0</v>
      </c>
      <c r="AE64" s="139">
        <v>0</v>
      </c>
      <c r="AF64" s="139">
        <v>0</v>
      </c>
      <c r="AG64" s="139">
        <v>0</v>
      </c>
      <c r="AH64" s="139">
        <v>0</v>
      </c>
      <c r="AI64" s="139">
        <v>0</v>
      </c>
      <c r="AJ64" s="139">
        <v>0</v>
      </c>
      <c r="AK64" s="139">
        <v>0</v>
      </c>
      <c r="AL64" s="139">
        <v>0</v>
      </c>
      <c r="AM64" s="140">
        <v>0</v>
      </c>
      <c r="AO64" s="4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4"/>
    </row>
    <row r="65" spans="1:68" hidden="1" x14ac:dyDescent="0.2">
      <c r="A65" s="15">
        <f t="shared" si="24"/>
        <v>21</v>
      </c>
      <c r="B65" s="169" t="s">
        <v>773</v>
      </c>
      <c r="C65" s="17" t="s">
        <v>774</v>
      </c>
      <c r="D65" s="128" t="s">
        <v>43</v>
      </c>
      <c r="E65" s="128" t="str">
        <f t="shared" si="31"/>
        <v>30 días</v>
      </c>
      <c r="F65" s="156" t="s">
        <v>775</v>
      </c>
      <c r="G65" s="129" t="s">
        <v>776</v>
      </c>
      <c r="H65" s="129" t="s">
        <v>743</v>
      </c>
      <c r="I65" s="128" t="s">
        <v>744</v>
      </c>
      <c r="J65" s="130">
        <v>1</v>
      </c>
      <c r="K65" s="16">
        <v>67800</v>
      </c>
      <c r="L65" s="131">
        <f t="shared" si="32"/>
        <v>23642</v>
      </c>
      <c r="M65" s="131">
        <f t="shared" si="33"/>
        <v>23642</v>
      </c>
      <c r="N65" s="132">
        <f t="shared" si="34"/>
        <v>0.34870206489675515</v>
      </c>
      <c r="O65" s="133">
        <f t="shared" si="35"/>
        <v>44158</v>
      </c>
      <c r="P65" s="134">
        <v>0</v>
      </c>
      <c r="Q65" s="136">
        <v>0</v>
      </c>
      <c r="R65" s="136">
        <v>0</v>
      </c>
      <c r="S65" s="136">
        <v>0</v>
      </c>
      <c r="T65" s="136">
        <v>23642</v>
      </c>
      <c r="U65" s="136">
        <v>0</v>
      </c>
      <c r="V65" s="136">
        <v>0</v>
      </c>
      <c r="W65" s="136">
        <v>0</v>
      </c>
      <c r="X65" s="136">
        <v>0</v>
      </c>
      <c r="Y65" s="137">
        <v>0</v>
      </c>
      <c r="Z65" s="137">
        <v>0</v>
      </c>
      <c r="AA65" s="138">
        <v>0</v>
      </c>
      <c r="AB65" s="139">
        <v>0</v>
      </c>
      <c r="AC65" s="139">
        <v>0</v>
      </c>
      <c r="AD65" s="139">
        <v>0</v>
      </c>
      <c r="AE65" s="139">
        <v>0</v>
      </c>
      <c r="AF65" s="139">
        <v>0</v>
      </c>
      <c r="AG65" s="139">
        <v>0</v>
      </c>
      <c r="AH65" s="139">
        <v>0</v>
      </c>
      <c r="AI65" s="139">
        <v>0</v>
      </c>
      <c r="AJ65" s="139">
        <v>0</v>
      </c>
      <c r="AK65" s="139">
        <v>0</v>
      </c>
      <c r="AL65" s="139">
        <v>0</v>
      </c>
      <c r="AM65" s="140">
        <v>0</v>
      </c>
      <c r="AO65" s="4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4"/>
    </row>
    <row r="66" spans="1:68" hidden="1" x14ac:dyDescent="0.2">
      <c r="A66" s="15">
        <f t="shared" si="24"/>
        <v>21</v>
      </c>
      <c r="B66" s="169" t="s">
        <v>777</v>
      </c>
      <c r="C66" s="17" t="s">
        <v>778</v>
      </c>
      <c r="D66" s="128" t="s">
        <v>43</v>
      </c>
      <c r="E66" s="128" t="str">
        <f t="shared" si="31"/>
        <v>30 días</v>
      </c>
      <c r="F66" s="156" t="s">
        <v>779</v>
      </c>
      <c r="G66" s="129" t="s">
        <v>168</v>
      </c>
      <c r="H66" s="129" t="s">
        <v>743</v>
      </c>
      <c r="I66" s="128" t="s">
        <v>970</v>
      </c>
      <c r="J66" s="130">
        <v>1</v>
      </c>
      <c r="K66" s="16">
        <v>369697.48</v>
      </c>
      <c r="L66" s="131">
        <f t="shared" si="32"/>
        <v>338308</v>
      </c>
      <c r="M66" s="131">
        <f t="shared" si="33"/>
        <v>338308</v>
      </c>
      <c r="N66" s="132">
        <f t="shared" si="34"/>
        <v>0.91509414670611233</v>
      </c>
      <c r="O66" s="133">
        <f t="shared" si="35"/>
        <v>31389.479999999981</v>
      </c>
      <c r="P66" s="134">
        <v>101539</v>
      </c>
      <c r="Q66" s="135">
        <v>0</v>
      </c>
      <c r="R66" s="135">
        <v>44246</v>
      </c>
      <c r="S66" s="135">
        <f>51628+30103</f>
        <v>81731</v>
      </c>
      <c r="T66" s="135">
        <v>0</v>
      </c>
      <c r="U66" s="136">
        <f>46950+8548</f>
        <v>55498</v>
      </c>
      <c r="V66" s="136">
        <v>44745</v>
      </c>
      <c r="W66" s="136">
        <v>10549</v>
      </c>
      <c r="X66" s="136">
        <v>0</v>
      </c>
      <c r="Y66" s="137">
        <v>0</v>
      </c>
      <c r="Z66" s="137">
        <v>0</v>
      </c>
      <c r="AA66" s="138">
        <v>0</v>
      </c>
      <c r="AB66" s="139">
        <v>0</v>
      </c>
      <c r="AC66" s="139">
        <v>0</v>
      </c>
      <c r="AD66" s="139">
        <v>0</v>
      </c>
      <c r="AE66" s="139">
        <v>0</v>
      </c>
      <c r="AF66" s="139">
        <v>0</v>
      </c>
      <c r="AG66" s="139">
        <v>0</v>
      </c>
      <c r="AH66" s="139">
        <v>0</v>
      </c>
      <c r="AI66" s="139">
        <v>0</v>
      </c>
      <c r="AJ66" s="139">
        <v>0</v>
      </c>
      <c r="AK66" s="139">
        <v>0</v>
      </c>
      <c r="AL66" s="139">
        <v>0</v>
      </c>
      <c r="AM66" s="140">
        <v>0</v>
      </c>
      <c r="AO66" s="4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4"/>
    </row>
    <row r="67" spans="1:68" hidden="1" x14ac:dyDescent="0.2">
      <c r="A67" s="15">
        <f t="shared" si="24"/>
        <v>21</v>
      </c>
      <c r="B67" s="169" t="s">
        <v>780</v>
      </c>
      <c r="C67" s="17" t="s">
        <v>781</v>
      </c>
      <c r="D67" s="128" t="s">
        <v>48</v>
      </c>
      <c r="E67" s="128" t="str">
        <f t="shared" si="31"/>
        <v>Indeterminado</v>
      </c>
      <c r="F67" s="156" t="s">
        <v>782</v>
      </c>
      <c r="G67" s="129" t="s">
        <v>783</v>
      </c>
      <c r="H67" s="129" t="s">
        <v>743</v>
      </c>
      <c r="I67" s="128" t="s">
        <v>744</v>
      </c>
      <c r="J67" s="130">
        <v>1</v>
      </c>
      <c r="K67" s="16">
        <v>45656</v>
      </c>
      <c r="L67" s="131">
        <f t="shared" si="32"/>
        <v>43371</v>
      </c>
      <c r="M67" s="131">
        <f t="shared" si="33"/>
        <v>43371</v>
      </c>
      <c r="N67" s="132">
        <f t="shared" si="34"/>
        <v>0.94995181356229197</v>
      </c>
      <c r="O67" s="133">
        <f t="shared" si="35"/>
        <v>2285</v>
      </c>
      <c r="P67" s="134">
        <v>0</v>
      </c>
      <c r="Q67" s="136">
        <v>0</v>
      </c>
      <c r="R67" s="136">
        <v>0</v>
      </c>
      <c r="S67" s="136">
        <v>0</v>
      </c>
      <c r="T67" s="136">
        <v>0</v>
      </c>
      <c r="U67" s="136">
        <v>0</v>
      </c>
      <c r="V67" s="136">
        <v>0</v>
      </c>
      <c r="W67" s="136">
        <v>0</v>
      </c>
      <c r="X67" s="136">
        <v>0</v>
      </c>
      <c r="Y67" s="137">
        <v>43371</v>
      </c>
      <c r="Z67" s="137">
        <v>0</v>
      </c>
      <c r="AA67" s="138">
        <v>0</v>
      </c>
      <c r="AB67" s="139">
        <v>0</v>
      </c>
      <c r="AC67" s="139">
        <v>0</v>
      </c>
      <c r="AD67" s="139">
        <v>0</v>
      </c>
      <c r="AE67" s="139">
        <v>0</v>
      </c>
      <c r="AF67" s="139">
        <v>0</v>
      </c>
      <c r="AG67" s="139">
        <v>0</v>
      </c>
      <c r="AH67" s="139">
        <v>0</v>
      </c>
      <c r="AI67" s="139">
        <v>0</v>
      </c>
      <c r="AJ67" s="139">
        <v>0</v>
      </c>
      <c r="AK67" s="139">
        <v>0</v>
      </c>
      <c r="AL67" s="139">
        <v>0</v>
      </c>
      <c r="AM67" s="140">
        <v>0</v>
      </c>
      <c r="AO67" s="4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4"/>
    </row>
    <row r="68" spans="1:68" hidden="1" x14ac:dyDescent="0.2">
      <c r="A68" s="15">
        <f t="shared" si="24"/>
        <v>21</v>
      </c>
      <c r="B68" s="169" t="s">
        <v>784</v>
      </c>
      <c r="C68" s="17" t="s">
        <v>785</v>
      </c>
      <c r="D68" s="128" t="s">
        <v>48</v>
      </c>
      <c r="E68" s="128" t="str">
        <f t="shared" si="31"/>
        <v>Indeterminado</v>
      </c>
      <c r="F68" s="156" t="s">
        <v>786</v>
      </c>
      <c r="G68" s="129" t="s">
        <v>783</v>
      </c>
      <c r="H68" s="129" t="s">
        <v>743</v>
      </c>
      <c r="I68" s="128" t="s">
        <v>744</v>
      </c>
      <c r="J68" s="130">
        <v>1</v>
      </c>
      <c r="K68" s="16">
        <v>180263</v>
      </c>
      <c r="L68" s="131">
        <f t="shared" si="32"/>
        <v>153318</v>
      </c>
      <c r="M68" s="131">
        <f t="shared" si="33"/>
        <v>123464</v>
      </c>
      <c r="N68" s="132">
        <f t="shared" si="34"/>
        <v>0.6849103809433994</v>
      </c>
      <c r="O68" s="133">
        <f t="shared" si="35"/>
        <v>56799</v>
      </c>
      <c r="P68" s="134">
        <v>0</v>
      </c>
      <c r="Q68" s="136">
        <v>0</v>
      </c>
      <c r="R68" s="136">
        <v>0</v>
      </c>
      <c r="S68" s="136">
        <v>0</v>
      </c>
      <c r="T68" s="136">
        <v>0</v>
      </c>
      <c r="U68" s="136">
        <v>46805</v>
      </c>
      <c r="V68" s="136">
        <v>0</v>
      </c>
      <c r="W68" s="136">
        <v>29854</v>
      </c>
      <c r="X68" s="136">
        <v>46805</v>
      </c>
      <c r="Y68" s="137">
        <v>0</v>
      </c>
      <c r="Z68" s="137">
        <v>0</v>
      </c>
      <c r="AA68" s="141">
        <v>29854</v>
      </c>
      <c r="AB68" s="139">
        <v>0</v>
      </c>
      <c r="AC68" s="139">
        <v>0</v>
      </c>
      <c r="AD68" s="139">
        <v>0</v>
      </c>
      <c r="AE68" s="139">
        <v>0</v>
      </c>
      <c r="AF68" s="139">
        <v>0</v>
      </c>
      <c r="AG68" s="139">
        <v>0</v>
      </c>
      <c r="AH68" s="139">
        <v>0</v>
      </c>
      <c r="AI68" s="139">
        <v>0</v>
      </c>
      <c r="AJ68" s="139">
        <v>0</v>
      </c>
      <c r="AK68" s="139">
        <v>0</v>
      </c>
      <c r="AL68" s="139">
        <v>0</v>
      </c>
      <c r="AM68" s="140">
        <v>0</v>
      </c>
      <c r="AO68" s="4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4"/>
    </row>
    <row r="69" spans="1:68" hidden="1" x14ac:dyDescent="0.2">
      <c r="A69" s="15">
        <f t="shared" si="24"/>
        <v>21</v>
      </c>
      <c r="B69" s="169" t="s">
        <v>787</v>
      </c>
      <c r="C69" s="17" t="s">
        <v>788</v>
      </c>
      <c r="D69" s="128" t="s">
        <v>48</v>
      </c>
      <c r="E69" s="128" t="str">
        <f t="shared" si="31"/>
        <v>Indeterminado</v>
      </c>
      <c r="F69" s="156" t="s">
        <v>789</v>
      </c>
      <c r="G69" s="129" t="s">
        <v>783</v>
      </c>
      <c r="H69" s="129" t="s">
        <v>743</v>
      </c>
      <c r="I69" s="128" t="s">
        <v>744</v>
      </c>
      <c r="J69" s="130">
        <v>1</v>
      </c>
      <c r="K69" s="16">
        <v>123973</v>
      </c>
      <c r="L69" s="131">
        <f t="shared" si="32"/>
        <v>123973</v>
      </c>
      <c r="M69" s="131">
        <f t="shared" si="33"/>
        <v>123973</v>
      </c>
      <c r="N69" s="132">
        <f t="shared" si="34"/>
        <v>1</v>
      </c>
      <c r="O69" s="133">
        <f t="shared" si="35"/>
        <v>0</v>
      </c>
      <c r="P69" s="134">
        <v>0</v>
      </c>
      <c r="Q69" s="136">
        <v>0</v>
      </c>
      <c r="R69" s="136">
        <v>0</v>
      </c>
      <c r="S69" s="136">
        <v>0</v>
      </c>
      <c r="T69" s="136">
        <v>0</v>
      </c>
      <c r="U69" s="136">
        <v>0</v>
      </c>
      <c r="V69" s="136">
        <f>42832+24055</f>
        <v>66887</v>
      </c>
      <c r="W69" s="136">
        <v>57086</v>
      </c>
      <c r="X69" s="136">
        <v>0</v>
      </c>
      <c r="Y69" s="137">
        <v>0</v>
      </c>
      <c r="Z69" s="137">
        <v>0</v>
      </c>
      <c r="AA69" s="138">
        <v>0</v>
      </c>
      <c r="AB69" s="139">
        <v>0</v>
      </c>
      <c r="AC69" s="139">
        <v>0</v>
      </c>
      <c r="AD69" s="139">
        <v>0</v>
      </c>
      <c r="AE69" s="139">
        <v>0</v>
      </c>
      <c r="AF69" s="139">
        <v>0</v>
      </c>
      <c r="AG69" s="139">
        <v>0</v>
      </c>
      <c r="AH69" s="139">
        <v>0</v>
      </c>
      <c r="AI69" s="139">
        <v>0</v>
      </c>
      <c r="AJ69" s="139">
        <v>0</v>
      </c>
      <c r="AK69" s="139">
        <v>0</v>
      </c>
      <c r="AL69" s="139">
        <v>0</v>
      </c>
      <c r="AM69" s="140">
        <v>0</v>
      </c>
      <c r="AO69" s="4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4"/>
    </row>
    <row r="70" spans="1:68" hidden="1" x14ac:dyDescent="0.2">
      <c r="A70" s="15">
        <f t="shared" si="24"/>
        <v>21</v>
      </c>
      <c r="B70" s="169" t="s">
        <v>790</v>
      </c>
      <c r="C70" s="17" t="s">
        <v>748</v>
      </c>
      <c r="D70" s="128" t="s">
        <v>43</v>
      </c>
      <c r="E70" s="128" t="str">
        <f t="shared" si="31"/>
        <v>30 días</v>
      </c>
      <c r="F70" s="156" t="s">
        <v>791</v>
      </c>
      <c r="G70" s="129" t="s">
        <v>249</v>
      </c>
      <c r="H70" s="129" t="s">
        <v>743</v>
      </c>
      <c r="I70" s="128" t="s">
        <v>744</v>
      </c>
      <c r="J70" s="130">
        <v>1</v>
      </c>
      <c r="K70" s="16">
        <v>92002.260000000009</v>
      </c>
      <c r="L70" s="131">
        <f t="shared" si="32"/>
        <v>92002.260000000009</v>
      </c>
      <c r="M70" s="131">
        <f t="shared" si="33"/>
        <v>92002.260000000009</v>
      </c>
      <c r="N70" s="132">
        <f t="shared" si="34"/>
        <v>1</v>
      </c>
      <c r="O70" s="133">
        <f t="shared" si="35"/>
        <v>0</v>
      </c>
      <c r="P70" s="134">
        <v>48365.26</v>
      </c>
      <c r="Q70" s="135">
        <v>43637</v>
      </c>
      <c r="R70" s="135" t="s">
        <v>792</v>
      </c>
      <c r="S70" s="135">
        <v>0</v>
      </c>
      <c r="T70" s="135">
        <v>0</v>
      </c>
      <c r="U70" s="136">
        <v>0</v>
      </c>
      <c r="V70" s="136">
        <v>0</v>
      </c>
      <c r="W70" s="136">
        <v>0</v>
      </c>
      <c r="X70" s="136">
        <v>0</v>
      </c>
      <c r="Y70" s="137">
        <v>0</v>
      </c>
      <c r="Z70" s="137">
        <v>0</v>
      </c>
      <c r="AA70" s="138">
        <v>0</v>
      </c>
      <c r="AB70" s="139">
        <v>0</v>
      </c>
      <c r="AC70" s="139">
        <v>0</v>
      </c>
      <c r="AD70" s="139">
        <v>0</v>
      </c>
      <c r="AE70" s="139">
        <v>0</v>
      </c>
      <c r="AF70" s="139">
        <v>0</v>
      </c>
      <c r="AG70" s="139">
        <v>0</v>
      </c>
      <c r="AH70" s="139">
        <v>0</v>
      </c>
      <c r="AI70" s="139">
        <v>0</v>
      </c>
      <c r="AJ70" s="139">
        <v>0</v>
      </c>
      <c r="AK70" s="139">
        <v>0</v>
      </c>
      <c r="AL70" s="139">
        <v>0</v>
      </c>
      <c r="AM70" s="140">
        <v>0</v>
      </c>
      <c r="AO70" s="4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4"/>
    </row>
    <row r="71" spans="1:68" hidden="1" x14ac:dyDescent="0.2">
      <c r="A71" s="15">
        <f t="shared" si="24"/>
        <v>21</v>
      </c>
      <c r="B71" s="169" t="s">
        <v>973</v>
      </c>
      <c r="C71" s="17" t="s">
        <v>144</v>
      </c>
      <c r="D71" s="128" t="s">
        <v>43</v>
      </c>
      <c r="E71" s="128" t="str">
        <f t="shared" si="31"/>
        <v>30 días</v>
      </c>
      <c r="F71" s="156" t="s">
        <v>144</v>
      </c>
      <c r="G71" s="129" t="s">
        <v>143</v>
      </c>
      <c r="H71" s="129" t="s">
        <v>743</v>
      </c>
      <c r="I71" s="128" t="s">
        <v>744</v>
      </c>
      <c r="J71" s="130">
        <v>1</v>
      </c>
      <c r="K71" s="16">
        <v>442325</v>
      </c>
      <c r="L71" s="131">
        <f t="shared" si="32"/>
        <v>520065.55</v>
      </c>
      <c r="M71" s="131">
        <f t="shared" si="33"/>
        <v>520065.55</v>
      </c>
      <c r="N71" s="132">
        <f t="shared" si="34"/>
        <v>1.175754366133499</v>
      </c>
      <c r="O71" s="133">
        <f t="shared" si="35"/>
        <v>-77740.549999999988</v>
      </c>
      <c r="P71" s="134">
        <v>0</v>
      </c>
      <c r="Q71" s="135">
        <v>0</v>
      </c>
      <c r="R71" s="135">
        <v>0</v>
      </c>
      <c r="S71" s="135">
        <v>187715</v>
      </c>
      <c r="T71" s="135">
        <v>81164</v>
      </c>
      <c r="U71" s="136">
        <v>52794</v>
      </c>
      <c r="V71" s="136">
        <v>70961</v>
      </c>
      <c r="W71" s="136">
        <v>0</v>
      </c>
      <c r="X71" s="143">
        <v>43416</v>
      </c>
      <c r="Y71" s="137">
        <f>+(27702+38387)*0.95</f>
        <v>62784.549999999996</v>
      </c>
      <c r="Z71" s="137">
        <v>21231</v>
      </c>
      <c r="AA71" s="141">
        <v>0</v>
      </c>
      <c r="AB71" s="139">
        <v>30000</v>
      </c>
      <c r="AC71" s="139">
        <v>10000</v>
      </c>
      <c r="AD71" s="139">
        <v>0</v>
      </c>
      <c r="AE71" s="139">
        <v>0</v>
      </c>
      <c r="AF71" s="139">
        <v>0</v>
      </c>
      <c r="AG71" s="139">
        <v>0</v>
      </c>
      <c r="AH71" s="139">
        <v>0</v>
      </c>
      <c r="AI71" s="139">
        <v>0</v>
      </c>
      <c r="AJ71" s="139">
        <v>0</v>
      </c>
      <c r="AK71" s="139">
        <v>0</v>
      </c>
      <c r="AL71" s="139">
        <v>0</v>
      </c>
      <c r="AM71" s="140">
        <v>0</v>
      </c>
      <c r="AO71" s="4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4"/>
    </row>
    <row r="72" spans="1:68" x14ac:dyDescent="0.2">
      <c r="A72" s="15">
        <f t="shared" si="24"/>
        <v>21</v>
      </c>
      <c r="B72" s="169" t="s">
        <v>793</v>
      </c>
      <c r="C72" s="17" t="s">
        <v>794</v>
      </c>
      <c r="D72" s="128" t="s">
        <v>46</v>
      </c>
      <c r="E72" s="128" t="str">
        <f t="shared" si="31"/>
        <v>30 días</v>
      </c>
      <c r="F72" s="156" t="s">
        <v>794</v>
      </c>
      <c r="G72" s="129" t="s">
        <v>175</v>
      </c>
      <c r="H72" s="129" t="s">
        <v>743</v>
      </c>
      <c r="I72" s="128" t="s">
        <v>744</v>
      </c>
      <c r="J72" s="130">
        <v>1</v>
      </c>
      <c r="K72" s="16">
        <v>130565.63500000001</v>
      </c>
      <c r="L72" s="131">
        <f t="shared" si="32"/>
        <v>130565.63500000001</v>
      </c>
      <c r="M72" s="131">
        <f t="shared" si="33"/>
        <v>130565.63500000001</v>
      </c>
      <c r="N72" s="132">
        <f t="shared" si="34"/>
        <v>1</v>
      </c>
      <c r="O72" s="133">
        <f t="shared" si="35"/>
        <v>0</v>
      </c>
      <c r="P72" s="134">
        <v>0</v>
      </c>
      <c r="Q72" s="136">
        <v>0</v>
      </c>
      <c r="R72" s="136">
        <v>0</v>
      </c>
      <c r="S72" s="136">
        <v>33038.61</v>
      </c>
      <c r="T72" s="136">
        <v>7732.4</v>
      </c>
      <c r="U72" s="136">
        <v>41477.25</v>
      </c>
      <c r="V72" s="136">
        <v>6840.375</v>
      </c>
      <c r="W72" s="136">
        <v>41477</v>
      </c>
      <c r="X72" s="136">
        <v>0</v>
      </c>
      <c r="Y72" s="137">
        <v>0</v>
      </c>
      <c r="Z72" s="137">
        <v>0</v>
      </c>
      <c r="AA72" s="138">
        <v>0</v>
      </c>
      <c r="AB72" s="139">
        <v>0</v>
      </c>
      <c r="AC72" s="139">
        <v>0</v>
      </c>
      <c r="AD72" s="139">
        <v>0</v>
      </c>
      <c r="AE72" s="139">
        <v>0</v>
      </c>
      <c r="AF72" s="139">
        <v>0</v>
      </c>
      <c r="AG72" s="139">
        <v>0</v>
      </c>
      <c r="AH72" s="139">
        <v>0</v>
      </c>
      <c r="AI72" s="139">
        <v>0</v>
      </c>
      <c r="AJ72" s="139">
        <v>0</v>
      </c>
      <c r="AK72" s="139">
        <v>0</v>
      </c>
      <c r="AL72" s="139">
        <v>0</v>
      </c>
      <c r="AM72" s="140">
        <v>0</v>
      </c>
      <c r="AO72" s="4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4"/>
    </row>
    <row r="73" spans="1:68" hidden="1" x14ac:dyDescent="0.2">
      <c r="A73" s="15">
        <f t="shared" si="24"/>
        <v>21</v>
      </c>
      <c r="B73" s="169" t="s">
        <v>795</v>
      </c>
      <c r="C73" s="17" t="s">
        <v>244</v>
      </c>
      <c r="D73" s="128" t="s">
        <v>43</v>
      </c>
      <c r="E73" s="128" t="str">
        <f t="shared" si="31"/>
        <v>30 días</v>
      </c>
      <c r="F73" s="156" t="s">
        <v>796</v>
      </c>
      <c r="G73" s="129" t="s">
        <v>244</v>
      </c>
      <c r="H73" s="129" t="s">
        <v>743</v>
      </c>
      <c r="I73" s="128" t="s">
        <v>744</v>
      </c>
      <c r="J73" s="130">
        <v>1</v>
      </c>
      <c r="K73" s="16">
        <v>79918</v>
      </c>
      <c r="L73" s="131">
        <f t="shared" si="32"/>
        <v>190559</v>
      </c>
      <c r="M73" s="131">
        <f t="shared" si="33"/>
        <v>190559</v>
      </c>
      <c r="N73" s="132">
        <f t="shared" si="34"/>
        <v>2.3844315423308893</v>
      </c>
      <c r="O73" s="133">
        <f t="shared" si="35"/>
        <v>-110641</v>
      </c>
      <c r="P73" s="134">
        <v>39901</v>
      </c>
      <c r="Q73" s="136">
        <v>0</v>
      </c>
      <c r="R73" s="136">
        <v>109884</v>
      </c>
      <c r="S73" s="136">
        <v>0</v>
      </c>
      <c r="T73" s="136">
        <v>0</v>
      </c>
      <c r="U73" s="136">
        <v>40774</v>
      </c>
      <c r="V73" s="136">
        <v>0</v>
      </c>
      <c r="W73" s="136">
        <v>0</v>
      </c>
      <c r="X73" s="136">
        <v>0</v>
      </c>
      <c r="Y73" s="137">
        <v>0</v>
      </c>
      <c r="Z73" s="137">
        <v>0</v>
      </c>
      <c r="AA73" s="138">
        <v>0</v>
      </c>
      <c r="AB73" s="139">
        <v>0</v>
      </c>
      <c r="AC73" s="139">
        <v>0</v>
      </c>
      <c r="AD73" s="139">
        <v>0</v>
      </c>
      <c r="AE73" s="139">
        <v>0</v>
      </c>
      <c r="AF73" s="139">
        <v>0</v>
      </c>
      <c r="AG73" s="139">
        <v>0</v>
      </c>
      <c r="AH73" s="139">
        <v>0</v>
      </c>
      <c r="AI73" s="139">
        <v>0</v>
      </c>
      <c r="AJ73" s="139">
        <v>0</v>
      </c>
      <c r="AK73" s="139">
        <v>0</v>
      </c>
      <c r="AL73" s="139">
        <v>0</v>
      </c>
      <c r="AM73" s="140">
        <v>0</v>
      </c>
      <c r="AO73" s="4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4"/>
    </row>
    <row r="74" spans="1:68" ht="15" x14ac:dyDescent="0.2">
      <c r="A74" s="15">
        <f t="shared" si="24"/>
        <v>21</v>
      </c>
      <c r="B74" s="169" t="s">
        <v>797</v>
      </c>
      <c r="C74" s="17" t="s">
        <v>798</v>
      </c>
      <c r="D74" s="128" t="s">
        <v>46</v>
      </c>
      <c r="E74" s="128" t="str">
        <f t="shared" si="31"/>
        <v>30 días</v>
      </c>
      <c r="F74" s="156" t="s">
        <v>798</v>
      </c>
      <c r="G74" s="129" t="s">
        <v>799</v>
      </c>
      <c r="H74" s="129" t="s">
        <v>743</v>
      </c>
      <c r="I74" s="128" t="s">
        <v>744</v>
      </c>
      <c r="J74" s="130">
        <v>1</v>
      </c>
      <c r="K74" s="16">
        <v>18991</v>
      </c>
      <c r="L74" s="131">
        <v>18991</v>
      </c>
      <c r="M74" s="131">
        <f t="shared" si="33"/>
        <v>18991</v>
      </c>
      <c r="N74" s="132">
        <f t="shared" si="34"/>
        <v>1</v>
      </c>
      <c r="O74" s="133">
        <f t="shared" si="35"/>
        <v>0</v>
      </c>
      <c r="P74" s="134">
        <v>0</v>
      </c>
      <c r="Q74" s="136">
        <v>0</v>
      </c>
      <c r="R74" s="136">
        <v>18991</v>
      </c>
      <c r="S74" s="136">
        <v>0</v>
      </c>
      <c r="T74" s="136">
        <v>0</v>
      </c>
      <c r="U74" s="136">
        <v>0</v>
      </c>
      <c r="V74" s="136">
        <v>0</v>
      </c>
      <c r="W74" s="136">
        <v>0</v>
      </c>
      <c r="X74" s="136">
        <v>0</v>
      </c>
      <c r="Y74" s="137">
        <v>0</v>
      </c>
      <c r="Z74" s="137">
        <v>0</v>
      </c>
      <c r="AA74" s="141">
        <v>3345</v>
      </c>
      <c r="AB74" s="157">
        <v>0</v>
      </c>
      <c r="AC74" s="139">
        <v>0</v>
      </c>
      <c r="AD74" s="139">
        <v>0</v>
      </c>
      <c r="AE74" s="139">
        <v>0</v>
      </c>
      <c r="AF74" s="139">
        <v>0</v>
      </c>
      <c r="AG74" s="139">
        <v>0</v>
      </c>
      <c r="AH74" s="139">
        <v>0</v>
      </c>
      <c r="AI74" s="139">
        <v>0</v>
      </c>
      <c r="AJ74" s="139">
        <v>0</v>
      </c>
      <c r="AK74" s="139">
        <v>0</v>
      </c>
      <c r="AL74" s="139">
        <v>0</v>
      </c>
      <c r="AM74" s="140">
        <v>0</v>
      </c>
      <c r="AO74" s="4"/>
      <c r="AP74" s="18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8"/>
      <c r="BL74" s="4"/>
      <c r="BM74"/>
      <c r="BO74"/>
      <c r="BP74"/>
    </row>
    <row r="75" spans="1:68" x14ac:dyDescent="0.2">
      <c r="A75" s="15">
        <f t="shared" si="24"/>
        <v>21</v>
      </c>
      <c r="B75" s="169" t="s">
        <v>800</v>
      </c>
      <c r="C75" s="17" t="s">
        <v>801</v>
      </c>
      <c r="D75" s="128" t="s">
        <v>46</v>
      </c>
      <c r="E75" s="128" t="str">
        <f t="shared" si="31"/>
        <v>30 días</v>
      </c>
      <c r="F75" s="156" t="s">
        <v>802</v>
      </c>
      <c r="G75" s="129" t="s">
        <v>175</v>
      </c>
      <c r="H75" s="129" t="s">
        <v>743</v>
      </c>
      <c r="I75" s="128" t="s">
        <v>744</v>
      </c>
      <c r="J75" s="130">
        <v>1</v>
      </c>
      <c r="K75" s="16">
        <v>137832</v>
      </c>
      <c r="L75" s="131">
        <f t="shared" ref="L75:L88" si="36">+SUM(P75:AA75)</f>
        <v>137832</v>
      </c>
      <c r="M75" s="131">
        <f t="shared" si="33"/>
        <v>137832</v>
      </c>
      <c r="N75" s="132">
        <f t="shared" si="34"/>
        <v>1</v>
      </c>
      <c r="O75" s="133">
        <f t="shared" si="35"/>
        <v>0</v>
      </c>
      <c r="P75" s="134">
        <v>0</v>
      </c>
      <c r="Q75" s="135">
        <v>0</v>
      </c>
      <c r="R75" s="135">
        <v>0</v>
      </c>
      <c r="S75" s="135">
        <v>0</v>
      </c>
      <c r="T75" s="135">
        <v>0</v>
      </c>
      <c r="U75" s="136">
        <f>87439+10028</f>
        <v>97467</v>
      </c>
      <c r="V75" s="143">
        <v>0</v>
      </c>
      <c r="W75" s="136">
        <v>29431</v>
      </c>
      <c r="X75" s="136">
        <v>0</v>
      </c>
      <c r="Y75" s="137">
        <v>10934</v>
      </c>
      <c r="Z75" s="137">
        <v>0</v>
      </c>
      <c r="AA75" s="138">
        <v>0</v>
      </c>
      <c r="AB75" s="157">
        <v>0</v>
      </c>
      <c r="AC75" s="139">
        <v>0</v>
      </c>
      <c r="AD75" s="139">
        <v>0</v>
      </c>
      <c r="AE75" s="139">
        <v>0</v>
      </c>
      <c r="AF75" s="139">
        <v>0</v>
      </c>
      <c r="AG75" s="139">
        <v>0</v>
      </c>
      <c r="AH75" s="139">
        <v>0</v>
      </c>
      <c r="AI75" s="139">
        <v>0</v>
      </c>
      <c r="AJ75" s="139">
        <v>0</v>
      </c>
      <c r="AK75" s="139">
        <v>0</v>
      </c>
      <c r="AL75" s="139">
        <v>0</v>
      </c>
      <c r="AM75" s="140">
        <v>0</v>
      </c>
      <c r="AO75" s="4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4"/>
    </row>
    <row r="76" spans="1:68" hidden="1" x14ac:dyDescent="0.2">
      <c r="A76" s="15">
        <f t="shared" si="24"/>
        <v>21</v>
      </c>
      <c r="B76" s="169" t="s">
        <v>974</v>
      </c>
      <c r="C76" s="17" t="s">
        <v>278</v>
      </c>
      <c r="D76" s="128" t="s">
        <v>43</v>
      </c>
      <c r="E76" s="128" t="str">
        <f t="shared" si="31"/>
        <v>30 días</v>
      </c>
      <c r="F76" s="156" t="s">
        <v>975</v>
      </c>
      <c r="G76" s="129" t="s">
        <v>143</v>
      </c>
      <c r="H76" s="129" t="s">
        <v>743</v>
      </c>
      <c r="I76" s="128" t="s">
        <v>744</v>
      </c>
      <c r="J76" s="130">
        <v>1</v>
      </c>
      <c r="K76" s="16">
        <v>184000</v>
      </c>
      <c r="L76" s="131">
        <f t="shared" si="36"/>
        <v>0</v>
      </c>
      <c r="M76" s="131">
        <f t="shared" si="33"/>
        <v>0</v>
      </c>
      <c r="N76" s="132">
        <f t="shared" si="34"/>
        <v>0</v>
      </c>
      <c r="O76" s="133">
        <f t="shared" si="35"/>
        <v>184000</v>
      </c>
      <c r="P76" s="134">
        <v>0</v>
      </c>
      <c r="Q76" s="136">
        <v>0</v>
      </c>
      <c r="R76" s="136">
        <v>0</v>
      </c>
      <c r="S76" s="136">
        <v>0</v>
      </c>
      <c r="T76" s="136">
        <v>0</v>
      </c>
      <c r="U76" s="136">
        <v>0</v>
      </c>
      <c r="V76" s="136">
        <v>0</v>
      </c>
      <c r="W76" s="136">
        <v>0</v>
      </c>
      <c r="X76" s="136">
        <v>0</v>
      </c>
      <c r="Y76" s="137">
        <v>0</v>
      </c>
      <c r="Z76" s="137">
        <v>0</v>
      </c>
      <c r="AA76" s="138">
        <v>0</v>
      </c>
      <c r="AB76" s="179">
        <v>83300</v>
      </c>
      <c r="AC76" s="139">
        <v>0</v>
      </c>
      <c r="AD76" s="139">
        <f>+AC76</f>
        <v>0</v>
      </c>
      <c r="AE76" s="139">
        <v>0</v>
      </c>
      <c r="AF76" s="139">
        <v>0</v>
      </c>
      <c r="AG76" s="139">
        <v>0</v>
      </c>
      <c r="AH76" s="139">
        <v>0</v>
      </c>
      <c r="AI76" s="139">
        <v>0</v>
      </c>
      <c r="AJ76" s="139">
        <v>0</v>
      </c>
      <c r="AK76" s="139">
        <v>0</v>
      </c>
      <c r="AL76" s="139">
        <v>0</v>
      </c>
      <c r="AM76" s="140">
        <v>0</v>
      </c>
      <c r="AO76" s="4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4"/>
    </row>
    <row r="77" spans="1:68" hidden="1" x14ac:dyDescent="0.2">
      <c r="A77" s="15">
        <f t="shared" si="24"/>
        <v>21</v>
      </c>
      <c r="B77" s="169" t="s">
        <v>976</v>
      </c>
      <c r="C77" s="17" t="s">
        <v>278</v>
      </c>
      <c r="D77" s="128" t="s">
        <v>43</v>
      </c>
      <c r="E77" s="128" t="str">
        <f t="shared" si="31"/>
        <v>30 días</v>
      </c>
      <c r="F77" s="156" t="s">
        <v>977</v>
      </c>
      <c r="G77" s="129" t="s">
        <v>143</v>
      </c>
      <c r="H77" s="129" t="s">
        <v>743</v>
      </c>
      <c r="I77" s="128" t="s">
        <v>744</v>
      </c>
      <c r="J77" s="130">
        <v>1</v>
      </c>
      <c r="K77" s="16">
        <v>58723</v>
      </c>
      <c r="L77" s="131">
        <f t="shared" si="36"/>
        <v>58723</v>
      </c>
      <c r="M77" s="131">
        <f t="shared" si="33"/>
        <v>58723</v>
      </c>
      <c r="N77" s="132">
        <f t="shared" si="34"/>
        <v>1</v>
      </c>
      <c r="O77" s="133">
        <f t="shared" si="35"/>
        <v>0</v>
      </c>
      <c r="P77" s="134">
        <v>0</v>
      </c>
      <c r="Q77" s="136">
        <v>0</v>
      </c>
      <c r="R77" s="136">
        <v>0</v>
      </c>
      <c r="S77" s="136">
        <v>0</v>
      </c>
      <c r="T77" s="136">
        <v>0</v>
      </c>
      <c r="U77" s="136">
        <v>0</v>
      </c>
      <c r="V77" s="136">
        <v>0</v>
      </c>
      <c r="W77" s="136">
        <v>0</v>
      </c>
      <c r="X77" s="136">
        <v>0</v>
      </c>
      <c r="Y77" s="137">
        <v>0</v>
      </c>
      <c r="Z77" s="137">
        <v>58723</v>
      </c>
      <c r="AA77" s="141">
        <v>0</v>
      </c>
      <c r="AB77" s="178">
        <v>0</v>
      </c>
      <c r="AC77" s="139">
        <v>0</v>
      </c>
      <c r="AD77" s="139">
        <v>0</v>
      </c>
      <c r="AE77" s="139">
        <v>0</v>
      </c>
      <c r="AF77" s="139">
        <v>0</v>
      </c>
      <c r="AG77" s="139">
        <v>0</v>
      </c>
      <c r="AH77" s="139">
        <v>0</v>
      </c>
      <c r="AI77" s="139">
        <v>0</v>
      </c>
      <c r="AJ77" s="139">
        <v>0</v>
      </c>
      <c r="AK77" s="139">
        <v>0</v>
      </c>
      <c r="AL77" s="139">
        <v>0</v>
      </c>
      <c r="AM77" s="140">
        <v>0</v>
      </c>
      <c r="AO77" s="4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4"/>
    </row>
    <row r="78" spans="1:68" hidden="1" x14ac:dyDescent="0.2">
      <c r="A78" s="15">
        <f t="shared" si="24"/>
        <v>21</v>
      </c>
      <c r="B78" s="169" t="s">
        <v>803</v>
      </c>
      <c r="C78" s="17" t="s">
        <v>804</v>
      </c>
      <c r="D78" s="128" t="s">
        <v>43</v>
      </c>
      <c r="E78" s="128" t="str">
        <f t="shared" si="31"/>
        <v>30 días</v>
      </c>
      <c r="F78" s="156" t="s">
        <v>805</v>
      </c>
      <c r="G78" s="129" t="s">
        <v>143</v>
      </c>
      <c r="H78" s="129" t="s">
        <v>743</v>
      </c>
      <c r="I78" s="128" t="s">
        <v>744</v>
      </c>
      <c r="J78" s="130">
        <v>1</v>
      </c>
      <c r="K78" s="16">
        <v>34790</v>
      </c>
      <c r="L78" s="131">
        <f t="shared" si="36"/>
        <v>44990</v>
      </c>
      <c r="M78" s="131">
        <f t="shared" si="33"/>
        <v>44990</v>
      </c>
      <c r="N78" s="132">
        <f t="shared" si="34"/>
        <v>1.2931876976142569</v>
      </c>
      <c r="O78" s="133">
        <f t="shared" si="35"/>
        <v>-10200</v>
      </c>
      <c r="P78" s="134">
        <v>0</v>
      </c>
      <c r="Q78" s="135">
        <v>0</v>
      </c>
      <c r="R78" s="135">
        <v>0</v>
      </c>
      <c r="S78" s="135">
        <v>0</v>
      </c>
      <c r="T78" s="135">
        <v>0</v>
      </c>
      <c r="U78" s="136">
        <v>0</v>
      </c>
      <c r="V78" s="136">
        <v>0</v>
      </c>
      <c r="W78" s="136">
        <v>0</v>
      </c>
      <c r="X78" s="136">
        <v>0</v>
      </c>
      <c r="Y78" s="137">
        <v>0</v>
      </c>
      <c r="Z78" s="137">
        <v>44990</v>
      </c>
      <c r="AA78" s="141">
        <v>0</v>
      </c>
      <c r="AB78" s="157">
        <v>0</v>
      </c>
      <c r="AC78" s="139">
        <v>0</v>
      </c>
      <c r="AD78" s="139">
        <v>0</v>
      </c>
      <c r="AE78" s="139">
        <v>0</v>
      </c>
      <c r="AF78" s="139">
        <v>0</v>
      </c>
      <c r="AG78" s="139">
        <v>0</v>
      </c>
      <c r="AH78" s="139">
        <v>0</v>
      </c>
      <c r="AI78" s="139">
        <v>0</v>
      </c>
      <c r="AJ78" s="139">
        <v>0</v>
      </c>
      <c r="AK78" s="139">
        <v>0</v>
      </c>
      <c r="AL78" s="139">
        <v>0</v>
      </c>
      <c r="AM78" s="140">
        <v>0</v>
      </c>
      <c r="AO78" s="4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4"/>
    </row>
    <row r="79" spans="1:68" x14ac:dyDescent="0.2">
      <c r="A79" s="15">
        <f t="shared" si="24"/>
        <v>21</v>
      </c>
      <c r="B79" s="169" t="s">
        <v>819</v>
      </c>
      <c r="C79" s="17" t="s">
        <v>748</v>
      </c>
      <c r="D79" s="128" t="s">
        <v>46</v>
      </c>
      <c r="E79" s="128" t="str">
        <f t="shared" si="31"/>
        <v>30 días</v>
      </c>
      <c r="F79" s="156" t="s">
        <v>820</v>
      </c>
      <c r="G79" s="129" t="s">
        <v>175</v>
      </c>
      <c r="H79" s="129" t="s">
        <v>743</v>
      </c>
      <c r="I79" s="128" t="s">
        <v>744</v>
      </c>
      <c r="J79" s="130">
        <v>1</v>
      </c>
      <c r="K79" s="16">
        <v>14112</v>
      </c>
      <c r="L79" s="131">
        <f t="shared" si="36"/>
        <v>14112</v>
      </c>
      <c r="M79" s="131">
        <f t="shared" si="33"/>
        <v>14112</v>
      </c>
      <c r="N79" s="132">
        <f t="shared" si="34"/>
        <v>1</v>
      </c>
      <c r="O79" s="133">
        <f t="shared" si="35"/>
        <v>0</v>
      </c>
      <c r="P79" s="134">
        <v>0</v>
      </c>
      <c r="Q79" s="136">
        <v>14112</v>
      </c>
      <c r="R79" s="135">
        <v>0</v>
      </c>
      <c r="S79" s="136">
        <v>0</v>
      </c>
      <c r="T79" s="136">
        <v>0</v>
      </c>
      <c r="U79" s="136">
        <v>0</v>
      </c>
      <c r="V79" s="136">
        <v>0</v>
      </c>
      <c r="W79" s="136">
        <v>0</v>
      </c>
      <c r="X79" s="136">
        <v>0</v>
      </c>
      <c r="Y79" s="137">
        <v>0</v>
      </c>
      <c r="Z79" s="137">
        <v>0</v>
      </c>
      <c r="AA79" s="138">
        <v>0</v>
      </c>
      <c r="AB79" s="157">
        <v>0</v>
      </c>
      <c r="AC79" s="139">
        <v>0</v>
      </c>
      <c r="AD79" s="139">
        <v>0</v>
      </c>
      <c r="AE79" s="139">
        <v>0</v>
      </c>
      <c r="AF79" s="139">
        <v>0</v>
      </c>
      <c r="AG79" s="139">
        <v>0</v>
      </c>
      <c r="AH79" s="139">
        <v>0</v>
      </c>
      <c r="AI79" s="139">
        <v>0</v>
      </c>
      <c r="AJ79" s="139">
        <v>0</v>
      </c>
      <c r="AK79" s="139">
        <v>0</v>
      </c>
      <c r="AL79" s="139">
        <v>0</v>
      </c>
      <c r="AM79" s="140">
        <v>0</v>
      </c>
      <c r="AO79" s="4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4"/>
    </row>
    <row r="80" spans="1:68" x14ac:dyDescent="0.2">
      <c r="A80" s="15">
        <f t="shared" si="24"/>
        <v>21</v>
      </c>
      <c r="B80" s="169" t="s">
        <v>824</v>
      </c>
      <c r="C80" s="17" t="s">
        <v>748</v>
      </c>
      <c r="D80" s="128" t="s">
        <v>46</v>
      </c>
      <c r="E80" s="128" t="str">
        <f t="shared" si="31"/>
        <v>30 días</v>
      </c>
      <c r="F80" s="156" t="s">
        <v>825</v>
      </c>
      <c r="G80" s="129" t="s">
        <v>346</v>
      </c>
      <c r="H80" s="129" t="s">
        <v>743</v>
      </c>
      <c r="I80" s="128" t="s">
        <v>744</v>
      </c>
      <c r="J80" s="130">
        <v>1</v>
      </c>
      <c r="K80" s="16">
        <v>50219.75</v>
      </c>
      <c r="L80" s="131">
        <f t="shared" si="36"/>
        <v>50219.75</v>
      </c>
      <c r="M80" s="131">
        <f t="shared" si="33"/>
        <v>50219.75</v>
      </c>
      <c r="N80" s="132">
        <f t="shared" si="34"/>
        <v>1</v>
      </c>
      <c r="O80" s="133">
        <f t="shared" si="35"/>
        <v>0</v>
      </c>
      <c r="P80" s="134">
        <v>0</v>
      </c>
      <c r="Q80" s="136">
        <v>15176</v>
      </c>
      <c r="R80" s="135">
        <v>0</v>
      </c>
      <c r="S80" s="136">
        <v>0</v>
      </c>
      <c r="T80" s="136">
        <v>0</v>
      </c>
      <c r="U80" s="136">
        <v>0</v>
      </c>
      <c r="V80" s="136">
        <v>35043.75</v>
      </c>
      <c r="W80" s="136">
        <v>0</v>
      </c>
      <c r="X80" s="136">
        <v>0</v>
      </c>
      <c r="Y80" s="137">
        <v>0</v>
      </c>
      <c r="Z80" s="137">
        <v>0</v>
      </c>
      <c r="AA80" s="138">
        <v>0</v>
      </c>
      <c r="AB80" s="157">
        <v>0</v>
      </c>
      <c r="AC80" s="158">
        <v>0</v>
      </c>
      <c r="AD80" s="139">
        <v>0</v>
      </c>
      <c r="AE80" s="139">
        <v>0</v>
      </c>
      <c r="AF80" s="139">
        <v>0</v>
      </c>
      <c r="AG80" s="139">
        <v>0</v>
      </c>
      <c r="AH80" s="139">
        <v>0</v>
      </c>
      <c r="AI80" s="139">
        <v>0</v>
      </c>
      <c r="AJ80" s="139">
        <v>0</v>
      </c>
      <c r="AK80" s="139">
        <v>0</v>
      </c>
      <c r="AL80" s="139">
        <v>0</v>
      </c>
      <c r="AM80" s="140">
        <v>0</v>
      </c>
      <c r="AO80" s="4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4"/>
    </row>
    <row r="81" spans="1:64" x14ac:dyDescent="0.2">
      <c r="A81" s="15">
        <f t="shared" si="24"/>
        <v>21</v>
      </c>
      <c r="B81" s="169" t="s">
        <v>826</v>
      </c>
      <c r="C81" s="17" t="s">
        <v>748</v>
      </c>
      <c r="D81" s="128" t="s">
        <v>46</v>
      </c>
      <c r="E81" s="128" t="str">
        <f t="shared" si="31"/>
        <v>30 días</v>
      </c>
      <c r="F81" s="156" t="s">
        <v>827</v>
      </c>
      <c r="G81" s="129" t="s">
        <v>175</v>
      </c>
      <c r="H81" s="129" t="s">
        <v>743</v>
      </c>
      <c r="I81" s="128" t="s">
        <v>744</v>
      </c>
      <c r="J81" s="130">
        <v>1</v>
      </c>
      <c r="K81" s="16">
        <v>64800</v>
      </c>
      <c r="L81" s="131">
        <f t="shared" si="36"/>
        <v>64800</v>
      </c>
      <c r="M81" s="131">
        <f t="shared" si="33"/>
        <v>64800</v>
      </c>
      <c r="N81" s="132">
        <f t="shared" si="34"/>
        <v>1</v>
      </c>
      <c r="O81" s="133">
        <f t="shared" si="35"/>
        <v>0</v>
      </c>
      <c r="P81" s="134">
        <v>0</v>
      </c>
      <c r="Q81" s="136">
        <v>0</v>
      </c>
      <c r="R81" s="136">
        <v>0</v>
      </c>
      <c r="S81" s="136">
        <v>64800</v>
      </c>
      <c r="T81" s="136">
        <v>0</v>
      </c>
      <c r="U81" s="136">
        <v>0</v>
      </c>
      <c r="V81" s="136">
        <v>0</v>
      </c>
      <c r="W81" s="136">
        <v>0</v>
      </c>
      <c r="X81" s="136">
        <v>0</v>
      </c>
      <c r="Y81" s="137">
        <v>0</v>
      </c>
      <c r="Z81" s="137">
        <v>0</v>
      </c>
      <c r="AA81" s="138">
        <v>0</v>
      </c>
      <c r="AB81" s="157">
        <v>0</v>
      </c>
      <c r="AC81" s="158">
        <v>0</v>
      </c>
      <c r="AD81" s="139">
        <v>0</v>
      </c>
      <c r="AE81" s="139">
        <v>0</v>
      </c>
      <c r="AF81" s="139">
        <v>0</v>
      </c>
      <c r="AG81" s="139">
        <v>0</v>
      </c>
      <c r="AH81" s="139">
        <v>0</v>
      </c>
      <c r="AI81" s="139">
        <v>0</v>
      </c>
      <c r="AJ81" s="139">
        <v>0</v>
      </c>
      <c r="AK81" s="139">
        <v>0</v>
      </c>
      <c r="AL81" s="139">
        <v>0</v>
      </c>
      <c r="AM81" s="140">
        <v>0</v>
      </c>
      <c r="AO81" s="4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4"/>
    </row>
    <row r="82" spans="1:64" x14ac:dyDescent="0.2">
      <c r="A82" s="15">
        <f t="shared" si="24"/>
        <v>21</v>
      </c>
      <c r="B82" s="169" t="s">
        <v>828</v>
      </c>
      <c r="C82" s="17" t="s">
        <v>748</v>
      </c>
      <c r="D82" s="128" t="s">
        <v>46</v>
      </c>
      <c r="E82" s="128" t="str">
        <f t="shared" si="31"/>
        <v>30 días</v>
      </c>
      <c r="F82" s="156" t="s">
        <v>829</v>
      </c>
      <c r="G82" s="129" t="s">
        <v>799</v>
      </c>
      <c r="H82" s="129" t="s">
        <v>743</v>
      </c>
      <c r="I82" s="128" t="s">
        <v>744</v>
      </c>
      <c r="J82" s="130">
        <v>1</v>
      </c>
      <c r="K82" s="16">
        <v>36335.699999999997</v>
      </c>
      <c r="L82" s="131">
        <f t="shared" si="36"/>
        <v>36335.699999999997</v>
      </c>
      <c r="M82" s="131">
        <f t="shared" si="33"/>
        <v>36335.699999999997</v>
      </c>
      <c r="N82" s="132">
        <f t="shared" si="34"/>
        <v>1</v>
      </c>
      <c r="O82" s="133">
        <f t="shared" si="35"/>
        <v>0</v>
      </c>
      <c r="P82" s="134">
        <v>0</v>
      </c>
      <c r="Q82" s="136">
        <v>0</v>
      </c>
      <c r="R82" s="136">
        <v>0</v>
      </c>
      <c r="S82" s="136">
        <v>0</v>
      </c>
      <c r="T82" s="136">
        <v>0</v>
      </c>
      <c r="U82" s="136">
        <v>36335.699999999997</v>
      </c>
      <c r="V82" s="136">
        <v>0</v>
      </c>
      <c r="W82" s="136">
        <v>0</v>
      </c>
      <c r="X82" s="136">
        <v>0</v>
      </c>
      <c r="Y82" s="137">
        <v>0</v>
      </c>
      <c r="Z82" s="137">
        <v>0</v>
      </c>
      <c r="AA82" s="138">
        <v>0</v>
      </c>
      <c r="AB82" s="157">
        <v>0</v>
      </c>
      <c r="AC82" s="158">
        <v>0</v>
      </c>
      <c r="AD82" s="139">
        <v>0</v>
      </c>
      <c r="AE82" s="139">
        <v>0</v>
      </c>
      <c r="AF82" s="139">
        <v>0</v>
      </c>
      <c r="AG82" s="139">
        <v>0</v>
      </c>
      <c r="AH82" s="139">
        <v>0</v>
      </c>
      <c r="AI82" s="139">
        <v>0</v>
      </c>
      <c r="AJ82" s="139">
        <v>0</v>
      </c>
      <c r="AK82" s="139">
        <v>0</v>
      </c>
      <c r="AL82" s="139">
        <v>0</v>
      </c>
      <c r="AM82" s="140">
        <v>0</v>
      </c>
      <c r="AO82" s="4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4"/>
    </row>
    <row r="83" spans="1:64" x14ac:dyDescent="0.2">
      <c r="A83" s="15">
        <f t="shared" si="24"/>
        <v>21</v>
      </c>
      <c r="B83" s="169" t="s">
        <v>830</v>
      </c>
      <c r="C83" s="17" t="s">
        <v>831</v>
      </c>
      <c r="D83" s="128" t="s">
        <v>46</v>
      </c>
      <c r="E83" s="128" t="str">
        <f t="shared" si="31"/>
        <v>30 días</v>
      </c>
      <c r="F83" s="156" t="s">
        <v>832</v>
      </c>
      <c r="G83" s="129" t="s">
        <v>175</v>
      </c>
      <c r="H83" s="129" t="s">
        <v>743</v>
      </c>
      <c r="I83" s="128" t="s">
        <v>744</v>
      </c>
      <c r="J83" s="130">
        <v>1</v>
      </c>
      <c r="K83" s="16">
        <v>252096</v>
      </c>
      <c r="L83" s="131">
        <f t="shared" si="36"/>
        <v>175188.25999999989</v>
      </c>
      <c r="M83" s="131">
        <f t="shared" si="33"/>
        <v>175188.25999999989</v>
      </c>
      <c r="N83" s="132">
        <f t="shared" si="34"/>
        <v>0.69492677392739233</v>
      </c>
      <c r="O83" s="133">
        <f t="shared" si="35"/>
        <v>76907.740000000107</v>
      </c>
      <c r="P83" s="134">
        <v>49915</v>
      </c>
      <c r="Q83" s="136">
        <v>56217</v>
      </c>
      <c r="R83" s="136">
        <v>0</v>
      </c>
      <c r="S83" s="136">
        <v>40587.46</v>
      </c>
      <c r="T83" s="136">
        <v>0</v>
      </c>
      <c r="U83" s="136">
        <v>0</v>
      </c>
      <c r="V83" s="136">
        <v>28468.799999999901</v>
      </c>
      <c r="W83" s="136">
        <v>0</v>
      </c>
      <c r="X83" s="136">
        <v>0</v>
      </c>
      <c r="Y83" s="137">
        <v>0</v>
      </c>
      <c r="Z83" s="137">
        <v>0</v>
      </c>
      <c r="AA83" s="161">
        <v>0</v>
      </c>
      <c r="AB83" s="157">
        <v>0</v>
      </c>
      <c r="AC83" s="158">
        <v>0</v>
      </c>
      <c r="AD83" s="139">
        <v>0</v>
      </c>
      <c r="AE83" s="139">
        <v>0</v>
      </c>
      <c r="AF83" s="139">
        <v>0</v>
      </c>
      <c r="AG83" s="139">
        <v>0</v>
      </c>
      <c r="AH83" s="139">
        <v>0</v>
      </c>
      <c r="AI83" s="139">
        <v>0</v>
      </c>
      <c r="AJ83" s="139">
        <v>0</v>
      </c>
      <c r="AK83" s="139">
        <v>0</v>
      </c>
      <c r="AL83" s="139">
        <v>0</v>
      </c>
      <c r="AM83" s="140">
        <v>0</v>
      </c>
      <c r="AO83" s="4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4"/>
    </row>
    <row r="84" spans="1:64" x14ac:dyDescent="0.2">
      <c r="A84" s="15">
        <f t="shared" si="24"/>
        <v>21</v>
      </c>
      <c r="B84" s="169" t="s">
        <v>833</v>
      </c>
      <c r="C84" s="17" t="s">
        <v>834</v>
      </c>
      <c r="D84" s="128" t="s">
        <v>46</v>
      </c>
      <c r="E84" s="128" t="str">
        <f t="shared" si="31"/>
        <v>30 días</v>
      </c>
      <c r="F84" s="156" t="s">
        <v>834</v>
      </c>
      <c r="G84" s="129" t="s">
        <v>175</v>
      </c>
      <c r="H84" s="129" t="s">
        <v>743</v>
      </c>
      <c r="I84" s="128" t="s">
        <v>744</v>
      </c>
      <c r="J84" s="130">
        <v>1</v>
      </c>
      <c r="K84" s="16">
        <v>85000</v>
      </c>
      <c r="L84" s="131">
        <f t="shared" si="36"/>
        <v>49792</v>
      </c>
      <c r="M84" s="131">
        <f t="shared" si="33"/>
        <v>49792</v>
      </c>
      <c r="N84" s="132">
        <f t="shared" si="34"/>
        <v>0.58578823529411761</v>
      </c>
      <c r="O84" s="133">
        <f t="shared" si="35"/>
        <v>35208</v>
      </c>
      <c r="P84" s="134">
        <v>0</v>
      </c>
      <c r="Q84" s="135">
        <v>0</v>
      </c>
      <c r="R84" s="135">
        <v>0</v>
      </c>
      <c r="S84" s="135">
        <v>0</v>
      </c>
      <c r="T84" s="135">
        <v>49792</v>
      </c>
      <c r="U84" s="136">
        <v>0</v>
      </c>
      <c r="V84" s="136">
        <v>0</v>
      </c>
      <c r="W84" s="136">
        <v>0</v>
      </c>
      <c r="X84" s="136">
        <v>0</v>
      </c>
      <c r="Y84" s="137">
        <v>0</v>
      </c>
      <c r="Z84" s="137">
        <v>0</v>
      </c>
      <c r="AA84" s="161">
        <v>0</v>
      </c>
      <c r="AB84" s="157">
        <v>0</v>
      </c>
      <c r="AC84" s="158">
        <v>0</v>
      </c>
      <c r="AD84" s="139">
        <v>0</v>
      </c>
      <c r="AE84" s="139">
        <v>0</v>
      </c>
      <c r="AF84" s="139">
        <v>0</v>
      </c>
      <c r="AG84" s="139">
        <v>0</v>
      </c>
      <c r="AH84" s="139">
        <v>0</v>
      </c>
      <c r="AI84" s="139">
        <v>0</v>
      </c>
      <c r="AJ84" s="139">
        <v>0</v>
      </c>
      <c r="AK84" s="139">
        <v>0</v>
      </c>
      <c r="AL84" s="139">
        <v>0</v>
      </c>
      <c r="AM84" s="140">
        <v>0</v>
      </c>
      <c r="AO84" s="4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4"/>
    </row>
    <row r="85" spans="1:64" x14ac:dyDescent="0.2">
      <c r="A85" s="15">
        <f t="shared" si="24"/>
        <v>21</v>
      </c>
      <c r="B85" s="169" t="s">
        <v>835</v>
      </c>
      <c r="C85" s="17" t="s">
        <v>836</v>
      </c>
      <c r="D85" s="128" t="s">
        <v>46</v>
      </c>
      <c r="E85" s="128" t="str">
        <f t="shared" si="31"/>
        <v>30 días</v>
      </c>
      <c r="F85" s="156" t="s">
        <v>836</v>
      </c>
      <c r="G85" s="129" t="s">
        <v>175</v>
      </c>
      <c r="H85" s="129" t="s">
        <v>743</v>
      </c>
      <c r="I85" s="128" t="s">
        <v>744</v>
      </c>
      <c r="J85" s="130">
        <v>1</v>
      </c>
      <c r="K85" s="16">
        <v>263544</v>
      </c>
      <c r="L85" s="131">
        <f t="shared" si="36"/>
        <v>263544</v>
      </c>
      <c r="M85" s="131">
        <f t="shared" si="33"/>
        <v>263544</v>
      </c>
      <c r="N85" s="132">
        <f t="shared" si="34"/>
        <v>1</v>
      </c>
      <c r="O85" s="133">
        <f t="shared" si="35"/>
        <v>0</v>
      </c>
      <c r="P85" s="134">
        <v>0</v>
      </c>
      <c r="Q85" s="135">
        <v>0</v>
      </c>
      <c r="R85" s="135">
        <v>0</v>
      </c>
      <c r="S85" s="135">
        <v>0</v>
      </c>
      <c r="T85" s="135">
        <v>170704</v>
      </c>
      <c r="U85" s="135">
        <v>0</v>
      </c>
      <c r="V85" s="136">
        <v>32056</v>
      </c>
      <c r="W85" s="136">
        <v>0</v>
      </c>
      <c r="X85" s="136">
        <v>0</v>
      </c>
      <c r="Y85" s="137">
        <v>60784</v>
      </c>
      <c r="Z85" s="137">
        <v>0</v>
      </c>
      <c r="AA85" s="161">
        <v>0</v>
      </c>
      <c r="AB85" s="157">
        <v>0</v>
      </c>
      <c r="AC85" s="158">
        <v>0</v>
      </c>
      <c r="AD85" s="139">
        <v>0</v>
      </c>
      <c r="AE85" s="139">
        <v>0</v>
      </c>
      <c r="AF85" s="139">
        <v>0</v>
      </c>
      <c r="AG85" s="139">
        <v>0</v>
      </c>
      <c r="AH85" s="139">
        <v>0</v>
      </c>
      <c r="AI85" s="139">
        <v>0</v>
      </c>
      <c r="AJ85" s="139">
        <v>0</v>
      </c>
      <c r="AK85" s="139">
        <v>0</v>
      </c>
      <c r="AL85" s="139">
        <v>0</v>
      </c>
      <c r="AM85" s="140">
        <v>0</v>
      </c>
      <c r="AO85" s="4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4"/>
    </row>
    <row r="86" spans="1:64" x14ac:dyDescent="0.2">
      <c r="A86" s="15">
        <f t="shared" si="24"/>
        <v>21</v>
      </c>
      <c r="B86" s="169" t="s">
        <v>847</v>
      </c>
      <c r="C86" s="17" t="s">
        <v>848</v>
      </c>
      <c r="D86" s="128" t="s">
        <v>46</v>
      </c>
      <c r="E86" s="128" t="str">
        <f t="shared" si="31"/>
        <v>30 días</v>
      </c>
      <c r="F86" s="156" t="s">
        <v>848</v>
      </c>
      <c r="G86" s="129" t="s">
        <v>175</v>
      </c>
      <c r="H86" s="129" t="s">
        <v>743</v>
      </c>
      <c r="I86" s="128" t="s">
        <v>744</v>
      </c>
      <c r="J86" s="130">
        <v>1</v>
      </c>
      <c r="K86" s="16">
        <v>15000</v>
      </c>
      <c r="L86" s="131">
        <f t="shared" si="36"/>
        <v>0</v>
      </c>
      <c r="M86" s="131">
        <f t="shared" si="33"/>
        <v>0</v>
      </c>
      <c r="N86" s="132">
        <f t="shared" si="34"/>
        <v>0</v>
      </c>
      <c r="O86" s="133">
        <f t="shared" si="35"/>
        <v>15000</v>
      </c>
      <c r="P86" s="134">
        <v>0</v>
      </c>
      <c r="Q86" s="136">
        <v>0</v>
      </c>
      <c r="R86" s="136">
        <v>0</v>
      </c>
      <c r="S86" s="136">
        <v>0</v>
      </c>
      <c r="T86" s="136">
        <v>0</v>
      </c>
      <c r="U86" s="136">
        <v>0</v>
      </c>
      <c r="V86" s="136">
        <v>0</v>
      </c>
      <c r="W86" s="136">
        <v>0</v>
      </c>
      <c r="X86" s="136">
        <v>0</v>
      </c>
      <c r="Y86" s="137">
        <v>0</v>
      </c>
      <c r="Z86" s="137">
        <v>0</v>
      </c>
      <c r="AA86" s="177">
        <v>0</v>
      </c>
      <c r="AB86" s="162">
        <v>15000</v>
      </c>
      <c r="AC86" s="139">
        <v>0</v>
      </c>
      <c r="AD86" s="139">
        <v>0</v>
      </c>
      <c r="AE86" s="139">
        <v>0</v>
      </c>
      <c r="AF86" s="139">
        <v>0</v>
      </c>
      <c r="AG86" s="139">
        <v>0</v>
      </c>
      <c r="AH86" s="139">
        <v>0</v>
      </c>
      <c r="AI86" s="139">
        <v>0</v>
      </c>
      <c r="AJ86" s="139">
        <v>0</v>
      </c>
      <c r="AK86" s="139">
        <v>0</v>
      </c>
      <c r="AL86" s="139">
        <v>0</v>
      </c>
      <c r="AM86" s="140">
        <v>0</v>
      </c>
      <c r="AO86" s="4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4"/>
    </row>
    <row r="87" spans="1:64" hidden="1" x14ac:dyDescent="0.2">
      <c r="A87" s="15">
        <f t="shared" si="24"/>
        <v>21</v>
      </c>
      <c r="B87" s="169" t="s">
        <v>978</v>
      </c>
      <c r="C87" s="17" t="s">
        <v>979</v>
      </c>
      <c r="D87" s="128" t="s">
        <v>45</v>
      </c>
      <c r="E87" s="128" t="str">
        <f t="shared" si="31"/>
        <v>60 días</v>
      </c>
      <c r="F87" s="156" t="s">
        <v>215</v>
      </c>
      <c r="G87" s="129" t="s">
        <v>213</v>
      </c>
      <c r="H87" s="129" t="s">
        <v>957</v>
      </c>
      <c r="I87" s="128" t="s">
        <v>744</v>
      </c>
      <c r="J87" s="130">
        <v>0.8</v>
      </c>
      <c r="K87" s="16">
        <v>405000</v>
      </c>
      <c r="L87" s="131">
        <f t="shared" si="36"/>
        <v>0</v>
      </c>
      <c r="M87" s="131">
        <f t="shared" si="33"/>
        <v>0</v>
      </c>
      <c r="N87" s="132">
        <f t="shared" si="34"/>
        <v>0</v>
      </c>
      <c r="O87" s="133">
        <f t="shared" si="35"/>
        <v>405000</v>
      </c>
      <c r="P87" s="134">
        <v>0</v>
      </c>
      <c r="Q87" s="136">
        <v>0</v>
      </c>
      <c r="R87" s="136">
        <v>0</v>
      </c>
      <c r="S87" s="136">
        <v>0</v>
      </c>
      <c r="T87" s="136">
        <v>0</v>
      </c>
      <c r="U87" s="136">
        <v>0</v>
      </c>
      <c r="V87" s="136">
        <v>0</v>
      </c>
      <c r="W87" s="136">
        <v>0</v>
      </c>
      <c r="X87" s="136">
        <v>0</v>
      </c>
      <c r="Y87" s="137">
        <v>0</v>
      </c>
      <c r="Z87" s="137">
        <v>0</v>
      </c>
      <c r="AA87" s="159">
        <v>0</v>
      </c>
      <c r="AB87" s="157">
        <v>0</v>
      </c>
      <c r="AC87" s="158">
        <v>0</v>
      </c>
      <c r="AD87" s="158">
        <v>0</v>
      </c>
      <c r="AE87" s="139">
        <v>67500</v>
      </c>
      <c r="AF87" s="139">
        <v>67500</v>
      </c>
      <c r="AG87" s="139">
        <v>67500</v>
      </c>
      <c r="AH87" s="139">
        <v>67500</v>
      </c>
      <c r="AI87" s="139">
        <v>67500</v>
      </c>
      <c r="AJ87" s="139">
        <v>67500</v>
      </c>
      <c r="AK87" s="139">
        <v>0</v>
      </c>
      <c r="AL87" s="139">
        <v>0</v>
      </c>
      <c r="AM87" s="140">
        <v>0</v>
      </c>
      <c r="AO87" s="4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4"/>
    </row>
    <row r="88" spans="1:64" hidden="1" x14ac:dyDescent="0.2">
      <c r="A88" s="15">
        <f t="shared" si="24"/>
        <v>21</v>
      </c>
      <c r="B88" s="169" t="s">
        <v>980</v>
      </c>
      <c r="C88" s="17" t="s">
        <v>981</v>
      </c>
      <c r="D88" s="128" t="s">
        <v>43</v>
      </c>
      <c r="E88" s="128" t="str">
        <f t="shared" si="31"/>
        <v>30 días</v>
      </c>
      <c r="F88" s="156" t="s">
        <v>981</v>
      </c>
      <c r="G88" s="129" t="s">
        <v>249</v>
      </c>
      <c r="H88" s="129" t="s">
        <v>957</v>
      </c>
      <c r="I88" s="128" t="s">
        <v>744</v>
      </c>
      <c r="J88" s="130">
        <v>0.7</v>
      </c>
      <c r="K88" s="16">
        <v>50000</v>
      </c>
      <c r="L88" s="131">
        <f t="shared" si="36"/>
        <v>0</v>
      </c>
      <c r="M88" s="131">
        <f t="shared" si="33"/>
        <v>0</v>
      </c>
      <c r="N88" s="132">
        <f t="shared" si="34"/>
        <v>0</v>
      </c>
      <c r="O88" s="133">
        <f t="shared" si="35"/>
        <v>50000</v>
      </c>
      <c r="P88" s="134">
        <v>0</v>
      </c>
      <c r="Q88" s="136">
        <v>0</v>
      </c>
      <c r="R88" s="136">
        <v>0</v>
      </c>
      <c r="S88" s="136">
        <v>0</v>
      </c>
      <c r="T88" s="136">
        <v>0</v>
      </c>
      <c r="U88" s="136">
        <v>0</v>
      </c>
      <c r="V88" s="136">
        <v>0</v>
      </c>
      <c r="W88" s="136">
        <v>0</v>
      </c>
      <c r="X88" s="136">
        <v>0</v>
      </c>
      <c r="Y88" s="137">
        <v>0</v>
      </c>
      <c r="Z88" s="137">
        <v>0</v>
      </c>
      <c r="AA88" s="159">
        <v>0</v>
      </c>
      <c r="AB88" s="157">
        <v>0</v>
      </c>
      <c r="AC88" s="158">
        <v>0</v>
      </c>
      <c r="AD88" s="158">
        <f>+K88/2</f>
        <v>25000</v>
      </c>
      <c r="AE88" s="139">
        <f>+AD88</f>
        <v>25000</v>
      </c>
      <c r="AF88" s="139">
        <v>0</v>
      </c>
      <c r="AG88" s="139">
        <v>0</v>
      </c>
      <c r="AH88" s="139">
        <v>0</v>
      </c>
      <c r="AI88" s="139">
        <v>0</v>
      </c>
      <c r="AJ88" s="139">
        <v>0</v>
      </c>
      <c r="AK88" s="139">
        <v>0</v>
      </c>
      <c r="AL88" s="139">
        <v>0</v>
      </c>
      <c r="AM88" s="140">
        <v>0</v>
      </c>
      <c r="AO88" s="4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4"/>
    </row>
    <row r="89" spans="1:64" hidden="1" x14ac:dyDescent="0.2">
      <c r="A89" s="15">
        <f t="shared" si="24"/>
        <v>21</v>
      </c>
      <c r="B89" s="169" t="s">
        <v>982</v>
      </c>
      <c r="C89" s="17" t="s">
        <v>983</v>
      </c>
      <c r="D89" s="128" t="s">
        <v>46</v>
      </c>
      <c r="E89" s="128" t="str">
        <f t="shared" si="31"/>
        <v>30 días</v>
      </c>
      <c r="F89" s="156" t="s">
        <v>983</v>
      </c>
      <c r="G89" s="129" t="s">
        <v>799</v>
      </c>
      <c r="H89" s="129" t="s">
        <v>957</v>
      </c>
      <c r="I89" s="128" t="s">
        <v>744</v>
      </c>
      <c r="J89" s="130">
        <v>0.5</v>
      </c>
      <c r="K89" s="16">
        <v>97780</v>
      </c>
      <c r="L89" s="131">
        <f>+SUM(P89:AD89)</f>
        <v>32593.333333333332</v>
      </c>
      <c r="M89" s="131">
        <f t="shared" si="33"/>
        <v>0</v>
      </c>
      <c r="N89" s="132">
        <f t="shared" si="34"/>
        <v>0</v>
      </c>
      <c r="O89" s="133">
        <f t="shared" si="35"/>
        <v>97780</v>
      </c>
      <c r="P89" s="134">
        <v>0</v>
      </c>
      <c r="Q89" s="136">
        <v>0</v>
      </c>
      <c r="R89" s="136">
        <v>0</v>
      </c>
      <c r="S89" s="136">
        <v>0</v>
      </c>
      <c r="T89" s="136">
        <v>0</v>
      </c>
      <c r="U89" s="136">
        <v>0</v>
      </c>
      <c r="V89" s="136">
        <v>0</v>
      </c>
      <c r="W89" s="136">
        <v>0</v>
      </c>
      <c r="X89" s="136">
        <v>0</v>
      </c>
      <c r="Y89" s="137">
        <v>0</v>
      </c>
      <c r="Z89" s="137">
        <v>0</v>
      </c>
      <c r="AA89" s="159">
        <v>0</v>
      </c>
      <c r="AB89" s="157">
        <v>0</v>
      </c>
      <c r="AC89" s="158">
        <v>0</v>
      </c>
      <c r="AD89" s="158">
        <f>+K89/3</f>
        <v>32593.333333333332</v>
      </c>
      <c r="AE89" s="139">
        <f>+AD89</f>
        <v>32593.333333333332</v>
      </c>
      <c r="AF89" s="139">
        <f>+AE89</f>
        <v>32593.333333333332</v>
      </c>
      <c r="AG89" s="139">
        <v>0</v>
      </c>
      <c r="AH89" s="139">
        <v>0</v>
      </c>
      <c r="AI89" s="139">
        <v>0</v>
      </c>
      <c r="AJ89" s="139">
        <v>0</v>
      </c>
      <c r="AK89" s="139">
        <v>0</v>
      </c>
      <c r="AL89" s="139">
        <v>0</v>
      </c>
      <c r="AM89" s="140">
        <v>0</v>
      </c>
      <c r="AO89" s="4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4"/>
    </row>
    <row r="90" spans="1:64" hidden="1" x14ac:dyDescent="0.2">
      <c r="A90" s="15">
        <f t="shared" si="24"/>
        <v>21</v>
      </c>
      <c r="B90" s="169" t="s">
        <v>984</v>
      </c>
      <c r="C90" s="17" t="s">
        <v>985</v>
      </c>
      <c r="D90" s="128" t="s">
        <v>46</v>
      </c>
      <c r="E90" s="128" t="str">
        <f t="shared" si="31"/>
        <v>30 días</v>
      </c>
      <c r="F90" s="156" t="s">
        <v>986</v>
      </c>
      <c r="G90" s="129" t="s">
        <v>232</v>
      </c>
      <c r="H90" s="129" t="s">
        <v>957</v>
      </c>
      <c r="I90" s="128" t="s">
        <v>744</v>
      </c>
      <c r="J90" s="130">
        <v>0.5</v>
      </c>
      <c r="K90" s="16">
        <v>250000</v>
      </c>
      <c r="L90" s="160">
        <f>+SUM(P90:AD90)</f>
        <v>35000</v>
      </c>
      <c r="M90" s="131">
        <f t="shared" si="33"/>
        <v>0</v>
      </c>
      <c r="N90" s="132">
        <f t="shared" si="34"/>
        <v>0</v>
      </c>
      <c r="O90" s="133">
        <f t="shared" si="35"/>
        <v>250000</v>
      </c>
      <c r="P90" s="134">
        <v>0</v>
      </c>
      <c r="Q90" s="136">
        <v>0</v>
      </c>
      <c r="R90" s="136">
        <v>0</v>
      </c>
      <c r="S90" s="136">
        <v>0</v>
      </c>
      <c r="T90" s="136">
        <v>0</v>
      </c>
      <c r="U90" s="136">
        <v>0</v>
      </c>
      <c r="V90" s="136">
        <v>0</v>
      </c>
      <c r="W90" s="136">
        <v>0</v>
      </c>
      <c r="X90" s="136">
        <v>0</v>
      </c>
      <c r="Y90" s="137">
        <v>0</v>
      </c>
      <c r="Z90" s="137">
        <v>0</v>
      </c>
      <c r="AA90" s="138">
        <v>0</v>
      </c>
      <c r="AB90" s="157">
        <v>0</v>
      </c>
      <c r="AC90" s="158">
        <v>0</v>
      </c>
      <c r="AD90" s="158">
        <v>35000</v>
      </c>
      <c r="AE90" s="139">
        <v>60000</v>
      </c>
      <c r="AF90" s="139">
        <v>60000</v>
      </c>
      <c r="AG90" s="139">
        <v>55000</v>
      </c>
      <c r="AH90" s="139">
        <v>40000</v>
      </c>
      <c r="AI90" s="139">
        <v>0</v>
      </c>
      <c r="AJ90" s="139">
        <v>0</v>
      </c>
      <c r="AK90" s="139">
        <v>0</v>
      </c>
      <c r="AL90" s="139">
        <v>0</v>
      </c>
      <c r="AM90" s="140">
        <v>0</v>
      </c>
      <c r="AO90" s="4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4"/>
    </row>
    <row r="91" spans="1:64" hidden="1" x14ac:dyDescent="0.2">
      <c r="A91" s="15">
        <f t="shared" si="24"/>
        <v>21</v>
      </c>
      <c r="B91" s="169" t="s">
        <v>987</v>
      </c>
      <c r="C91" s="17" t="s">
        <v>988</v>
      </c>
      <c r="D91" s="128" t="s">
        <v>46</v>
      </c>
      <c r="E91" s="128" t="str">
        <f t="shared" si="31"/>
        <v>30 días</v>
      </c>
      <c r="F91" s="156" t="s">
        <v>989</v>
      </c>
      <c r="G91" s="129" t="s">
        <v>175</v>
      </c>
      <c r="H91" s="129" t="s">
        <v>957</v>
      </c>
      <c r="I91" s="128" t="s">
        <v>744</v>
      </c>
      <c r="J91" s="130">
        <v>0.5</v>
      </c>
      <c r="K91" s="16">
        <v>500000</v>
      </c>
      <c r="L91" s="131">
        <f>+SUM(P91:AD91)</f>
        <v>70000</v>
      </c>
      <c r="M91" s="131">
        <f t="shared" si="33"/>
        <v>0</v>
      </c>
      <c r="N91" s="132">
        <f t="shared" si="34"/>
        <v>0</v>
      </c>
      <c r="O91" s="133">
        <f t="shared" si="35"/>
        <v>500000</v>
      </c>
      <c r="P91" s="134">
        <v>0</v>
      </c>
      <c r="Q91" s="136">
        <v>0</v>
      </c>
      <c r="R91" s="136">
        <v>0</v>
      </c>
      <c r="S91" s="136">
        <v>0</v>
      </c>
      <c r="T91" s="136">
        <v>0</v>
      </c>
      <c r="U91" s="136">
        <v>0</v>
      </c>
      <c r="V91" s="136">
        <v>0</v>
      </c>
      <c r="W91" s="136">
        <v>0</v>
      </c>
      <c r="X91" s="136">
        <v>0</v>
      </c>
      <c r="Y91" s="137">
        <v>0</v>
      </c>
      <c r="Z91" s="137">
        <v>0</v>
      </c>
      <c r="AA91" s="138">
        <v>0</v>
      </c>
      <c r="AB91" s="157">
        <v>0</v>
      </c>
      <c r="AC91" s="158">
        <v>0</v>
      </c>
      <c r="AD91" s="158">
        <v>70000</v>
      </c>
      <c r="AE91" s="139">
        <v>100000</v>
      </c>
      <c r="AF91" s="139">
        <v>100000</v>
      </c>
      <c r="AG91" s="139">
        <v>100000</v>
      </c>
      <c r="AH91" s="139">
        <v>100000</v>
      </c>
      <c r="AI91" s="139">
        <v>30000</v>
      </c>
      <c r="AJ91" s="139">
        <v>0</v>
      </c>
      <c r="AK91" s="139">
        <v>0</v>
      </c>
      <c r="AL91" s="139">
        <v>0</v>
      </c>
      <c r="AM91" s="140">
        <v>0</v>
      </c>
      <c r="AO91" s="4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4"/>
    </row>
    <row r="92" spans="1:64" hidden="1" x14ac:dyDescent="0.2">
      <c r="A92" s="15">
        <f t="shared" si="24"/>
        <v>21</v>
      </c>
      <c r="B92" s="169" t="s">
        <v>990</v>
      </c>
      <c r="C92" s="17" t="s">
        <v>991</v>
      </c>
      <c r="D92" s="128" t="s">
        <v>43</v>
      </c>
      <c r="E92" s="128" t="str">
        <f t="shared" si="31"/>
        <v>30 días</v>
      </c>
      <c r="F92" s="156" t="s">
        <v>991</v>
      </c>
      <c r="G92" s="129" t="s">
        <v>143</v>
      </c>
      <c r="H92" s="129" t="s">
        <v>957</v>
      </c>
      <c r="I92" s="128" t="s">
        <v>744</v>
      </c>
      <c r="J92" s="130">
        <v>0.5</v>
      </c>
      <c r="K92" s="16">
        <v>140000</v>
      </c>
      <c r="L92" s="131">
        <f t="shared" ref="L92:L99" si="37">+SUM(P92:AA92)</f>
        <v>0</v>
      </c>
      <c r="M92" s="131">
        <f t="shared" si="33"/>
        <v>0</v>
      </c>
      <c r="N92" s="132">
        <f t="shared" si="34"/>
        <v>0</v>
      </c>
      <c r="O92" s="133">
        <f t="shared" si="35"/>
        <v>140000</v>
      </c>
      <c r="P92" s="134">
        <v>0</v>
      </c>
      <c r="Q92" s="136">
        <v>0</v>
      </c>
      <c r="R92" s="136">
        <v>0</v>
      </c>
      <c r="S92" s="136">
        <v>0</v>
      </c>
      <c r="T92" s="136">
        <v>0</v>
      </c>
      <c r="U92" s="136">
        <v>0</v>
      </c>
      <c r="V92" s="136">
        <v>0</v>
      </c>
      <c r="W92" s="136">
        <v>0</v>
      </c>
      <c r="X92" s="136">
        <v>0</v>
      </c>
      <c r="Y92" s="137">
        <v>0</v>
      </c>
      <c r="Z92" s="137">
        <v>0</v>
      </c>
      <c r="AA92" s="138">
        <v>0</v>
      </c>
      <c r="AB92" s="157">
        <v>0</v>
      </c>
      <c r="AC92" s="158">
        <v>0</v>
      </c>
      <c r="AD92" s="139">
        <f>+K92/4</f>
        <v>35000</v>
      </c>
      <c r="AE92" s="139">
        <f>+AD92</f>
        <v>35000</v>
      </c>
      <c r="AF92" s="139">
        <f>+AE92</f>
        <v>35000</v>
      </c>
      <c r="AG92" s="139">
        <f>+AF92</f>
        <v>35000</v>
      </c>
      <c r="AH92" s="139">
        <v>0</v>
      </c>
      <c r="AI92" s="139">
        <v>0</v>
      </c>
      <c r="AJ92" s="139">
        <v>0</v>
      </c>
      <c r="AK92" s="139">
        <v>0</v>
      </c>
      <c r="AL92" s="139">
        <v>0</v>
      </c>
      <c r="AM92" s="140">
        <v>0</v>
      </c>
      <c r="AO92" s="4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4"/>
    </row>
    <row r="93" spans="1:64" hidden="1" x14ac:dyDescent="0.2">
      <c r="A93" s="15">
        <f t="shared" ref="A93:A156" si="38">+LEN(B93)</f>
        <v>21</v>
      </c>
      <c r="B93" s="169" t="s">
        <v>992</v>
      </c>
      <c r="C93" s="17" t="s">
        <v>993</v>
      </c>
      <c r="D93" s="128" t="s">
        <v>45</v>
      </c>
      <c r="E93" s="128" t="str">
        <f t="shared" si="31"/>
        <v>60 días</v>
      </c>
      <c r="F93" s="156" t="s">
        <v>993</v>
      </c>
      <c r="G93" s="129" t="s">
        <v>118</v>
      </c>
      <c r="H93" s="129" t="s">
        <v>957</v>
      </c>
      <c r="I93" s="128" t="s">
        <v>744</v>
      </c>
      <c r="J93" s="130">
        <v>0.5</v>
      </c>
      <c r="K93" s="16">
        <v>500000</v>
      </c>
      <c r="L93" s="131">
        <f t="shared" si="37"/>
        <v>0</v>
      </c>
      <c r="M93" s="131">
        <f t="shared" si="33"/>
        <v>0</v>
      </c>
      <c r="N93" s="132">
        <f t="shared" si="34"/>
        <v>0</v>
      </c>
      <c r="O93" s="133">
        <f t="shared" si="35"/>
        <v>500000</v>
      </c>
      <c r="P93" s="134">
        <v>0</v>
      </c>
      <c r="Q93" s="136">
        <v>0</v>
      </c>
      <c r="R93" s="136">
        <v>0</v>
      </c>
      <c r="S93" s="136">
        <v>0</v>
      </c>
      <c r="T93" s="136">
        <v>0</v>
      </c>
      <c r="U93" s="136">
        <v>0</v>
      </c>
      <c r="V93" s="136">
        <v>0</v>
      </c>
      <c r="W93" s="136">
        <v>0</v>
      </c>
      <c r="X93" s="136">
        <v>0</v>
      </c>
      <c r="Y93" s="137">
        <v>0</v>
      </c>
      <c r="Z93" s="137">
        <v>0</v>
      </c>
      <c r="AA93" s="138">
        <v>0</v>
      </c>
      <c r="AB93" s="157">
        <v>0</v>
      </c>
      <c r="AC93" s="158">
        <v>0</v>
      </c>
      <c r="AD93" s="139">
        <v>0</v>
      </c>
      <c r="AE93" s="139">
        <v>41666.666666666664</v>
      </c>
      <c r="AF93" s="139">
        <v>41666.666666666664</v>
      </c>
      <c r="AG93" s="139">
        <v>41666.666666666664</v>
      </c>
      <c r="AH93" s="139">
        <v>41666.666666666664</v>
      </c>
      <c r="AI93" s="139">
        <v>41666.666666666664</v>
      </c>
      <c r="AJ93" s="139">
        <v>41666.666666666664</v>
      </c>
      <c r="AK93" s="139">
        <v>41666.666666666664</v>
      </c>
      <c r="AL93" s="139">
        <v>41666.666666666664</v>
      </c>
      <c r="AM93" s="140">
        <v>41666.666666666664</v>
      </c>
      <c r="AO93" s="4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4"/>
    </row>
    <row r="94" spans="1:64" hidden="1" x14ac:dyDescent="0.2">
      <c r="A94" s="15">
        <f t="shared" si="38"/>
        <v>21</v>
      </c>
      <c r="B94" s="169" t="s">
        <v>994</v>
      </c>
      <c r="C94" s="17" t="s">
        <v>995</v>
      </c>
      <c r="D94" s="128" t="s">
        <v>48</v>
      </c>
      <c r="E94" s="128" t="str">
        <f t="shared" ref="E94:E99" si="39">+IF(D94="Chile","30 días",IF(D94="Perú","30 días",IF(D94="Brasil","60 días",IF(D94="Rusia","Indeterminado","Por definir"))))</f>
        <v>Indeterminado</v>
      </c>
      <c r="F94" s="156" t="s">
        <v>995</v>
      </c>
      <c r="G94" s="129" t="s">
        <v>186</v>
      </c>
      <c r="H94" s="129" t="s">
        <v>957</v>
      </c>
      <c r="I94" s="128" t="s">
        <v>744</v>
      </c>
      <c r="J94" s="130">
        <v>0.3</v>
      </c>
      <c r="K94" s="16">
        <v>395000</v>
      </c>
      <c r="L94" s="131">
        <f t="shared" si="37"/>
        <v>0</v>
      </c>
      <c r="M94" s="131">
        <f t="shared" ref="M94:M99" si="40">+SUM(P94:Z94)</f>
        <v>0</v>
      </c>
      <c r="N94" s="132">
        <f t="shared" ref="N94:N99" si="41">IFERROR(+M94/K94,0)</f>
        <v>0</v>
      </c>
      <c r="O94" s="133">
        <f t="shared" ref="O94:O99" si="42">+K94-M94</f>
        <v>395000</v>
      </c>
      <c r="P94" s="134">
        <v>0</v>
      </c>
      <c r="Q94" s="136">
        <v>0</v>
      </c>
      <c r="R94" s="136">
        <v>0</v>
      </c>
      <c r="S94" s="136">
        <v>0</v>
      </c>
      <c r="T94" s="136">
        <v>0</v>
      </c>
      <c r="U94" s="136">
        <v>0</v>
      </c>
      <c r="V94" s="136">
        <v>0</v>
      </c>
      <c r="W94" s="136">
        <v>0</v>
      </c>
      <c r="X94" s="136">
        <v>0</v>
      </c>
      <c r="Y94" s="137">
        <v>0</v>
      </c>
      <c r="Z94" s="137">
        <v>0</v>
      </c>
      <c r="AA94" s="138">
        <v>0</v>
      </c>
      <c r="AB94" s="157">
        <v>0</v>
      </c>
      <c r="AC94" s="158">
        <v>0</v>
      </c>
      <c r="AD94" s="158">
        <v>0</v>
      </c>
      <c r="AE94" s="139">
        <f>+K94/6</f>
        <v>65833.333333333328</v>
      </c>
      <c r="AF94" s="139">
        <f t="shared" ref="AF94:AJ95" si="43">+AE94</f>
        <v>65833.333333333328</v>
      </c>
      <c r="AG94" s="139">
        <f t="shared" si="43"/>
        <v>65833.333333333328</v>
      </c>
      <c r="AH94" s="139">
        <f t="shared" si="43"/>
        <v>65833.333333333328</v>
      </c>
      <c r="AI94" s="139">
        <f t="shared" si="43"/>
        <v>65833.333333333328</v>
      </c>
      <c r="AJ94" s="139">
        <f t="shared" si="43"/>
        <v>65833.333333333328</v>
      </c>
      <c r="AK94" s="139">
        <v>0</v>
      </c>
      <c r="AL94" s="139">
        <v>0</v>
      </c>
      <c r="AM94" s="140">
        <v>0</v>
      </c>
      <c r="AO94" s="4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4"/>
    </row>
    <row r="95" spans="1:64" hidden="1" x14ac:dyDescent="0.2">
      <c r="A95" s="15">
        <f t="shared" si="38"/>
        <v>21</v>
      </c>
      <c r="B95" s="169" t="s">
        <v>996</v>
      </c>
      <c r="C95" s="17" t="s">
        <v>150</v>
      </c>
      <c r="D95" s="128" t="s">
        <v>48</v>
      </c>
      <c r="E95" s="128" t="str">
        <f t="shared" si="39"/>
        <v>Indeterminado</v>
      </c>
      <c r="F95" s="156" t="s">
        <v>150</v>
      </c>
      <c r="G95" s="129" t="s">
        <v>149</v>
      </c>
      <c r="H95" s="129" t="s">
        <v>957</v>
      </c>
      <c r="I95" s="128" t="s">
        <v>744</v>
      </c>
      <c r="J95" s="130">
        <v>0.3</v>
      </c>
      <c r="K95" s="16">
        <v>750000</v>
      </c>
      <c r="L95" s="131">
        <f t="shared" si="37"/>
        <v>0</v>
      </c>
      <c r="M95" s="131">
        <f t="shared" si="40"/>
        <v>0</v>
      </c>
      <c r="N95" s="132">
        <f t="shared" si="41"/>
        <v>0</v>
      </c>
      <c r="O95" s="133">
        <f t="shared" si="42"/>
        <v>750000</v>
      </c>
      <c r="P95" s="134">
        <v>0</v>
      </c>
      <c r="Q95" s="136">
        <v>0</v>
      </c>
      <c r="R95" s="136">
        <v>0</v>
      </c>
      <c r="S95" s="136">
        <v>0</v>
      </c>
      <c r="T95" s="136">
        <v>0</v>
      </c>
      <c r="U95" s="136">
        <v>0</v>
      </c>
      <c r="V95" s="136">
        <v>0</v>
      </c>
      <c r="W95" s="136">
        <v>0</v>
      </c>
      <c r="X95" s="136">
        <v>0</v>
      </c>
      <c r="Y95" s="137">
        <v>0</v>
      </c>
      <c r="Z95" s="137">
        <v>0</v>
      </c>
      <c r="AA95" s="138">
        <v>0</v>
      </c>
      <c r="AB95" s="157">
        <v>0</v>
      </c>
      <c r="AC95" s="158">
        <v>0</v>
      </c>
      <c r="AD95" s="158">
        <v>0</v>
      </c>
      <c r="AE95" s="139">
        <f>+K95/8</f>
        <v>93750</v>
      </c>
      <c r="AF95" s="139">
        <f t="shared" si="43"/>
        <v>93750</v>
      </c>
      <c r="AG95" s="139">
        <f t="shared" si="43"/>
        <v>93750</v>
      </c>
      <c r="AH95" s="139">
        <f t="shared" si="43"/>
        <v>93750</v>
      </c>
      <c r="AI95" s="139">
        <f t="shared" si="43"/>
        <v>93750</v>
      </c>
      <c r="AJ95" s="139">
        <f t="shared" si="43"/>
        <v>93750</v>
      </c>
      <c r="AK95" s="139">
        <f>+AJ95</f>
        <v>93750</v>
      </c>
      <c r="AL95" s="139">
        <f>+AK95</f>
        <v>93750</v>
      </c>
      <c r="AM95" s="140">
        <v>0</v>
      </c>
      <c r="AO95" s="4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4"/>
    </row>
    <row r="96" spans="1:64" hidden="1" x14ac:dyDescent="0.2">
      <c r="A96" s="15">
        <f t="shared" si="38"/>
        <v>21</v>
      </c>
      <c r="B96" s="169" t="s">
        <v>997</v>
      </c>
      <c r="C96" s="17" t="s">
        <v>998</v>
      </c>
      <c r="D96" s="128" t="s">
        <v>43</v>
      </c>
      <c r="E96" s="128" t="str">
        <f t="shared" si="39"/>
        <v>30 días</v>
      </c>
      <c r="F96" s="156" t="s">
        <v>998</v>
      </c>
      <c r="G96" s="129" t="s">
        <v>999</v>
      </c>
      <c r="H96" s="129" t="s">
        <v>957</v>
      </c>
      <c r="I96" s="128" t="s">
        <v>744</v>
      </c>
      <c r="J96" s="130">
        <v>0.3</v>
      </c>
      <c r="K96" s="16">
        <v>130000</v>
      </c>
      <c r="L96" s="131">
        <f t="shared" si="37"/>
        <v>0</v>
      </c>
      <c r="M96" s="131">
        <f t="shared" si="40"/>
        <v>0</v>
      </c>
      <c r="N96" s="132">
        <f t="shared" si="41"/>
        <v>0</v>
      </c>
      <c r="O96" s="133">
        <f t="shared" si="42"/>
        <v>130000</v>
      </c>
      <c r="P96" s="134">
        <v>0</v>
      </c>
      <c r="Q96" s="136">
        <v>0</v>
      </c>
      <c r="R96" s="136">
        <v>0</v>
      </c>
      <c r="S96" s="136">
        <v>0</v>
      </c>
      <c r="T96" s="136">
        <v>0</v>
      </c>
      <c r="U96" s="136">
        <v>0</v>
      </c>
      <c r="V96" s="136">
        <v>0</v>
      </c>
      <c r="W96" s="136">
        <v>0</v>
      </c>
      <c r="X96" s="136">
        <v>0</v>
      </c>
      <c r="Y96" s="137">
        <v>0</v>
      </c>
      <c r="Z96" s="137">
        <v>0</v>
      </c>
      <c r="AA96" s="138">
        <v>0</v>
      </c>
      <c r="AB96" s="157">
        <v>0</v>
      </c>
      <c r="AC96" s="158">
        <v>0</v>
      </c>
      <c r="AD96" s="139">
        <f>+K96/4</f>
        <v>32500</v>
      </c>
      <c r="AE96" s="139">
        <f>+AD96</f>
        <v>32500</v>
      </c>
      <c r="AF96" s="139">
        <f>+AE96</f>
        <v>32500</v>
      </c>
      <c r="AG96" s="139">
        <f>+AF96</f>
        <v>32500</v>
      </c>
      <c r="AH96" s="139">
        <v>0</v>
      </c>
      <c r="AI96" s="139">
        <v>0</v>
      </c>
      <c r="AJ96" s="139">
        <v>0</v>
      </c>
      <c r="AK96" s="139">
        <v>0</v>
      </c>
      <c r="AL96" s="139">
        <v>0</v>
      </c>
      <c r="AM96" s="140">
        <v>0</v>
      </c>
      <c r="AO96" s="4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4"/>
    </row>
    <row r="97" spans="1:64" hidden="1" x14ac:dyDescent="0.2">
      <c r="A97" s="15">
        <f t="shared" si="38"/>
        <v>21</v>
      </c>
      <c r="B97" s="169" t="s">
        <v>1000</v>
      </c>
      <c r="C97" s="17" t="s">
        <v>1001</v>
      </c>
      <c r="D97" s="128" t="s">
        <v>45</v>
      </c>
      <c r="E97" s="128" t="str">
        <f t="shared" si="39"/>
        <v>60 días</v>
      </c>
      <c r="F97" s="156" t="s">
        <v>1001</v>
      </c>
      <c r="G97" s="129" t="s">
        <v>195</v>
      </c>
      <c r="H97" s="129" t="s">
        <v>957</v>
      </c>
      <c r="I97" s="128" t="s">
        <v>744</v>
      </c>
      <c r="J97" s="130">
        <v>0.9</v>
      </c>
      <c r="K97" s="16">
        <v>518000</v>
      </c>
      <c r="L97" s="131">
        <f t="shared" si="37"/>
        <v>0</v>
      </c>
      <c r="M97" s="131">
        <f t="shared" si="40"/>
        <v>0</v>
      </c>
      <c r="N97" s="132">
        <f t="shared" si="41"/>
        <v>0</v>
      </c>
      <c r="O97" s="133">
        <f t="shared" si="42"/>
        <v>518000</v>
      </c>
      <c r="P97" s="134">
        <v>0</v>
      </c>
      <c r="Q97" s="136">
        <v>0</v>
      </c>
      <c r="R97" s="136">
        <v>0</v>
      </c>
      <c r="S97" s="136">
        <v>0</v>
      </c>
      <c r="T97" s="136">
        <v>0</v>
      </c>
      <c r="U97" s="136">
        <v>0</v>
      </c>
      <c r="V97" s="136">
        <v>0</v>
      </c>
      <c r="W97" s="136">
        <v>0</v>
      </c>
      <c r="X97" s="136">
        <v>0</v>
      </c>
      <c r="Y97" s="136">
        <v>0</v>
      </c>
      <c r="Z97" s="136">
        <v>0</v>
      </c>
      <c r="AA97" s="138">
        <v>0</v>
      </c>
      <c r="AB97" s="157">
        <v>0</v>
      </c>
      <c r="AC97" s="158">
        <v>0</v>
      </c>
      <c r="AD97" s="139">
        <v>0</v>
      </c>
      <c r="AE97" s="139">
        <v>0</v>
      </c>
      <c r="AF97" s="139">
        <f t="shared" ref="AF97:AM97" si="44">518000/12</f>
        <v>43166.666666666664</v>
      </c>
      <c r="AG97" s="139">
        <f t="shared" si="44"/>
        <v>43166.666666666664</v>
      </c>
      <c r="AH97" s="139">
        <f t="shared" si="44"/>
        <v>43166.666666666664</v>
      </c>
      <c r="AI97" s="139">
        <f t="shared" si="44"/>
        <v>43166.666666666664</v>
      </c>
      <c r="AJ97" s="139">
        <f t="shared" si="44"/>
        <v>43166.666666666664</v>
      </c>
      <c r="AK97" s="139">
        <f t="shared" si="44"/>
        <v>43166.666666666664</v>
      </c>
      <c r="AL97" s="139">
        <f t="shared" si="44"/>
        <v>43166.666666666664</v>
      </c>
      <c r="AM97" s="140">
        <f t="shared" si="44"/>
        <v>43166.666666666664</v>
      </c>
      <c r="AO97" s="4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4"/>
    </row>
    <row r="98" spans="1:64" hidden="1" x14ac:dyDescent="0.2">
      <c r="A98" s="15">
        <f t="shared" si="38"/>
        <v>21</v>
      </c>
      <c r="B98" s="169" t="s">
        <v>1002</v>
      </c>
      <c r="C98" s="17" t="s">
        <v>1003</v>
      </c>
      <c r="D98" s="128" t="s">
        <v>45</v>
      </c>
      <c r="E98" s="128" t="str">
        <f t="shared" si="39"/>
        <v>60 días</v>
      </c>
      <c r="F98" s="156" t="s">
        <v>1003</v>
      </c>
      <c r="G98" s="129" t="s">
        <v>195</v>
      </c>
      <c r="H98" s="129" t="s">
        <v>957</v>
      </c>
      <c r="I98" s="128" t="s">
        <v>744</v>
      </c>
      <c r="J98" s="130">
        <v>0.9</v>
      </c>
      <c r="K98" s="16">
        <v>120000</v>
      </c>
      <c r="L98" s="131">
        <f t="shared" si="37"/>
        <v>0</v>
      </c>
      <c r="M98" s="131">
        <f t="shared" si="40"/>
        <v>0</v>
      </c>
      <c r="N98" s="132">
        <f t="shared" si="41"/>
        <v>0</v>
      </c>
      <c r="O98" s="133">
        <f t="shared" si="42"/>
        <v>120000</v>
      </c>
      <c r="P98" s="134">
        <v>0</v>
      </c>
      <c r="Q98" s="135">
        <v>0</v>
      </c>
      <c r="R98" s="135">
        <v>0</v>
      </c>
      <c r="S98" s="135">
        <v>0</v>
      </c>
      <c r="T98" s="135">
        <v>0</v>
      </c>
      <c r="U98" s="136">
        <v>0</v>
      </c>
      <c r="V98" s="136">
        <v>0</v>
      </c>
      <c r="W98" s="136">
        <v>0</v>
      </c>
      <c r="X98" s="136">
        <v>0</v>
      </c>
      <c r="Y98" s="136">
        <v>0</v>
      </c>
      <c r="Z98" s="136">
        <v>0</v>
      </c>
      <c r="AA98" s="138">
        <v>0</v>
      </c>
      <c r="AB98" s="157">
        <v>0</v>
      </c>
      <c r="AC98" s="139">
        <v>0</v>
      </c>
      <c r="AD98" s="139">
        <v>0</v>
      </c>
      <c r="AE98" s="139">
        <v>0</v>
      </c>
      <c r="AF98" s="139">
        <v>0</v>
      </c>
      <c r="AG98" s="139">
        <v>20000</v>
      </c>
      <c r="AH98" s="139">
        <v>20000</v>
      </c>
      <c r="AI98" s="139">
        <v>20000</v>
      </c>
      <c r="AJ98" s="139">
        <v>20000</v>
      </c>
      <c r="AK98" s="139">
        <v>20000</v>
      </c>
      <c r="AL98" s="139">
        <v>20000</v>
      </c>
      <c r="AM98" s="140">
        <v>0</v>
      </c>
      <c r="AO98" s="4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4"/>
    </row>
    <row r="99" spans="1:64" hidden="1" x14ac:dyDescent="0.2">
      <c r="A99" s="15">
        <f t="shared" si="38"/>
        <v>21</v>
      </c>
      <c r="B99" s="169" t="s">
        <v>1004</v>
      </c>
      <c r="C99" s="17" t="s">
        <v>1005</v>
      </c>
      <c r="D99" s="128" t="s">
        <v>45</v>
      </c>
      <c r="E99" s="128" t="str">
        <f t="shared" si="39"/>
        <v>60 días</v>
      </c>
      <c r="F99" s="156" t="s">
        <v>1005</v>
      </c>
      <c r="G99" s="129" t="s">
        <v>195</v>
      </c>
      <c r="H99" s="129" t="s">
        <v>957</v>
      </c>
      <c r="I99" s="128" t="s">
        <v>744</v>
      </c>
      <c r="J99" s="130">
        <v>0.9</v>
      </c>
      <c r="K99" s="16">
        <v>140000</v>
      </c>
      <c r="L99" s="131">
        <f t="shared" si="37"/>
        <v>0</v>
      </c>
      <c r="M99" s="131">
        <f t="shared" si="40"/>
        <v>0</v>
      </c>
      <c r="N99" s="132">
        <f t="shared" si="41"/>
        <v>0</v>
      </c>
      <c r="O99" s="133">
        <f t="shared" si="42"/>
        <v>140000</v>
      </c>
      <c r="P99" s="134">
        <v>0</v>
      </c>
      <c r="Q99" s="136">
        <v>0</v>
      </c>
      <c r="R99" s="136">
        <v>0</v>
      </c>
      <c r="S99" s="136">
        <v>0</v>
      </c>
      <c r="T99" s="136">
        <v>0</v>
      </c>
      <c r="U99" s="136">
        <v>0</v>
      </c>
      <c r="V99" s="136">
        <v>0</v>
      </c>
      <c r="W99" s="136">
        <v>0</v>
      </c>
      <c r="X99" s="136">
        <v>0</v>
      </c>
      <c r="Y99" s="136">
        <v>0</v>
      </c>
      <c r="Z99" s="136">
        <v>0</v>
      </c>
      <c r="AA99" s="138">
        <v>0</v>
      </c>
      <c r="AB99" s="157">
        <v>0</v>
      </c>
      <c r="AC99" s="139">
        <v>0</v>
      </c>
      <c r="AD99" s="139">
        <v>0</v>
      </c>
      <c r="AE99" s="139">
        <v>0</v>
      </c>
      <c r="AF99" s="139">
        <v>0</v>
      </c>
      <c r="AG99" s="139">
        <v>0</v>
      </c>
      <c r="AH99" s="139">
        <v>0</v>
      </c>
      <c r="AI99" s="139">
        <v>23333.333333333332</v>
      </c>
      <c r="AJ99" s="139">
        <v>23333.333333333332</v>
      </c>
      <c r="AK99" s="139">
        <v>23333.333333333332</v>
      </c>
      <c r="AL99" s="139">
        <v>23333.333333333332</v>
      </c>
      <c r="AM99" s="140">
        <v>23333.333333333332</v>
      </c>
      <c r="AO99" s="4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4"/>
    </row>
    <row r="100" spans="1:64" hidden="1" x14ac:dyDescent="0.2">
      <c r="A100" s="15">
        <f t="shared" si="38"/>
        <v>0</v>
      </c>
      <c r="B100" s="169"/>
      <c r="C100" s="17"/>
      <c r="D100" s="128"/>
      <c r="E100" s="128" t="str">
        <f t="shared" ref="E100:E155" si="45">+IF(D100="Chile","30 días",IF(D100="Perú","30 días",IF(D100="Brasil","60 días",IF(D100="Rusia","Indeterminado","Por definir"))))</f>
        <v>Por definir</v>
      </c>
      <c r="F100" s="156"/>
      <c r="G100" s="129"/>
      <c r="H100" s="129"/>
      <c r="I100" s="128"/>
      <c r="J100" s="130"/>
      <c r="K100" s="16">
        <v>0</v>
      </c>
      <c r="L100" s="131">
        <f t="shared" ref="L100:L155" si="46">+SUM(P100:AA100)</f>
        <v>0</v>
      </c>
      <c r="M100" s="131">
        <f t="shared" ref="M100:M155" si="47">+SUM(P100:Z100)</f>
        <v>0</v>
      </c>
      <c r="N100" s="132">
        <f t="shared" ref="N100:N155" si="48">IFERROR(+M100/K100,0)</f>
        <v>0</v>
      </c>
      <c r="O100" s="133">
        <f t="shared" ref="O100:O155" si="49">+K100-M100</f>
        <v>0</v>
      </c>
      <c r="P100" s="163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3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4"/>
      <c r="AO100" s="4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4"/>
    </row>
    <row r="101" spans="1:64" hidden="1" x14ac:dyDescent="0.2">
      <c r="A101" s="15">
        <f t="shared" si="38"/>
        <v>0</v>
      </c>
      <c r="B101" s="169"/>
      <c r="C101" s="17"/>
      <c r="D101" s="128"/>
      <c r="E101" s="128" t="str">
        <f t="shared" si="45"/>
        <v>Por definir</v>
      </c>
      <c r="F101" s="156"/>
      <c r="G101" s="129"/>
      <c r="H101" s="129"/>
      <c r="I101" s="128"/>
      <c r="J101" s="130"/>
      <c r="K101" s="16">
        <v>0</v>
      </c>
      <c r="L101" s="131">
        <f t="shared" si="46"/>
        <v>0</v>
      </c>
      <c r="M101" s="131">
        <f t="shared" si="47"/>
        <v>0</v>
      </c>
      <c r="N101" s="132">
        <f t="shared" si="48"/>
        <v>0</v>
      </c>
      <c r="O101" s="133">
        <f t="shared" si="49"/>
        <v>0</v>
      </c>
      <c r="P101" s="163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3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4"/>
      <c r="AO101" s="4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4"/>
    </row>
    <row r="102" spans="1:64" hidden="1" x14ac:dyDescent="0.2">
      <c r="A102" s="15">
        <f t="shared" si="38"/>
        <v>0</v>
      </c>
      <c r="B102" s="169"/>
      <c r="C102" s="17"/>
      <c r="D102" s="128"/>
      <c r="E102" s="128" t="str">
        <f t="shared" si="45"/>
        <v>Por definir</v>
      </c>
      <c r="F102" s="156"/>
      <c r="G102" s="129"/>
      <c r="H102" s="129"/>
      <c r="I102" s="128"/>
      <c r="J102" s="130"/>
      <c r="K102" s="16">
        <v>0</v>
      </c>
      <c r="L102" s="131">
        <f t="shared" si="46"/>
        <v>0</v>
      </c>
      <c r="M102" s="131">
        <f t="shared" si="47"/>
        <v>0</v>
      </c>
      <c r="N102" s="132">
        <f t="shared" si="48"/>
        <v>0</v>
      </c>
      <c r="O102" s="133">
        <f t="shared" si="49"/>
        <v>0</v>
      </c>
      <c r="P102" s="163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3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4"/>
      <c r="AO102" s="4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4"/>
    </row>
    <row r="103" spans="1:64" hidden="1" x14ac:dyDescent="0.2">
      <c r="A103" s="15">
        <f t="shared" si="38"/>
        <v>0</v>
      </c>
      <c r="B103" s="169"/>
      <c r="C103" s="17"/>
      <c r="D103" s="128"/>
      <c r="E103" s="128" t="str">
        <f t="shared" si="45"/>
        <v>Por definir</v>
      </c>
      <c r="F103" s="156"/>
      <c r="G103" s="129"/>
      <c r="H103" s="129"/>
      <c r="I103" s="128"/>
      <c r="J103" s="130"/>
      <c r="K103" s="16">
        <v>0</v>
      </c>
      <c r="L103" s="131">
        <f t="shared" si="46"/>
        <v>0</v>
      </c>
      <c r="M103" s="131">
        <f t="shared" si="47"/>
        <v>0</v>
      </c>
      <c r="N103" s="132">
        <f t="shared" si="48"/>
        <v>0</v>
      </c>
      <c r="O103" s="133">
        <f t="shared" si="49"/>
        <v>0</v>
      </c>
      <c r="P103" s="163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3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4"/>
      <c r="AO103" s="4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4"/>
    </row>
    <row r="104" spans="1:64" hidden="1" x14ac:dyDescent="0.2">
      <c r="A104" s="15">
        <f t="shared" si="38"/>
        <v>0</v>
      </c>
      <c r="B104" s="169"/>
      <c r="C104" s="17"/>
      <c r="D104" s="128"/>
      <c r="E104" s="128" t="str">
        <f t="shared" si="45"/>
        <v>Por definir</v>
      </c>
      <c r="F104" s="156"/>
      <c r="G104" s="129"/>
      <c r="H104" s="129"/>
      <c r="I104" s="128"/>
      <c r="J104" s="130"/>
      <c r="K104" s="16">
        <v>0</v>
      </c>
      <c r="L104" s="131">
        <f t="shared" si="46"/>
        <v>0</v>
      </c>
      <c r="M104" s="131">
        <f t="shared" si="47"/>
        <v>0</v>
      </c>
      <c r="N104" s="132">
        <f t="shared" si="48"/>
        <v>0</v>
      </c>
      <c r="O104" s="133">
        <f t="shared" si="49"/>
        <v>0</v>
      </c>
      <c r="P104" s="163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3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4"/>
      <c r="AO104" s="4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4"/>
    </row>
    <row r="105" spans="1:64" hidden="1" x14ac:dyDescent="0.2">
      <c r="A105" s="15">
        <f t="shared" si="38"/>
        <v>0</v>
      </c>
      <c r="B105" s="169"/>
      <c r="C105" s="17"/>
      <c r="D105" s="128"/>
      <c r="E105" s="128" t="str">
        <f t="shared" si="45"/>
        <v>Por definir</v>
      </c>
      <c r="F105" s="156"/>
      <c r="G105" s="129"/>
      <c r="H105" s="129"/>
      <c r="I105" s="128"/>
      <c r="J105" s="130"/>
      <c r="K105" s="16">
        <v>0</v>
      </c>
      <c r="L105" s="131">
        <f t="shared" si="46"/>
        <v>0</v>
      </c>
      <c r="M105" s="131">
        <f t="shared" si="47"/>
        <v>0</v>
      </c>
      <c r="N105" s="132">
        <f t="shared" si="48"/>
        <v>0</v>
      </c>
      <c r="O105" s="133">
        <f t="shared" si="49"/>
        <v>0</v>
      </c>
      <c r="P105" s="163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3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4"/>
      <c r="AO105" s="4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4"/>
    </row>
    <row r="106" spans="1:64" hidden="1" x14ac:dyDescent="0.2">
      <c r="A106" s="15">
        <f t="shared" si="38"/>
        <v>0</v>
      </c>
      <c r="B106" s="169"/>
      <c r="C106" s="17"/>
      <c r="D106" s="128"/>
      <c r="E106" s="128" t="str">
        <f t="shared" si="45"/>
        <v>Por definir</v>
      </c>
      <c r="F106" s="156"/>
      <c r="G106" s="129"/>
      <c r="H106" s="129"/>
      <c r="I106" s="128"/>
      <c r="J106" s="130"/>
      <c r="K106" s="16">
        <v>0</v>
      </c>
      <c r="L106" s="131">
        <f t="shared" si="46"/>
        <v>0</v>
      </c>
      <c r="M106" s="131">
        <f t="shared" si="47"/>
        <v>0</v>
      </c>
      <c r="N106" s="132">
        <f t="shared" si="48"/>
        <v>0</v>
      </c>
      <c r="O106" s="133">
        <f t="shared" si="49"/>
        <v>0</v>
      </c>
      <c r="P106" s="163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3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4"/>
      <c r="AO106" s="4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4"/>
    </row>
    <row r="107" spans="1:64" hidden="1" x14ac:dyDescent="0.2">
      <c r="A107" s="15">
        <f t="shared" si="38"/>
        <v>0</v>
      </c>
      <c r="B107" s="169"/>
      <c r="C107" s="17"/>
      <c r="D107" s="128"/>
      <c r="E107" s="128" t="str">
        <f t="shared" si="45"/>
        <v>Por definir</v>
      </c>
      <c r="F107" s="156"/>
      <c r="G107" s="129"/>
      <c r="H107" s="129"/>
      <c r="I107" s="128"/>
      <c r="J107" s="130"/>
      <c r="K107" s="16">
        <v>0</v>
      </c>
      <c r="L107" s="131">
        <f t="shared" si="46"/>
        <v>0</v>
      </c>
      <c r="M107" s="131">
        <f t="shared" si="47"/>
        <v>0</v>
      </c>
      <c r="N107" s="132">
        <f t="shared" si="48"/>
        <v>0</v>
      </c>
      <c r="O107" s="133">
        <f t="shared" si="49"/>
        <v>0</v>
      </c>
      <c r="P107" s="163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3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4"/>
      <c r="AO107" s="4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4"/>
    </row>
    <row r="108" spans="1:64" hidden="1" x14ac:dyDescent="0.2">
      <c r="A108" s="15">
        <f t="shared" si="38"/>
        <v>0</v>
      </c>
      <c r="B108" s="169"/>
      <c r="C108" s="17"/>
      <c r="D108" s="128"/>
      <c r="E108" s="128" t="str">
        <f t="shared" si="45"/>
        <v>Por definir</v>
      </c>
      <c r="F108" s="156"/>
      <c r="G108" s="129"/>
      <c r="H108" s="129"/>
      <c r="I108" s="128"/>
      <c r="J108" s="130"/>
      <c r="K108" s="16">
        <v>0</v>
      </c>
      <c r="L108" s="131">
        <f t="shared" si="46"/>
        <v>0</v>
      </c>
      <c r="M108" s="131">
        <f t="shared" si="47"/>
        <v>0</v>
      </c>
      <c r="N108" s="132">
        <f t="shared" si="48"/>
        <v>0</v>
      </c>
      <c r="O108" s="133">
        <f t="shared" si="49"/>
        <v>0</v>
      </c>
      <c r="P108" s="163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3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4"/>
      <c r="AO108" s="4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4"/>
    </row>
    <row r="109" spans="1:64" hidden="1" x14ac:dyDescent="0.2">
      <c r="A109" s="15">
        <f t="shared" si="38"/>
        <v>0</v>
      </c>
      <c r="B109" s="169"/>
      <c r="C109" s="17"/>
      <c r="D109" s="128"/>
      <c r="E109" s="128" t="str">
        <f t="shared" si="45"/>
        <v>Por definir</v>
      </c>
      <c r="F109" s="156"/>
      <c r="G109" s="129"/>
      <c r="H109" s="129"/>
      <c r="I109" s="128"/>
      <c r="J109" s="130"/>
      <c r="K109" s="16">
        <v>0</v>
      </c>
      <c r="L109" s="131">
        <f t="shared" si="46"/>
        <v>0</v>
      </c>
      <c r="M109" s="131">
        <f t="shared" si="47"/>
        <v>0</v>
      </c>
      <c r="N109" s="132">
        <f t="shared" si="48"/>
        <v>0</v>
      </c>
      <c r="O109" s="133">
        <f t="shared" si="49"/>
        <v>0</v>
      </c>
      <c r="P109" s="163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3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4"/>
      <c r="AO109" s="4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4"/>
    </row>
    <row r="110" spans="1:64" hidden="1" x14ac:dyDescent="0.2">
      <c r="A110" s="15">
        <f t="shared" si="38"/>
        <v>0</v>
      </c>
      <c r="B110" s="169"/>
      <c r="C110" s="17"/>
      <c r="D110" s="128"/>
      <c r="E110" s="128" t="str">
        <f t="shared" si="45"/>
        <v>Por definir</v>
      </c>
      <c r="F110" s="156"/>
      <c r="G110" s="129"/>
      <c r="H110" s="129"/>
      <c r="I110" s="128"/>
      <c r="J110" s="130"/>
      <c r="K110" s="16">
        <v>0</v>
      </c>
      <c r="L110" s="131">
        <f t="shared" si="46"/>
        <v>0</v>
      </c>
      <c r="M110" s="131">
        <f t="shared" si="47"/>
        <v>0</v>
      </c>
      <c r="N110" s="132">
        <f t="shared" si="48"/>
        <v>0</v>
      </c>
      <c r="O110" s="133">
        <f t="shared" si="49"/>
        <v>0</v>
      </c>
      <c r="P110" s="163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3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4"/>
      <c r="AO110" s="4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4"/>
    </row>
    <row r="111" spans="1:64" hidden="1" x14ac:dyDescent="0.2">
      <c r="A111" s="15">
        <f t="shared" si="38"/>
        <v>0</v>
      </c>
      <c r="B111" s="169"/>
      <c r="C111" s="17"/>
      <c r="D111" s="128"/>
      <c r="E111" s="128" t="str">
        <f t="shared" si="45"/>
        <v>Por definir</v>
      </c>
      <c r="F111" s="156"/>
      <c r="G111" s="129"/>
      <c r="H111" s="129"/>
      <c r="I111" s="128"/>
      <c r="J111" s="130"/>
      <c r="K111" s="16">
        <v>0</v>
      </c>
      <c r="L111" s="131">
        <f t="shared" si="46"/>
        <v>0</v>
      </c>
      <c r="M111" s="131">
        <f t="shared" si="47"/>
        <v>0</v>
      </c>
      <c r="N111" s="132">
        <f t="shared" si="48"/>
        <v>0</v>
      </c>
      <c r="O111" s="133">
        <f t="shared" si="49"/>
        <v>0</v>
      </c>
      <c r="P111" s="163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3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4"/>
      <c r="AO111" s="4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4"/>
    </row>
    <row r="112" spans="1:64" hidden="1" x14ac:dyDescent="0.2">
      <c r="A112" s="15">
        <f t="shared" si="38"/>
        <v>0</v>
      </c>
      <c r="B112" s="169"/>
      <c r="C112" s="17"/>
      <c r="D112" s="128"/>
      <c r="E112" s="128" t="str">
        <f t="shared" si="45"/>
        <v>Por definir</v>
      </c>
      <c r="F112" s="156"/>
      <c r="G112" s="129"/>
      <c r="H112" s="129"/>
      <c r="I112" s="128"/>
      <c r="J112" s="130"/>
      <c r="K112" s="16">
        <v>0</v>
      </c>
      <c r="L112" s="131">
        <f t="shared" si="46"/>
        <v>0</v>
      </c>
      <c r="M112" s="131">
        <f t="shared" si="47"/>
        <v>0</v>
      </c>
      <c r="N112" s="132">
        <f t="shared" si="48"/>
        <v>0</v>
      </c>
      <c r="O112" s="133">
        <f t="shared" si="49"/>
        <v>0</v>
      </c>
      <c r="P112" s="163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3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4"/>
      <c r="AO112" s="4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4"/>
    </row>
    <row r="113" spans="1:64" hidden="1" x14ac:dyDescent="0.2">
      <c r="A113" s="15">
        <f t="shared" si="38"/>
        <v>0</v>
      </c>
      <c r="B113" s="169"/>
      <c r="C113" s="17"/>
      <c r="D113" s="128"/>
      <c r="E113" s="128" t="str">
        <f t="shared" si="45"/>
        <v>Por definir</v>
      </c>
      <c r="F113" s="156"/>
      <c r="G113" s="129"/>
      <c r="H113" s="129"/>
      <c r="I113" s="128"/>
      <c r="J113" s="130"/>
      <c r="K113" s="16">
        <v>0</v>
      </c>
      <c r="L113" s="131">
        <f t="shared" si="46"/>
        <v>0</v>
      </c>
      <c r="M113" s="131">
        <f t="shared" si="47"/>
        <v>0</v>
      </c>
      <c r="N113" s="132">
        <f t="shared" si="48"/>
        <v>0</v>
      </c>
      <c r="O113" s="133">
        <f t="shared" si="49"/>
        <v>0</v>
      </c>
      <c r="P113" s="163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3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4"/>
      <c r="AO113" s="4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4"/>
    </row>
    <row r="114" spans="1:64" hidden="1" x14ac:dyDescent="0.2">
      <c r="A114" s="15">
        <f t="shared" si="38"/>
        <v>0</v>
      </c>
      <c r="B114" s="169"/>
      <c r="C114" s="17"/>
      <c r="D114" s="128"/>
      <c r="E114" s="128" t="str">
        <f t="shared" si="45"/>
        <v>Por definir</v>
      </c>
      <c r="F114" s="156"/>
      <c r="G114" s="129"/>
      <c r="H114" s="129"/>
      <c r="I114" s="128"/>
      <c r="J114" s="130"/>
      <c r="K114" s="16">
        <v>0</v>
      </c>
      <c r="L114" s="131">
        <f t="shared" si="46"/>
        <v>0</v>
      </c>
      <c r="M114" s="131">
        <f t="shared" si="47"/>
        <v>0</v>
      </c>
      <c r="N114" s="132">
        <f t="shared" si="48"/>
        <v>0</v>
      </c>
      <c r="O114" s="133">
        <f t="shared" si="49"/>
        <v>0</v>
      </c>
      <c r="P114" s="163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3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4"/>
      <c r="AO114" s="4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4"/>
    </row>
    <row r="115" spans="1:64" hidden="1" x14ac:dyDescent="0.2">
      <c r="A115" s="15">
        <f t="shared" si="38"/>
        <v>0</v>
      </c>
      <c r="B115" s="169"/>
      <c r="C115" s="17"/>
      <c r="D115" s="128"/>
      <c r="E115" s="128" t="str">
        <f t="shared" si="45"/>
        <v>Por definir</v>
      </c>
      <c r="F115" s="156"/>
      <c r="G115" s="129"/>
      <c r="H115" s="129"/>
      <c r="I115" s="128"/>
      <c r="J115" s="130"/>
      <c r="K115" s="16">
        <v>0</v>
      </c>
      <c r="L115" s="131">
        <f t="shared" si="46"/>
        <v>0</v>
      </c>
      <c r="M115" s="131">
        <f t="shared" si="47"/>
        <v>0</v>
      </c>
      <c r="N115" s="132">
        <f t="shared" si="48"/>
        <v>0</v>
      </c>
      <c r="O115" s="133">
        <f t="shared" si="49"/>
        <v>0</v>
      </c>
      <c r="P115" s="163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3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4"/>
      <c r="AO115" s="4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4"/>
    </row>
    <row r="116" spans="1:64" hidden="1" x14ac:dyDescent="0.2">
      <c r="A116" s="15">
        <f t="shared" si="38"/>
        <v>0</v>
      </c>
      <c r="B116" s="169"/>
      <c r="C116" s="17"/>
      <c r="D116" s="128"/>
      <c r="E116" s="128" t="str">
        <f t="shared" si="45"/>
        <v>Por definir</v>
      </c>
      <c r="F116" s="156"/>
      <c r="G116" s="129"/>
      <c r="H116" s="129"/>
      <c r="I116" s="128"/>
      <c r="J116" s="130"/>
      <c r="K116" s="16">
        <v>0</v>
      </c>
      <c r="L116" s="131">
        <f t="shared" si="46"/>
        <v>0</v>
      </c>
      <c r="M116" s="131">
        <f t="shared" si="47"/>
        <v>0</v>
      </c>
      <c r="N116" s="132">
        <f t="shared" si="48"/>
        <v>0</v>
      </c>
      <c r="O116" s="133">
        <f t="shared" si="49"/>
        <v>0</v>
      </c>
      <c r="P116" s="163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3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4"/>
      <c r="AO116" s="4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4"/>
    </row>
    <row r="117" spans="1:64" hidden="1" x14ac:dyDescent="0.2">
      <c r="A117" s="15">
        <f t="shared" si="38"/>
        <v>0</v>
      </c>
      <c r="B117" s="169"/>
      <c r="C117" s="17"/>
      <c r="D117" s="128"/>
      <c r="E117" s="128" t="str">
        <f t="shared" si="45"/>
        <v>Por definir</v>
      </c>
      <c r="F117" s="156"/>
      <c r="G117" s="129"/>
      <c r="H117" s="129"/>
      <c r="I117" s="128"/>
      <c r="J117" s="130"/>
      <c r="K117" s="16">
        <v>0</v>
      </c>
      <c r="L117" s="131">
        <f t="shared" si="46"/>
        <v>0</v>
      </c>
      <c r="M117" s="131">
        <f t="shared" si="47"/>
        <v>0</v>
      </c>
      <c r="N117" s="132">
        <f t="shared" si="48"/>
        <v>0</v>
      </c>
      <c r="O117" s="133">
        <f t="shared" si="49"/>
        <v>0</v>
      </c>
      <c r="P117" s="163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3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4"/>
      <c r="AO117" s="4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4"/>
    </row>
    <row r="118" spans="1:64" hidden="1" x14ac:dyDescent="0.2">
      <c r="A118" s="15">
        <f t="shared" si="38"/>
        <v>0</v>
      </c>
      <c r="B118" s="169"/>
      <c r="C118" s="17"/>
      <c r="D118" s="128"/>
      <c r="E118" s="128" t="str">
        <f t="shared" si="45"/>
        <v>Por definir</v>
      </c>
      <c r="F118" s="156"/>
      <c r="G118" s="129"/>
      <c r="H118" s="129"/>
      <c r="I118" s="128"/>
      <c r="J118" s="130"/>
      <c r="K118" s="16">
        <v>0</v>
      </c>
      <c r="L118" s="131">
        <f t="shared" si="46"/>
        <v>0</v>
      </c>
      <c r="M118" s="131">
        <f t="shared" si="47"/>
        <v>0</v>
      </c>
      <c r="N118" s="132">
        <f t="shared" si="48"/>
        <v>0</v>
      </c>
      <c r="O118" s="133">
        <f t="shared" si="49"/>
        <v>0</v>
      </c>
      <c r="P118" s="163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3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4"/>
      <c r="AO118" s="4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4"/>
    </row>
    <row r="119" spans="1:64" hidden="1" x14ac:dyDescent="0.2">
      <c r="A119" s="15">
        <f t="shared" si="38"/>
        <v>0</v>
      </c>
      <c r="B119" s="169"/>
      <c r="C119" s="17"/>
      <c r="D119" s="128"/>
      <c r="E119" s="128" t="str">
        <f t="shared" si="45"/>
        <v>Por definir</v>
      </c>
      <c r="F119" s="156"/>
      <c r="G119" s="129"/>
      <c r="H119" s="129"/>
      <c r="I119" s="128"/>
      <c r="J119" s="130"/>
      <c r="K119" s="16">
        <v>0</v>
      </c>
      <c r="L119" s="131">
        <f t="shared" si="46"/>
        <v>0</v>
      </c>
      <c r="M119" s="131">
        <f t="shared" si="47"/>
        <v>0</v>
      </c>
      <c r="N119" s="132">
        <f t="shared" si="48"/>
        <v>0</v>
      </c>
      <c r="O119" s="133">
        <f t="shared" si="49"/>
        <v>0</v>
      </c>
      <c r="P119" s="163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3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4"/>
      <c r="AO119" s="4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4"/>
    </row>
    <row r="120" spans="1:64" hidden="1" x14ac:dyDescent="0.2">
      <c r="A120" s="15">
        <f t="shared" si="38"/>
        <v>0</v>
      </c>
      <c r="B120" s="169"/>
      <c r="C120" s="17"/>
      <c r="D120" s="128"/>
      <c r="E120" s="128" t="str">
        <f t="shared" si="45"/>
        <v>Por definir</v>
      </c>
      <c r="F120" s="156"/>
      <c r="G120" s="129"/>
      <c r="H120" s="129"/>
      <c r="I120" s="128"/>
      <c r="J120" s="130"/>
      <c r="K120" s="16">
        <v>0</v>
      </c>
      <c r="L120" s="131">
        <f t="shared" si="46"/>
        <v>0</v>
      </c>
      <c r="M120" s="131">
        <f t="shared" si="47"/>
        <v>0</v>
      </c>
      <c r="N120" s="132">
        <f t="shared" si="48"/>
        <v>0</v>
      </c>
      <c r="O120" s="133">
        <f t="shared" si="49"/>
        <v>0</v>
      </c>
      <c r="P120" s="163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3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4"/>
      <c r="AO120" s="4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4"/>
    </row>
    <row r="121" spans="1:64" hidden="1" x14ac:dyDescent="0.2">
      <c r="A121" s="15">
        <f t="shared" si="38"/>
        <v>0</v>
      </c>
      <c r="B121" s="169"/>
      <c r="C121" s="17"/>
      <c r="D121" s="128"/>
      <c r="E121" s="128" t="str">
        <f t="shared" si="45"/>
        <v>Por definir</v>
      </c>
      <c r="F121" s="156"/>
      <c r="G121" s="129"/>
      <c r="H121" s="129"/>
      <c r="I121" s="128"/>
      <c r="J121" s="130"/>
      <c r="K121" s="16">
        <v>0</v>
      </c>
      <c r="L121" s="131">
        <f t="shared" si="46"/>
        <v>0</v>
      </c>
      <c r="M121" s="131">
        <f t="shared" si="47"/>
        <v>0</v>
      </c>
      <c r="N121" s="132">
        <f t="shared" si="48"/>
        <v>0</v>
      </c>
      <c r="O121" s="133">
        <f t="shared" si="49"/>
        <v>0</v>
      </c>
      <c r="P121" s="163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3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4"/>
      <c r="AO121" s="4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4"/>
    </row>
    <row r="122" spans="1:64" hidden="1" x14ac:dyDescent="0.2">
      <c r="A122" s="15">
        <f t="shared" si="38"/>
        <v>0</v>
      </c>
      <c r="B122" s="169"/>
      <c r="C122" s="17"/>
      <c r="D122" s="128"/>
      <c r="E122" s="128" t="str">
        <f t="shared" si="45"/>
        <v>Por definir</v>
      </c>
      <c r="F122" s="156"/>
      <c r="G122" s="129"/>
      <c r="H122" s="129"/>
      <c r="I122" s="128"/>
      <c r="J122" s="130"/>
      <c r="K122" s="16">
        <v>0</v>
      </c>
      <c r="L122" s="131">
        <f t="shared" si="46"/>
        <v>0</v>
      </c>
      <c r="M122" s="131">
        <f t="shared" si="47"/>
        <v>0</v>
      </c>
      <c r="N122" s="132">
        <f t="shared" si="48"/>
        <v>0</v>
      </c>
      <c r="O122" s="133">
        <f t="shared" si="49"/>
        <v>0</v>
      </c>
      <c r="P122" s="163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3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4"/>
      <c r="AO122" s="4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4"/>
    </row>
    <row r="123" spans="1:64" hidden="1" x14ac:dyDescent="0.2">
      <c r="A123" s="15">
        <f t="shared" si="38"/>
        <v>0</v>
      </c>
      <c r="B123" s="169"/>
      <c r="C123" s="17"/>
      <c r="D123" s="128"/>
      <c r="E123" s="128" t="str">
        <f t="shared" si="45"/>
        <v>Por definir</v>
      </c>
      <c r="F123" s="156"/>
      <c r="G123" s="129"/>
      <c r="H123" s="129"/>
      <c r="I123" s="128"/>
      <c r="J123" s="130"/>
      <c r="K123" s="16">
        <v>0</v>
      </c>
      <c r="L123" s="131">
        <f t="shared" si="46"/>
        <v>0</v>
      </c>
      <c r="M123" s="131">
        <f t="shared" si="47"/>
        <v>0</v>
      </c>
      <c r="N123" s="132">
        <f t="shared" si="48"/>
        <v>0</v>
      </c>
      <c r="O123" s="133">
        <f t="shared" si="49"/>
        <v>0</v>
      </c>
      <c r="P123" s="163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3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4"/>
      <c r="AO123" s="4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4"/>
    </row>
    <row r="124" spans="1:64" hidden="1" x14ac:dyDescent="0.2">
      <c r="A124" s="15">
        <f t="shared" si="38"/>
        <v>0</v>
      </c>
      <c r="B124" s="169"/>
      <c r="C124" s="17"/>
      <c r="D124" s="128"/>
      <c r="E124" s="128" t="str">
        <f t="shared" si="45"/>
        <v>Por definir</v>
      </c>
      <c r="F124" s="156"/>
      <c r="G124" s="129"/>
      <c r="H124" s="129"/>
      <c r="I124" s="128"/>
      <c r="J124" s="130"/>
      <c r="K124" s="16">
        <v>0</v>
      </c>
      <c r="L124" s="131">
        <f t="shared" si="46"/>
        <v>0</v>
      </c>
      <c r="M124" s="131">
        <f t="shared" si="47"/>
        <v>0</v>
      </c>
      <c r="N124" s="132">
        <f t="shared" si="48"/>
        <v>0</v>
      </c>
      <c r="O124" s="133">
        <f t="shared" si="49"/>
        <v>0</v>
      </c>
      <c r="P124" s="163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3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4"/>
      <c r="AO124" s="4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4"/>
    </row>
    <row r="125" spans="1:64" hidden="1" x14ac:dyDescent="0.2">
      <c r="A125" s="15">
        <f t="shared" si="38"/>
        <v>0</v>
      </c>
      <c r="B125" s="169"/>
      <c r="C125" s="17"/>
      <c r="D125" s="128"/>
      <c r="E125" s="128" t="str">
        <f t="shared" si="45"/>
        <v>Por definir</v>
      </c>
      <c r="F125" s="156"/>
      <c r="G125" s="129"/>
      <c r="H125" s="129"/>
      <c r="I125" s="128"/>
      <c r="J125" s="130"/>
      <c r="K125" s="16">
        <v>0</v>
      </c>
      <c r="L125" s="131">
        <f t="shared" si="46"/>
        <v>0</v>
      </c>
      <c r="M125" s="131">
        <f t="shared" si="47"/>
        <v>0</v>
      </c>
      <c r="N125" s="132">
        <f t="shared" si="48"/>
        <v>0</v>
      </c>
      <c r="O125" s="133">
        <f t="shared" si="49"/>
        <v>0</v>
      </c>
      <c r="P125" s="163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3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4"/>
      <c r="AO125" s="4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4"/>
    </row>
    <row r="126" spans="1:64" hidden="1" x14ac:dyDescent="0.2">
      <c r="A126" s="15">
        <f t="shared" si="38"/>
        <v>0</v>
      </c>
      <c r="B126" s="169"/>
      <c r="C126" s="17"/>
      <c r="D126" s="128"/>
      <c r="E126" s="128" t="str">
        <f t="shared" si="45"/>
        <v>Por definir</v>
      </c>
      <c r="F126" s="156"/>
      <c r="G126" s="129"/>
      <c r="H126" s="129"/>
      <c r="I126" s="128"/>
      <c r="J126" s="130"/>
      <c r="K126" s="16">
        <v>0</v>
      </c>
      <c r="L126" s="131">
        <f t="shared" si="46"/>
        <v>0</v>
      </c>
      <c r="M126" s="131">
        <f t="shared" si="47"/>
        <v>0</v>
      </c>
      <c r="N126" s="132">
        <f t="shared" si="48"/>
        <v>0</v>
      </c>
      <c r="O126" s="133">
        <f t="shared" si="49"/>
        <v>0</v>
      </c>
      <c r="P126" s="163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3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4"/>
      <c r="AO126" s="4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4"/>
    </row>
    <row r="127" spans="1:64" hidden="1" x14ac:dyDescent="0.2">
      <c r="A127" s="15">
        <f t="shared" si="38"/>
        <v>0</v>
      </c>
      <c r="B127" s="169"/>
      <c r="C127" s="17"/>
      <c r="D127" s="128"/>
      <c r="E127" s="128" t="str">
        <f t="shared" si="45"/>
        <v>Por definir</v>
      </c>
      <c r="F127" s="156"/>
      <c r="G127" s="129"/>
      <c r="H127" s="129"/>
      <c r="I127" s="128"/>
      <c r="J127" s="130"/>
      <c r="K127" s="16">
        <v>0</v>
      </c>
      <c r="L127" s="131">
        <f t="shared" si="46"/>
        <v>0</v>
      </c>
      <c r="M127" s="131">
        <f t="shared" si="47"/>
        <v>0</v>
      </c>
      <c r="N127" s="132">
        <f t="shared" si="48"/>
        <v>0</v>
      </c>
      <c r="O127" s="133">
        <f t="shared" si="49"/>
        <v>0</v>
      </c>
      <c r="P127" s="163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3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4"/>
      <c r="AO127" s="4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4"/>
    </row>
    <row r="128" spans="1:64" hidden="1" x14ac:dyDescent="0.2">
      <c r="A128" s="15">
        <f t="shared" si="38"/>
        <v>0</v>
      </c>
      <c r="B128" s="169"/>
      <c r="C128" s="17"/>
      <c r="D128" s="128"/>
      <c r="E128" s="128" t="str">
        <f t="shared" si="45"/>
        <v>Por definir</v>
      </c>
      <c r="F128" s="156"/>
      <c r="G128" s="129"/>
      <c r="H128" s="129"/>
      <c r="I128" s="128"/>
      <c r="J128" s="130"/>
      <c r="K128" s="16">
        <v>0</v>
      </c>
      <c r="L128" s="131">
        <f t="shared" si="46"/>
        <v>0</v>
      </c>
      <c r="M128" s="131">
        <f t="shared" si="47"/>
        <v>0</v>
      </c>
      <c r="N128" s="132">
        <f t="shared" si="48"/>
        <v>0</v>
      </c>
      <c r="O128" s="133">
        <f t="shared" si="49"/>
        <v>0</v>
      </c>
      <c r="P128" s="163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3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4"/>
      <c r="AO128" s="4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4"/>
    </row>
    <row r="129" spans="1:64" hidden="1" x14ac:dyDescent="0.2">
      <c r="A129" s="15">
        <f t="shared" si="38"/>
        <v>0</v>
      </c>
      <c r="B129" s="169"/>
      <c r="C129" s="17"/>
      <c r="D129" s="128"/>
      <c r="E129" s="128" t="str">
        <f t="shared" si="45"/>
        <v>Por definir</v>
      </c>
      <c r="F129" s="156"/>
      <c r="G129" s="129"/>
      <c r="H129" s="129"/>
      <c r="I129" s="128"/>
      <c r="J129" s="130"/>
      <c r="K129" s="16">
        <v>0</v>
      </c>
      <c r="L129" s="131">
        <f t="shared" si="46"/>
        <v>0</v>
      </c>
      <c r="M129" s="131">
        <f t="shared" si="47"/>
        <v>0</v>
      </c>
      <c r="N129" s="132">
        <f t="shared" si="48"/>
        <v>0</v>
      </c>
      <c r="O129" s="133">
        <f t="shared" si="49"/>
        <v>0</v>
      </c>
      <c r="P129" s="163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3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4"/>
      <c r="AO129" s="4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4"/>
    </row>
    <row r="130" spans="1:64" hidden="1" x14ac:dyDescent="0.2">
      <c r="A130" s="15">
        <f t="shared" si="38"/>
        <v>0</v>
      </c>
      <c r="B130" s="169"/>
      <c r="C130" s="17"/>
      <c r="D130" s="128"/>
      <c r="E130" s="128" t="str">
        <f t="shared" si="45"/>
        <v>Por definir</v>
      </c>
      <c r="F130" s="156"/>
      <c r="G130" s="129"/>
      <c r="H130" s="129"/>
      <c r="I130" s="128"/>
      <c r="J130" s="130"/>
      <c r="K130" s="16">
        <v>0</v>
      </c>
      <c r="L130" s="131">
        <f t="shared" si="46"/>
        <v>0</v>
      </c>
      <c r="M130" s="131">
        <f t="shared" si="47"/>
        <v>0</v>
      </c>
      <c r="N130" s="132">
        <f t="shared" si="48"/>
        <v>0</v>
      </c>
      <c r="O130" s="133">
        <f t="shared" si="49"/>
        <v>0</v>
      </c>
      <c r="P130" s="163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3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4"/>
      <c r="AO130" s="4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4"/>
    </row>
    <row r="131" spans="1:64" hidden="1" x14ac:dyDescent="0.2">
      <c r="A131" s="15">
        <f t="shared" si="38"/>
        <v>0</v>
      </c>
      <c r="B131" s="169"/>
      <c r="C131" s="17"/>
      <c r="D131" s="128"/>
      <c r="E131" s="128" t="str">
        <f t="shared" si="45"/>
        <v>Por definir</v>
      </c>
      <c r="F131" s="156"/>
      <c r="G131" s="129"/>
      <c r="H131" s="129"/>
      <c r="I131" s="128"/>
      <c r="J131" s="130"/>
      <c r="K131" s="16">
        <v>0</v>
      </c>
      <c r="L131" s="131">
        <f t="shared" si="46"/>
        <v>0</v>
      </c>
      <c r="M131" s="131">
        <f t="shared" si="47"/>
        <v>0</v>
      </c>
      <c r="N131" s="132">
        <f t="shared" si="48"/>
        <v>0</v>
      </c>
      <c r="O131" s="133">
        <f t="shared" si="49"/>
        <v>0</v>
      </c>
      <c r="P131" s="163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3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4"/>
      <c r="AO131" s="4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4"/>
    </row>
    <row r="132" spans="1:64" hidden="1" x14ac:dyDescent="0.2">
      <c r="A132" s="15">
        <f t="shared" si="38"/>
        <v>0</v>
      </c>
      <c r="B132" s="169"/>
      <c r="C132" s="17"/>
      <c r="D132" s="128"/>
      <c r="E132" s="128" t="str">
        <f t="shared" si="45"/>
        <v>Por definir</v>
      </c>
      <c r="F132" s="156"/>
      <c r="G132" s="129"/>
      <c r="H132" s="129"/>
      <c r="I132" s="128"/>
      <c r="J132" s="130"/>
      <c r="K132" s="16">
        <v>0</v>
      </c>
      <c r="L132" s="131">
        <f t="shared" si="46"/>
        <v>0</v>
      </c>
      <c r="M132" s="131">
        <f t="shared" si="47"/>
        <v>0</v>
      </c>
      <c r="N132" s="132">
        <f t="shared" si="48"/>
        <v>0</v>
      </c>
      <c r="O132" s="133">
        <f t="shared" si="49"/>
        <v>0</v>
      </c>
      <c r="P132" s="163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3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4"/>
      <c r="AO132" s="4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4"/>
    </row>
    <row r="133" spans="1:64" hidden="1" x14ac:dyDescent="0.2">
      <c r="A133" s="15">
        <f t="shared" si="38"/>
        <v>0</v>
      </c>
      <c r="B133" s="169"/>
      <c r="C133" s="17"/>
      <c r="D133" s="128"/>
      <c r="E133" s="128" t="str">
        <f t="shared" si="45"/>
        <v>Por definir</v>
      </c>
      <c r="F133" s="156"/>
      <c r="G133" s="129"/>
      <c r="H133" s="129"/>
      <c r="I133" s="128"/>
      <c r="J133" s="130"/>
      <c r="K133" s="16">
        <v>0</v>
      </c>
      <c r="L133" s="131">
        <f t="shared" si="46"/>
        <v>0</v>
      </c>
      <c r="M133" s="131">
        <f t="shared" si="47"/>
        <v>0</v>
      </c>
      <c r="N133" s="132">
        <f t="shared" si="48"/>
        <v>0</v>
      </c>
      <c r="O133" s="133">
        <f t="shared" si="49"/>
        <v>0</v>
      </c>
      <c r="P133" s="163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3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4"/>
      <c r="AO133" s="4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4"/>
    </row>
    <row r="134" spans="1:64" hidden="1" x14ac:dyDescent="0.2">
      <c r="A134" s="15">
        <f t="shared" si="38"/>
        <v>0</v>
      </c>
      <c r="B134" s="169"/>
      <c r="C134" s="17"/>
      <c r="D134" s="128"/>
      <c r="E134" s="128" t="str">
        <f t="shared" si="45"/>
        <v>Por definir</v>
      </c>
      <c r="F134" s="156"/>
      <c r="G134" s="129"/>
      <c r="H134" s="129"/>
      <c r="I134" s="128"/>
      <c r="J134" s="130"/>
      <c r="K134" s="16">
        <v>0</v>
      </c>
      <c r="L134" s="131">
        <f t="shared" si="46"/>
        <v>0</v>
      </c>
      <c r="M134" s="131">
        <f t="shared" si="47"/>
        <v>0</v>
      </c>
      <c r="N134" s="132">
        <f t="shared" si="48"/>
        <v>0</v>
      </c>
      <c r="O134" s="133">
        <f t="shared" si="49"/>
        <v>0</v>
      </c>
      <c r="P134" s="163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3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4"/>
      <c r="AO134" s="4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4"/>
    </row>
    <row r="135" spans="1:64" hidden="1" x14ac:dyDescent="0.2">
      <c r="A135" s="15">
        <f t="shared" si="38"/>
        <v>0</v>
      </c>
      <c r="B135" s="169"/>
      <c r="C135" s="17"/>
      <c r="D135" s="128"/>
      <c r="E135" s="128" t="str">
        <f t="shared" si="45"/>
        <v>Por definir</v>
      </c>
      <c r="F135" s="156"/>
      <c r="G135" s="129"/>
      <c r="H135" s="129"/>
      <c r="I135" s="128"/>
      <c r="J135" s="130"/>
      <c r="K135" s="16">
        <v>0</v>
      </c>
      <c r="L135" s="131">
        <f t="shared" si="46"/>
        <v>0</v>
      </c>
      <c r="M135" s="131">
        <f t="shared" si="47"/>
        <v>0</v>
      </c>
      <c r="N135" s="132">
        <f t="shared" si="48"/>
        <v>0</v>
      </c>
      <c r="O135" s="133">
        <f t="shared" si="49"/>
        <v>0</v>
      </c>
      <c r="P135" s="163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3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4"/>
      <c r="AO135" s="4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4"/>
    </row>
    <row r="136" spans="1:64" hidden="1" x14ac:dyDescent="0.2">
      <c r="A136" s="15">
        <f t="shared" si="38"/>
        <v>0</v>
      </c>
      <c r="B136" s="169"/>
      <c r="C136" s="17"/>
      <c r="D136" s="128"/>
      <c r="E136" s="128" t="str">
        <f t="shared" si="45"/>
        <v>Por definir</v>
      </c>
      <c r="F136" s="156"/>
      <c r="G136" s="129"/>
      <c r="H136" s="129"/>
      <c r="I136" s="128"/>
      <c r="J136" s="130"/>
      <c r="K136" s="16">
        <v>0</v>
      </c>
      <c r="L136" s="131">
        <f t="shared" si="46"/>
        <v>0</v>
      </c>
      <c r="M136" s="131">
        <f t="shared" si="47"/>
        <v>0</v>
      </c>
      <c r="N136" s="132">
        <f t="shared" si="48"/>
        <v>0</v>
      </c>
      <c r="O136" s="133">
        <f t="shared" si="49"/>
        <v>0</v>
      </c>
      <c r="P136" s="163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3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4"/>
      <c r="AO136" s="4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4"/>
    </row>
    <row r="137" spans="1:64" hidden="1" x14ac:dyDescent="0.2">
      <c r="A137" s="15">
        <f t="shared" si="38"/>
        <v>0</v>
      </c>
      <c r="B137" s="169"/>
      <c r="C137" s="17"/>
      <c r="D137" s="128"/>
      <c r="E137" s="128" t="str">
        <f t="shared" si="45"/>
        <v>Por definir</v>
      </c>
      <c r="F137" s="156"/>
      <c r="G137" s="129"/>
      <c r="H137" s="129"/>
      <c r="I137" s="128"/>
      <c r="J137" s="130"/>
      <c r="K137" s="16">
        <v>0</v>
      </c>
      <c r="L137" s="131">
        <f t="shared" si="46"/>
        <v>0</v>
      </c>
      <c r="M137" s="131">
        <f t="shared" si="47"/>
        <v>0</v>
      </c>
      <c r="N137" s="132">
        <f t="shared" si="48"/>
        <v>0</v>
      </c>
      <c r="O137" s="133">
        <f t="shared" si="49"/>
        <v>0</v>
      </c>
      <c r="P137" s="163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3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4"/>
      <c r="AO137" s="4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4"/>
    </row>
    <row r="138" spans="1:64" hidden="1" x14ac:dyDescent="0.2">
      <c r="A138" s="15">
        <f t="shared" si="38"/>
        <v>0</v>
      </c>
      <c r="B138" s="169"/>
      <c r="C138" s="17"/>
      <c r="D138" s="128"/>
      <c r="E138" s="128" t="str">
        <f t="shared" si="45"/>
        <v>Por definir</v>
      </c>
      <c r="F138" s="156"/>
      <c r="G138" s="129"/>
      <c r="H138" s="129"/>
      <c r="I138" s="128"/>
      <c r="J138" s="130"/>
      <c r="K138" s="16">
        <v>0</v>
      </c>
      <c r="L138" s="131">
        <f t="shared" si="46"/>
        <v>0</v>
      </c>
      <c r="M138" s="131">
        <f t="shared" si="47"/>
        <v>0</v>
      </c>
      <c r="N138" s="132">
        <f t="shared" si="48"/>
        <v>0</v>
      </c>
      <c r="O138" s="133">
        <f t="shared" si="49"/>
        <v>0</v>
      </c>
      <c r="P138" s="163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3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4"/>
      <c r="AO138" s="4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4"/>
    </row>
    <row r="139" spans="1:64" hidden="1" x14ac:dyDescent="0.2">
      <c r="A139" s="15">
        <f t="shared" si="38"/>
        <v>0</v>
      </c>
      <c r="B139" s="169"/>
      <c r="C139" s="17"/>
      <c r="D139" s="128"/>
      <c r="E139" s="128" t="str">
        <f t="shared" si="45"/>
        <v>Por definir</v>
      </c>
      <c r="F139" s="156"/>
      <c r="G139" s="129"/>
      <c r="H139" s="129"/>
      <c r="I139" s="128"/>
      <c r="J139" s="130"/>
      <c r="K139" s="16">
        <v>0</v>
      </c>
      <c r="L139" s="131">
        <f t="shared" si="46"/>
        <v>0</v>
      </c>
      <c r="M139" s="131">
        <f t="shared" si="47"/>
        <v>0</v>
      </c>
      <c r="N139" s="132">
        <f t="shared" si="48"/>
        <v>0</v>
      </c>
      <c r="O139" s="133">
        <f t="shared" si="49"/>
        <v>0</v>
      </c>
      <c r="P139" s="163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3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4"/>
      <c r="AO139" s="4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4"/>
    </row>
    <row r="140" spans="1:64" hidden="1" x14ac:dyDescent="0.2">
      <c r="A140" s="15">
        <f t="shared" si="38"/>
        <v>0</v>
      </c>
      <c r="B140" s="169"/>
      <c r="C140" s="17"/>
      <c r="D140" s="128"/>
      <c r="E140" s="128" t="str">
        <f t="shared" si="45"/>
        <v>Por definir</v>
      </c>
      <c r="F140" s="156"/>
      <c r="G140" s="129"/>
      <c r="H140" s="129"/>
      <c r="I140" s="128"/>
      <c r="J140" s="130"/>
      <c r="K140" s="16">
        <v>0</v>
      </c>
      <c r="L140" s="131">
        <f t="shared" si="46"/>
        <v>0</v>
      </c>
      <c r="M140" s="131">
        <f t="shared" si="47"/>
        <v>0</v>
      </c>
      <c r="N140" s="132">
        <f t="shared" si="48"/>
        <v>0</v>
      </c>
      <c r="O140" s="133">
        <f t="shared" si="49"/>
        <v>0</v>
      </c>
      <c r="P140" s="163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3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4"/>
      <c r="AO140" s="4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4"/>
    </row>
    <row r="141" spans="1:64" hidden="1" x14ac:dyDescent="0.2">
      <c r="A141" s="15">
        <f t="shared" si="38"/>
        <v>0</v>
      </c>
      <c r="B141" s="169"/>
      <c r="C141" s="17"/>
      <c r="D141" s="128"/>
      <c r="E141" s="128" t="str">
        <f t="shared" si="45"/>
        <v>Por definir</v>
      </c>
      <c r="F141" s="156"/>
      <c r="G141" s="129"/>
      <c r="H141" s="129"/>
      <c r="I141" s="128"/>
      <c r="J141" s="130"/>
      <c r="K141" s="16">
        <v>0</v>
      </c>
      <c r="L141" s="131">
        <f t="shared" si="46"/>
        <v>0</v>
      </c>
      <c r="M141" s="131">
        <f t="shared" si="47"/>
        <v>0</v>
      </c>
      <c r="N141" s="132">
        <f t="shared" si="48"/>
        <v>0</v>
      </c>
      <c r="O141" s="133">
        <f t="shared" si="49"/>
        <v>0</v>
      </c>
      <c r="P141" s="163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3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4"/>
      <c r="AO141" s="4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4"/>
    </row>
    <row r="142" spans="1:64" hidden="1" x14ac:dyDescent="0.2">
      <c r="A142" s="15">
        <f t="shared" si="38"/>
        <v>0</v>
      </c>
      <c r="B142" s="169"/>
      <c r="C142" s="17"/>
      <c r="D142" s="128"/>
      <c r="E142" s="128" t="str">
        <f t="shared" si="45"/>
        <v>Por definir</v>
      </c>
      <c r="F142" s="156"/>
      <c r="G142" s="129"/>
      <c r="H142" s="129"/>
      <c r="I142" s="128"/>
      <c r="J142" s="130"/>
      <c r="K142" s="16">
        <v>0</v>
      </c>
      <c r="L142" s="131">
        <f t="shared" si="46"/>
        <v>0</v>
      </c>
      <c r="M142" s="131">
        <f t="shared" si="47"/>
        <v>0</v>
      </c>
      <c r="N142" s="132">
        <f t="shared" si="48"/>
        <v>0</v>
      </c>
      <c r="O142" s="133">
        <f t="shared" si="49"/>
        <v>0</v>
      </c>
      <c r="P142" s="163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3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4"/>
      <c r="AO142" s="4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4"/>
    </row>
    <row r="143" spans="1:64" hidden="1" x14ac:dyDescent="0.2">
      <c r="A143" s="15">
        <f t="shared" si="38"/>
        <v>0</v>
      </c>
      <c r="B143" s="169"/>
      <c r="C143" s="17"/>
      <c r="D143" s="128"/>
      <c r="E143" s="128" t="str">
        <f t="shared" si="45"/>
        <v>Por definir</v>
      </c>
      <c r="F143" s="156"/>
      <c r="G143" s="129"/>
      <c r="H143" s="129"/>
      <c r="I143" s="128"/>
      <c r="J143" s="130"/>
      <c r="K143" s="16">
        <v>0</v>
      </c>
      <c r="L143" s="131">
        <f t="shared" si="46"/>
        <v>0</v>
      </c>
      <c r="M143" s="131">
        <f t="shared" si="47"/>
        <v>0</v>
      </c>
      <c r="N143" s="132">
        <f t="shared" si="48"/>
        <v>0</v>
      </c>
      <c r="O143" s="133">
        <f t="shared" si="49"/>
        <v>0</v>
      </c>
      <c r="P143" s="163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3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4"/>
      <c r="AO143" s="4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4"/>
    </row>
    <row r="144" spans="1:64" hidden="1" x14ac:dyDescent="0.2">
      <c r="A144" s="15">
        <f t="shared" si="38"/>
        <v>0</v>
      </c>
      <c r="B144" s="169"/>
      <c r="C144" s="17"/>
      <c r="D144" s="128"/>
      <c r="E144" s="128" t="str">
        <f t="shared" si="45"/>
        <v>Por definir</v>
      </c>
      <c r="F144" s="156"/>
      <c r="G144" s="129"/>
      <c r="H144" s="129"/>
      <c r="I144" s="128"/>
      <c r="J144" s="130"/>
      <c r="K144" s="16">
        <v>0</v>
      </c>
      <c r="L144" s="131">
        <f t="shared" si="46"/>
        <v>0</v>
      </c>
      <c r="M144" s="131">
        <f t="shared" si="47"/>
        <v>0</v>
      </c>
      <c r="N144" s="132">
        <f t="shared" si="48"/>
        <v>0</v>
      </c>
      <c r="O144" s="133">
        <f t="shared" si="49"/>
        <v>0</v>
      </c>
      <c r="P144" s="163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3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4"/>
      <c r="AO144" s="4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4"/>
    </row>
    <row r="145" spans="1:64" hidden="1" x14ac:dyDescent="0.2">
      <c r="A145" s="15">
        <f t="shared" si="38"/>
        <v>0</v>
      </c>
      <c r="B145" s="169"/>
      <c r="C145" s="17"/>
      <c r="D145" s="128"/>
      <c r="E145" s="128" t="str">
        <f t="shared" si="45"/>
        <v>Por definir</v>
      </c>
      <c r="F145" s="156"/>
      <c r="G145" s="129"/>
      <c r="H145" s="129"/>
      <c r="I145" s="128"/>
      <c r="J145" s="130"/>
      <c r="K145" s="16">
        <v>0</v>
      </c>
      <c r="L145" s="131">
        <f t="shared" si="46"/>
        <v>0</v>
      </c>
      <c r="M145" s="131">
        <f t="shared" si="47"/>
        <v>0</v>
      </c>
      <c r="N145" s="132">
        <f t="shared" si="48"/>
        <v>0</v>
      </c>
      <c r="O145" s="133">
        <f t="shared" si="49"/>
        <v>0</v>
      </c>
      <c r="P145" s="163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3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4"/>
      <c r="AO145" s="4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4"/>
    </row>
    <row r="146" spans="1:64" hidden="1" x14ac:dyDescent="0.2">
      <c r="A146" s="15">
        <f t="shared" si="38"/>
        <v>0</v>
      </c>
      <c r="B146" s="169"/>
      <c r="C146" s="17"/>
      <c r="D146" s="128"/>
      <c r="E146" s="128" t="str">
        <f t="shared" si="45"/>
        <v>Por definir</v>
      </c>
      <c r="F146" s="156"/>
      <c r="G146" s="129"/>
      <c r="H146" s="129"/>
      <c r="I146" s="128"/>
      <c r="J146" s="130"/>
      <c r="K146" s="16">
        <v>0</v>
      </c>
      <c r="L146" s="131">
        <f t="shared" si="46"/>
        <v>0</v>
      </c>
      <c r="M146" s="131">
        <f t="shared" si="47"/>
        <v>0</v>
      </c>
      <c r="N146" s="132">
        <f t="shared" si="48"/>
        <v>0</v>
      </c>
      <c r="O146" s="133">
        <f t="shared" si="49"/>
        <v>0</v>
      </c>
      <c r="P146" s="163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3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4"/>
      <c r="AO146" s="4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4"/>
    </row>
    <row r="147" spans="1:64" hidden="1" x14ac:dyDescent="0.2">
      <c r="A147" s="15">
        <f t="shared" si="38"/>
        <v>0</v>
      </c>
      <c r="B147" s="169"/>
      <c r="C147" s="17"/>
      <c r="D147" s="128"/>
      <c r="E147" s="128" t="str">
        <f t="shared" si="45"/>
        <v>Por definir</v>
      </c>
      <c r="F147" s="156"/>
      <c r="G147" s="129"/>
      <c r="H147" s="129"/>
      <c r="I147" s="128"/>
      <c r="J147" s="130"/>
      <c r="K147" s="16">
        <v>0</v>
      </c>
      <c r="L147" s="131">
        <f t="shared" si="46"/>
        <v>0</v>
      </c>
      <c r="M147" s="131">
        <f t="shared" si="47"/>
        <v>0</v>
      </c>
      <c r="N147" s="132">
        <f t="shared" si="48"/>
        <v>0</v>
      </c>
      <c r="O147" s="133">
        <f t="shared" si="49"/>
        <v>0</v>
      </c>
      <c r="P147" s="163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3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4"/>
      <c r="AO147" s="4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4"/>
    </row>
    <row r="148" spans="1:64" hidden="1" x14ac:dyDescent="0.2">
      <c r="A148" s="15">
        <f t="shared" si="38"/>
        <v>0</v>
      </c>
      <c r="B148" s="169"/>
      <c r="C148" s="17"/>
      <c r="D148" s="128"/>
      <c r="E148" s="128" t="str">
        <f t="shared" si="45"/>
        <v>Por definir</v>
      </c>
      <c r="F148" s="156"/>
      <c r="G148" s="129"/>
      <c r="H148" s="129"/>
      <c r="I148" s="128"/>
      <c r="J148" s="130"/>
      <c r="K148" s="16">
        <v>0</v>
      </c>
      <c r="L148" s="131">
        <f t="shared" si="46"/>
        <v>0</v>
      </c>
      <c r="M148" s="131">
        <f t="shared" si="47"/>
        <v>0</v>
      </c>
      <c r="N148" s="132">
        <f t="shared" si="48"/>
        <v>0</v>
      </c>
      <c r="O148" s="133">
        <f t="shared" si="49"/>
        <v>0</v>
      </c>
      <c r="P148" s="163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3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4"/>
      <c r="AO148" s="4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4"/>
    </row>
    <row r="149" spans="1:64" hidden="1" x14ac:dyDescent="0.2">
      <c r="A149" s="15">
        <f t="shared" si="38"/>
        <v>0</v>
      </c>
      <c r="B149" s="169"/>
      <c r="C149" s="17"/>
      <c r="D149" s="128"/>
      <c r="E149" s="128" t="str">
        <f t="shared" si="45"/>
        <v>Por definir</v>
      </c>
      <c r="F149" s="156"/>
      <c r="G149" s="129"/>
      <c r="H149" s="129"/>
      <c r="I149" s="128"/>
      <c r="J149" s="130"/>
      <c r="K149" s="16">
        <v>0</v>
      </c>
      <c r="L149" s="131">
        <f t="shared" si="46"/>
        <v>0</v>
      </c>
      <c r="M149" s="131">
        <f t="shared" si="47"/>
        <v>0</v>
      </c>
      <c r="N149" s="132">
        <f t="shared" si="48"/>
        <v>0</v>
      </c>
      <c r="O149" s="133">
        <f t="shared" si="49"/>
        <v>0</v>
      </c>
      <c r="P149" s="163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3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4"/>
      <c r="AO149" s="4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4"/>
    </row>
    <row r="150" spans="1:64" hidden="1" x14ac:dyDescent="0.2">
      <c r="A150" s="15">
        <f t="shared" si="38"/>
        <v>0</v>
      </c>
      <c r="B150" s="169"/>
      <c r="C150" s="17"/>
      <c r="D150" s="128"/>
      <c r="E150" s="128" t="str">
        <f t="shared" si="45"/>
        <v>Por definir</v>
      </c>
      <c r="F150" s="156"/>
      <c r="G150" s="129"/>
      <c r="H150" s="129"/>
      <c r="I150" s="128"/>
      <c r="J150" s="130"/>
      <c r="K150" s="16">
        <v>0</v>
      </c>
      <c r="L150" s="131">
        <f t="shared" si="46"/>
        <v>0</v>
      </c>
      <c r="M150" s="131">
        <f t="shared" si="47"/>
        <v>0</v>
      </c>
      <c r="N150" s="132">
        <f t="shared" si="48"/>
        <v>0</v>
      </c>
      <c r="O150" s="133">
        <f t="shared" si="49"/>
        <v>0</v>
      </c>
      <c r="P150" s="163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3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4"/>
      <c r="AO150" s="4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4"/>
    </row>
    <row r="151" spans="1:64" hidden="1" x14ac:dyDescent="0.2">
      <c r="A151" s="15">
        <f t="shared" si="38"/>
        <v>0</v>
      </c>
      <c r="B151" s="169"/>
      <c r="C151" s="17"/>
      <c r="D151" s="128"/>
      <c r="E151" s="128" t="str">
        <f t="shared" si="45"/>
        <v>Por definir</v>
      </c>
      <c r="F151" s="156"/>
      <c r="G151" s="129"/>
      <c r="H151" s="129"/>
      <c r="I151" s="128"/>
      <c r="J151" s="130"/>
      <c r="K151" s="16">
        <v>0</v>
      </c>
      <c r="L151" s="131">
        <f t="shared" si="46"/>
        <v>0</v>
      </c>
      <c r="M151" s="131">
        <f t="shared" si="47"/>
        <v>0</v>
      </c>
      <c r="N151" s="132">
        <f t="shared" si="48"/>
        <v>0</v>
      </c>
      <c r="O151" s="133">
        <f t="shared" si="49"/>
        <v>0</v>
      </c>
      <c r="P151" s="163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3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4"/>
      <c r="AO151" s="4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4"/>
    </row>
    <row r="152" spans="1:64" hidden="1" x14ac:dyDescent="0.2">
      <c r="A152" s="15">
        <f t="shared" si="38"/>
        <v>0</v>
      </c>
      <c r="B152" s="169"/>
      <c r="C152" s="17"/>
      <c r="D152" s="128"/>
      <c r="E152" s="128" t="str">
        <f t="shared" si="45"/>
        <v>Por definir</v>
      </c>
      <c r="F152" s="156"/>
      <c r="G152" s="129"/>
      <c r="H152" s="129"/>
      <c r="I152" s="128"/>
      <c r="J152" s="130"/>
      <c r="K152" s="16">
        <v>0</v>
      </c>
      <c r="L152" s="131">
        <f t="shared" si="46"/>
        <v>0</v>
      </c>
      <c r="M152" s="131">
        <f t="shared" si="47"/>
        <v>0</v>
      </c>
      <c r="N152" s="132">
        <f t="shared" si="48"/>
        <v>0</v>
      </c>
      <c r="O152" s="133">
        <f t="shared" si="49"/>
        <v>0</v>
      </c>
      <c r="P152" s="163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3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4"/>
      <c r="AO152" s="4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4"/>
    </row>
    <row r="153" spans="1:64" hidden="1" x14ac:dyDescent="0.2">
      <c r="A153" s="15">
        <f t="shared" si="38"/>
        <v>0</v>
      </c>
      <c r="B153" s="169"/>
      <c r="C153" s="17"/>
      <c r="D153" s="128"/>
      <c r="E153" s="128" t="str">
        <f t="shared" si="45"/>
        <v>Por definir</v>
      </c>
      <c r="F153" s="156"/>
      <c r="G153" s="129"/>
      <c r="H153" s="129"/>
      <c r="I153" s="128"/>
      <c r="J153" s="130"/>
      <c r="K153" s="16">
        <v>0</v>
      </c>
      <c r="L153" s="131">
        <f t="shared" si="46"/>
        <v>0</v>
      </c>
      <c r="M153" s="131">
        <f t="shared" si="47"/>
        <v>0</v>
      </c>
      <c r="N153" s="132">
        <f t="shared" si="48"/>
        <v>0</v>
      </c>
      <c r="O153" s="133">
        <f t="shared" si="49"/>
        <v>0</v>
      </c>
      <c r="P153" s="163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3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4"/>
      <c r="AO153" s="4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4"/>
    </row>
    <row r="154" spans="1:64" hidden="1" x14ac:dyDescent="0.2">
      <c r="A154" s="15">
        <f t="shared" si="38"/>
        <v>0</v>
      </c>
      <c r="B154" s="169"/>
      <c r="C154" s="17"/>
      <c r="D154" s="128"/>
      <c r="E154" s="128" t="str">
        <f t="shared" si="45"/>
        <v>Por definir</v>
      </c>
      <c r="F154" s="156"/>
      <c r="G154" s="129"/>
      <c r="H154" s="129"/>
      <c r="I154" s="128"/>
      <c r="J154" s="130"/>
      <c r="K154" s="16">
        <v>0</v>
      </c>
      <c r="L154" s="131">
        <f t="shared" si="46"/>
        <v>0</v>
      </c>
      <c r="M154" s="131">
        <f t="shared" si="47"/>
        <v>0</v>
      </c>
      <c r="N154" s="132">
        <f t="shared" si="48"/>
        <v>0</v>
      </c>
      <c r="O154" s="133">
        <f t="shared" si="49"/>
        <v>0</v>
      </c>
      <c r="P154" s="163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3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4"/>
      <c r="AO154" s="4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4"/>
    </row>
    <row r="155" spans="1:64" hidden="1" x14ac:dyDescent="0.2">
      <c r="A155" s="15">
        <f t="shared" si="38"/>
        <v>0</v>
      </c>
      <c r="B155" s="169"/>
      <c r="C155" s="17"/>
      <c r="D155" s="128"/>
      <c r="E155" s="128" t="str">
        <f t="shared" si="45"/>
        <v>Por definir</v>
      </c>
      <c r="F155" s="156"/>
      <c r="G155" s="129"/>
      <c r="H155" s="129"/>
      <c r="I155" s="128"/>
      <c r="J155" s="130"/>
      <c r="K155" s="16">
        <v>0</v>
      </c>
      <c r="L155" s="131">
        <f t="shared" si="46"/>
        <v>0</v>
      </c>
      <c r="M155" s="131">
        <f t="shared" si="47"/>
        <v>0</v>
      </c>
      <c r="N155" s="132">
        <f t="shared" si="48"/>
        <v>0</v>
      </c>
      <c r="O155" s="133">
        <f t="shared" si="49"/>
        <v>0</v>
      </c>
      <c r="P155" s="163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3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4"/>
      <c r="AO155" s="4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4"/>
    </row>
    <row r="156" spans="1:64" hidden="1" x14ac:dyDescent="0.2">
      <c r="A156" s="15">
        <f t="shared" si="38"/>
        <v>0</v>
      </c>
      <c r="B156" s="169"/>
      <c r="C156" s="17"/>
      <c r="D156" s="128"/>
      <c r="E156" s="128" t="str">
        <f t="shared" ref="E156:E219" si="50">+IF(D156="Chile","30 días",IF(D156="Perú","30 días",IF(D156="Brasil","60 días",IF(D156="Rusia","Indeterminado","Por definir"))))</f>
        <v>Por definir</v>
      </c>
      <c r="F156" s="156"/>
      <c r="G156" s="129"/>
      <c r="H156" s="129"/>
      <c r="I156" s="128"/>
      <c r="J156" s="130"/>
      <c r="K156" s="16">
        <v>0</v>
      </c>
      <c r="L156" s="131">
        <f t="shared" ref="L156:L219" si="51">+SUM(P156:AA156)</f>
        <v>0</v>
      </c>
      <c r="M156" s="131">
        <f t="shared" ref="M156:M219" si="52">+SUM(P156:Z156)</f>
        <v>0</v>
      </c>
      <c r="N156" s="132">
        <f t="shared" ref="N156:N219" si="53">IFERROR(+M156/K156,0)</f>
        <v>0</v>
      </c>
      <c r="O156" s="133">
        <f t="shared" ref="O156:O219" si="54">+K156-M156</f>
        <v>0</v>
      </c>
      <c r="P156" s="163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3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4"/>
      <c r="AO156" s="4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4"/>
    </row>
    <row r="157" spans="1:64" hidden="1" x14ac:dyDescent="0.2">
      <c r="A157" s="15">
        <f t="shared" ref="A157:A220" si="55">+LEN(B157)</f>
        <v>0</v>
      </c>
      <c r="B157" s="169"/>
      <c r="C157" s="17"/>
      <c r="D157" s="128"/>
      <c r="E157" s="128" t="str">
        <f t="shared" si="50"/>
        <v>Por definir</v>
      </c>
      <c r="F157" s="156"/>
      <c r="G157" s="129"/>
      <c r="H157" s="129"/>
      <c r="I157" s="128"/>
      <c r="J157" s="130"/>
      <c r="K157" s="16">
        <v>0</v>
      </c>
      <c r="L157" s="131">
        <f t="shared" si="51"/>
        <v>0</v>
      </c>
      <c r="M157" s="131">
        <f t="shared" si="52"/>
        <v>0</v>
      </c>
      <c r="N157" s="132">
        <f t="shared" si="53"/>
        <v>0</v>
      </c>
      <c r="O157" s="133">
        <f t="shared" si="54"/>
        <v>0</v>
      </c>
      <c r="P157" s="163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3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4"/>
      <c r="AO157" s="4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4"/>
    </row>
    <row r="158" spans="1:64" hidden="1" x14ac:dyDescent="0.2">
      <c r="A158" s="15">
        <f t="shared" si="55"/>
        <v>0</v>
      </c>
      <c r="B158" s="169"/>
      <c r="C158" s="17"/>
      <c r="D158" s="128"/>
      <c r="E158" s="128" t="str">
        <f t="shared" si="50"/>
        <v>Por definir</v>
      </c>
      <c r="F158" s="156"/>
      <c r="G158" s="129"/>
      <c r="H158" s="129"/>
      <c r="I158" s="128"/>
      <c r="J158" s="130"/>
      <c r="K158" s="16">
        <v>0</v>
      </c>
      <c r="L158" s="131">
        <f t="shared" si="51"/>
        <v>0</v>
      </c>
      <c r="M158" s="131">
        <f t="shared" si="52"/>
        <v>0</v>
      </c>
      <c r="N158" s="132">
        <f t="shared" si="53"/>
        <v>0</v>
      </c>
      <c r="O158" s="133">
        <f t="shared" si="54"/>
        <v>0</v>
      </c>
      <c r="P158" s="163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3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4"/>
      <c r="AO158" s="4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4"/>
    </row>
    <row r="159" spans="1:64" hidden="1" x14ac:dyDescent="0.2">
      <c r="A159" s="15">
        <f t="shared" si="55"/>
        <v>0</v>
      </c>
      <c r="B159" s="169"/>
      <c r="C159" s="17"/>
      <c r="D159" s="128"/>
      <c r="E159" s="128" t="str">
        <f t="shared" si="50"/>
        <v>Por definir</v>
      </c>
      <c r="F159" s="156"/>
      <c r="G159" s="129"/>
      <c r="H159" s="129"/>
      <c r="I159" s="128"/>
      <c r="J159" s="130"/>
      <c r="K159" s="16">
        <v>0</v>
      </c>
      <c r="L159" s="131">
        <f t="shared" si="51"/>
        <v>0</v>
      </c>
      <c r="M159" s="131">
        <f t="shared" si="52"/>
        <v>0</v>
      </c>
      <c r="N159" s="132">
        <f t="shared" si="53"/>
        <v>0</v>
      </c>
      <c r="O159" s="133">
        <f t="shared" si="54"/>
        <v>0</v>
      </c>
      <c r="P159" s="163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3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4"/>
      <c r="AO159" s="4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4"/>
    </row>
    <row r="160" spans="1:64" hidden="1" x14ac:dyDescent="0.2">
      <c r="A160" s="15">
        <f t="shared" si="55"/>
        <v>0</v>
      </c>
      <c r="B160" s="169"/>
      <c r="C160" s="17"/>
      <c r="D160" s="128"/>
      <c r="E160" s="128" t="str">
        <f t="shared" si="50"/>
        <v>Por definir</v>
      </c>
      <c r="F160" s="156"/>
      <c r="G160" s="129"/>
      <c r="H160" s="129"/>
      <c r="I160" s="128"/>
      <c r="J160" s="130"/>
      <c r="K160" s="16">
        <v>0</v>
      </c>
      <c r="L160" s="131">
        <f t="shared" si="51"/>
        <v>0</v>
      </c>
      <c r="M160" s="131">
        <f t="shared" si="52"/>
        <v>0</v>
      </c>
      <c r="N160" s="132">
        <f t="shared" si="53"/>
        <v>0</v>
      </c>
      <c r="O160" s="133">
        <f t="shared" si="54"/>
        <v>0</v>
      </c>
      <c r="P160" s="163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3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4"/>
      <c r="AO160" s="4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4"/>
    </row>
    <row r="161" spans="1:64" hidden="1" x14ac:dyDescent="0.2">
      <c r="A161" s="15">
        <f t="shared" si="55"/>
        <v>0</v>
      </c>
      <c r="B161" s="169"/>
      <c r="C161" s="17"/>
      <c r="D161" s="128"/>
      <c r="E161" s="128" t="str">
        <f t="shared" si="50"/>
        <v>Por definir</v>
      </c>
      <c r="F161" s="156"/>
      <c r="G161" s="129"/>
      <c r="H161" s="129"/>
      <c r="I161" s="128"/>
      <c r="J161" s="130"/>
      <c r="K161" s="16">
        <v>0</v>
      </c>
      <c r="L161" s="131">
        <f t="shared" si="51"/>
        <v>0</v>
      </c>
      <c r="M161" s="131">
        <f t="shared" si="52"/>
        <v>0</v>
      </c>
      <c r="N161" s="132">
        <f t="shared" si="53"/>
        <v>0</v>
      </c>
      <c r="O161" s="133">
        <f t="shared" si="54"/>
        <v>0</v>
      </c>
      <c r="P161" s="163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3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4"/>
      <c r="AO161" s="4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4"/>
    </row>
    <row r="162" spans="1:64" hidden="1" x14ac:dyDescent="0.2">
      <c r="A162" s="15">
        <f t="shared" si="55"/>
        <v>0</v>
      </c>
      <c r="B162" s="169"/>
      <c r="C162" s="17"/>
      <c r="D162" s="128"/>
      <c r="E162" s="128" t="str">
        <f t="shared" si="50"/>
        <v>Por definir</v>
      </c>
      <c r="F162" s="156"/>
      <c r="G162" s="129"/>
      <c r="H162" s="129"/>
      <c r="I162" s="128"/>
      <c r="J162" s="130"/>
      <c r="K162" s="16">
        <v>0</v>
      </c>
      <c r="L162" s="131">
        <f t="shared" si="51"/>
        <v>0</v>
      </c>
      <c r="M162" s="131">
        <f t="shared" si="52"/>
        <v>0</v>
      </c>
      <c r="N162" s="132">
        <f t="shared" si="53"/>
        <v>0</v>
      </c>
      <c r="O162" s="133">
        <f t="shared" si="54"/>
        <v>0</v>
      </c>
      <c r="P162" s="163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3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4"/>
      <c r="AO162" s="4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4"/>
    </row>
    <row r="163" spans="1:64" hidden="1" x14ac:dyDescent="0.2">
      <c r="A163" s="15">
        <f t="shared" si="55"/>
        <v>0</v>
      </c>
      <c r="B163" s="169"/>
      <c r="C163" s="17"/>
      <c r="D163" s="128"/>
      <c r="E163" s="128" t="str">
        <f t="shared" si="50"/>
        <v>Por definir</v>
      </c>
      <c r="F163" s="156"/>
      <c r="G163" s="129"/>
      <c r="H163" s="129"/>
      <c r="I163" s="128"/>
      <c r="J163" s="130"/>
      <c r="K163" s="16">
        <v>0</v>
      </c>
      <c r="L163" s="131">
        <f t="shared" si="51"/>
        <v>0</v>
      </c>
      <c r="M163" s="131">
        <f t="shared" si="52"/>
        <v>0</v>
      </c>
      <c r="N163" s="132">
        <f t="shared" si="53"/>
        <v>0</v>
      </c>
      <c r="O163" s="133">
        <f t="shared" si="54"/>
        <v>0</v>
      </c>
      <c r="P163" s="163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3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4"/>
      <c r="AO163" s="4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4"/>
    </row>
    <row r="164" spans="1:64" hidden="1" x14ac:dyDescent="0.2">
      <c r="A164" s="15">
        <f t="shared" si="55"/>
        <v>0</v>
      </c>
      <c r="B164" s="169"/>
      <c r="C164" s="17"/>
      <c r="D164" s="128"/>
      <c r="E164" s="128" t="str">
        <f t="shared" si="50"/>
        <v>Por definir</v>
      </c>
      <c r="F164" s="156"/>
      <c r="G164" s="129"/>
      <c r="H164" s="129"/>
      <c r="I164" s="128"/>
      <c r="J164" s="130"/>
      <c r="K164" s="16">
        <v>0</v>
      </c>
      <c r="L164" s="131">
        <f t="shared" si="51"/>
        <v>0</v>
      </c>
      <c r="M164" s="131">
        <f t="shared" si="52"/>
        <v>0</v>
      </c>
      <c r="N164" s="132">
        <f t="shared" si="53"/>
        <v>0</v>
      </c>
      <c r="O164" s="133">
        <f t="shared" si="54"/>
        <v>0</v>
      </c>
      <c r="P164" s="163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3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4"/>
      <c r="AO164" s="4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4"/>
    </row>
    <row r="165" spans="1:64" hidden="1" x14ac:dyDescent="0.2">
      <c r="A165" s="15">
        <f t="shared" si="55"/>
        <v>0</v>
      </c>
      <c r="B165" s="169"/>
      <c r="C165" s="17"/>
      <c r="D165" s="128"/>
      <c r="E165" s="128" t="str">
        <f t="shared" si="50"/>
        <v>Por definir</v>
      </c>
      <c r="F165" s="156"/>
      <c r="G165" s="129"/>
      <c r="H165" s="129"/>
      <c r="I165" s="128"/>
      <c r="J165" s="130"/>
      <c r="K165" s="16">
        <v>0</v>
      </c>
      <c r="L165" s="131">
        <f t="shared" si="51"/>
        <v>0</v>
      </c>
      <c r="M165" s="131">
        <f t="shared" si="52"/>
        <v>0</v>
      </c>
      <c r="N165" s="132">
        <f t="shared" si="53"/>
        <v>0</v>
      </c>
      <c r="O165" s="133">
        <f t="shared" si="54"/>
        <v>0</v>
      </c>
      <c r="P165" s="163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3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4"/>
      <c r="AO165" s="4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4"/>
    </row>
    <row r="166" spans="1:64" hidden="1" x14ac:dyDescent="0.2">
      <c r="A166" s="15">
        <f t="shared" si="55"/>
        <v>0</v>
      </c>
      <c r="B166" s="169"/>
      <c r="C166" s="17"/>
      <c r="D166" s="128"/>
      <c r="E166" s="128" t="str">
        <f t="shared" si="50"/>
        <v>Por definir</v>
      </c>
      <c r="F166" s="156"/>
      <c r="G166" s="129"/>
      <c r="H166" s="129"/>
      <c r="I166" s="128"/>
      <c r="J166" s="130"/>
      <c r="K166" s="16">
        <v>0</v>
      </c>
      <c r="L166" s="131">
        <f t="shared" si="51"/>
        <v>0</v>
      </c>
      <c r="M166" s="131">
        <f t="shared" si="52"/>
        <v>0</v>
      </c>
      <c r="N166" s="132">
        <f t="shared" si="53"/>
        <v>0</v>
      </c>
      <c r="O166" s="133">
        <f t="shared" si="54"/>
        <v>0</v>
      </c>
      <c r="P166" s="163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3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4"/>
      <c r="AO166" s="4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4"/>
    </row>
    <row r="167" spans="1:64" hidden="1" x14ac:dyDescent="0.2">
      <c r="A167" s="15">
        <f t="shared" si="55"/>
        <v>0</v>
      </c>
      <c r="B167" s="169"/>
      <c r="C167" s="17"/>
      <c r="D167" s="128"/>
      <c r="E167" s="128" t="str">
        <f t="shared" si="50"/>
        <v>Por definir</v>
      </c>
      <c r="F167" s="156"/>
      <c r="G167" s="129"/>
      <c r="H167" s="129"/>
      <c r="I167" s="128"/>
      <c r="J167" s="130"/>
      <c r="K167" s="16">
        <v>0</v>
      </c>
      <c r="L167" s="131">
        <f t="shared" si="51"/>
        <v>0</v>
      </c>
      <c r="M167" s="131">
        <f t="shared" si="52"/>
        <v>0</v>
      </c>
      <c r="N167" s="132">
        <f t="shared" si="53"/>
        <v>0</v>
      </c>
      <c r="O167" s="133">
        <f t="shared" si="54"/>
        <v>0</v>
      </c>
      <c r="P167" s="163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3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4"/>
      <c r="AO167" s="4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4"/>
    </row>
    <row r="168" spans="1:64" hidden="1" x14ac:dyDescent="0.2">
      <c r="A168" s="15">
        <f t="shared" si="55"/>
        <v>0</v>
      </c>
      <c r="B168" s="169"/>
      <c r="C168" s="17"/>
      <c r="D168" s="128"/>
      <c r="E168" s="128" t="str">
        <f t="shared" si="50"/>
        <v>Por definir</v>
      </c>
      <c r="F168" s="156"/>
      <c r="G168" s="129"/>
      <c r="H168" s="129"/>
      <c r="I168" s="128"/>
      <c r="J168" s="130"/>
      <c r="K168" s="16">
        <v>0</v>
      </c>
      <c r="L168" s="131">
        <f t="shared" si="51"/>
        <v>0</v>
      </c>
      <c r="M168" s="131">
        <f t="shared" si="52"/>
        <v>0</v>
      </c>
      <c r="N168" s="132">
        <f t="shared" si="53"/>
        <v>0</v>
      </c>
      <c r="O168" s="133">
        <f t="shared" si="54"/>
        <v>0</v>
      </c>
      <c r="P168" s="163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3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4"/>
      <c r="AO168" s="4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4"/>
    </row>
    <row r="169" spans="1:64" hidden="1" x14ac:dyDescent="0.2">
      <c r="A169" s="15">
        <f t="shared" si="55"/>
        <v>0</v>
      </c>
      <c r="B169" s="169"/>
      <c r="C169" s="17"/>
      <c r="D169" s="128"/>
      <c r="E169" s="128" t="str">
        <f t="shared" si="50"/>
        <v>Por definir</v>
      </c>
      <c r="F169" s="156"/>
      <c r="G169" s="129"/>
      <c r="H169" s="129"/>
      <c r="I169" s="128"/>
      <c r="J169" s="130"/>
      <c r="K169" s="16">
        <v>0</v>
      </c>
      <c r="L169" s="131">
        <f t="shared" si="51"/>
        <v>0</v>
      </c>
      <c r="M169" s="131">
        <f t="shared" si="52"/>
        <v>0</v>
      </c>
      <c r="N169" s="132">
        <f t="shared" si="53"/>
        <v>0</v>
      </c>
      <c r="O169" s="133">
        <f t="shared" si="54"/>
        <v>0</v>
      </c>
      <c r="P169" s="163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3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4"/>
      <c r="AO169" s="4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4"/>
    </row>
    <row r="170" spans="1:64" hidden="1" x14ac:dyDescent="0.2">
      <c r="A170" s="15">
        <f t="shared" si="55"/>
        <v>0</v>
      </c>
      <c r="B170" s="169"/>
      <c r="C170" s="17"/>
      <c r="D170" s="128"/>
      <c r="E170" s="128" t="str">
        <f t="shared" si="50"/>
        <v>Por definir</v>
      </c>
      <c r="F170" s="156"/>
      <c r="G170" s="129"/>
      <c r="H170" s="129"/>
      <c r="I170" s="128"/>
      <c r="J170" s="130"/>
      <c r="K170" s="16">
        <v>0</v>
      </c>
      <c r="L170" s="131">
        <f t="shared" si="51"/>
        <v>0</v>
      </c>
      <c r="M170" s="131">
        <f t="shared" si="52"/>
        <v>0</v>
      </c>
      <c r="N170" s="132">
        <f t="shared" si="53"/>
        <v>0</v>
      </c>
      <c r="O170" s="133">
        <f t="shared" si="54"/>
        <v>0</v>
      </c>
      <c r="P170" s="163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3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4"/>
      <c r="AO170" s="4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4"/>
    </row>
    <row r="171" spans="1:64" hidden="1" x14ac:dyDescent="0.2">
      <c r="A171" s="15">
        <f t="shared" si="55"/>
        <v>0</v>
      </c>
      <c r="B171" s="169"/>
      <c r="C171" s="17"/>
      <c r="D171" s="128"/>
      <c r="E171" s="128" t="str">
        <f t="shared" si="50"/>
        <v>Por definir</v>
      </c>
      <c r="F171" s="156"/>
      <c r="G171" s="129"/>
      <c r="H171" s="129"/>
      <c r="I171" s="128"/>
      <c r="J171" s="130"/>
      <c r="K171" s="16">
        <v>0</v>
      </c>
      <c r="L171" s="131">
        <f t="shared" si="51"/>
        <v>0</v>
      </c>
      <c r="M171" s="131">
        <f t="shared" si="52"/>
        <v>0</v>
      </c>
      <c r="N171" s="132">
        <f t="shared" si="53"/>
        <v>0</v>
      </c>
      <c r="O171" s="133">
        <f t="shared" si="54"/>
        <v>0</v>
      </c>
      <c r="P171" s="163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3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4"/>
      <c r="AO171" s="4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4"/>
    </row>
    <row r="172" spans="1:64" hidden="1" x14ac:dyDescent="0.2">
      <c r="A172" s="15">
        <f t="shared" si="55"/>
        <v>0</v>
      </c>
      <c r="B172" s="169"/>
      <c r="C172" s="17"/>
      <c r="D172" s="128"/>
      <c r="E172" s="128" t="str">
        <f t="shared" si="50"/>
        <v>Por definir</v>
      </c>
      <c r="F172" s="156"/>
      <c r="G172" s="129"/>
      <c r="H172" s="129"/>
      <c r="I172" s="128"/>
      <c r="J172" s="130"/>
      <c r="K172" s="16">
        <v>0</v>
      </c>
      <c r="L172" s="131">
        <f t="shared" si="51"/>
        <v>0</v>
      </c>
      <c r="M172" s="131">
        <f t="shared" si="52"/>
        <v>0</v>
      </c>
      <c r="N172" s="132">
        <f t="shared" si="53"/>
        <v>0</v>
      </c>
      <c r="O172" s="133">
        <f t="shared" si="54"/>
        <v>0</v>
      </c>
      <c r="P172" s="163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3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4"/>
      <c r="AO172" s="4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4"/>
    </row>
    <row r="173" spans="1:64" hidden="1" x14ac:dyDescent="0.2">
      <c r="A173" s="15">
        <f t="shared" si="55"/>
        <v>0</v>
      </c>
      <c r="B173" s="169"/>
      <c r="C173" s="17"/>
      <c r="D173" s="128"/>
      <c r="E173" s="128" t="str">
        <f t="shared" si="50"/>
        <v>Por definir</v>
      </c>
      <c r="F173" s="156"/>
      <c r="G173" s="129"/>
      <c r="H173" s="129"/>
      <c r="I173" s="128"/>
      <c r="J173" s="130"/>
      <c r="K173" s="16">
        <v>0</v>
      </c>
      <c r="L173" s="131">
        <f t="shared" si="51"/>
        <v>0</v>
      </c>
      <c r="M173" s="131">
        <f t="shared" si="52"/>
        <v>0</v>
      </c>
      <c r="N173" s="132">
        <f t="shared" si="53"/>
        <v>0</v>
      </c>
      <c r="O173" s="133">
        <f t="shared" si="54"/>
        <v>0</v>
      </c>
      <c r="P173" s="163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3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4"/>
      <c r="AO173" s="4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4"/>
    </row>
    <row r="174" spans="1:64" hidden="1" x14ac:dyDescent="0.2">
      <c r="A174" s="15">
        <f t="shared" si="55"/>
        <v>0</v>
      </c>
      <c r="B174" s="169"/>
      <c r="C174" s="17"/>
      <c r="D174" s="128"/>
      <c r="E174" s="128" t="str">
        <f t="shared" si="50"/>
        <v>Por definir</v>
      </c>
      <c r="F174" s="156"/>
      <c r="G174" s="129"/>
      <c r="H174" s="129"/>
      <c r="I174" s="128"/>
      <c r="J174" s="130"/>
      <c r="K174" s="16">
        <v>0</v>
      </c>
      <c r="L174" s="131">
        <f t="shared" si="51"/>
        <v>0</v>
      </c>
      <c r="M174" s="131">
        <f t="shared" si="52"/>
        <v>0</v>
      </c>
      <c r="N174" s="132">
        <f t="shared" si="53"/>
        <v>0</v>
      </c>
      <c r="O174" s="133">
        <f t="shared" si="54"/>
        <v>0</v>
      </c>
      <c r="P174" s="163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3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4"/>
      <c r="AO174" s="4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4"/>
    </row>
    <row r="175" spans="1:64" hidden="1" x14ac:dyDescent="0.2">
      <c r="A175" s="15">
        <f t="shared" si="55"/>
        <v>0</v>
      </c>
      <c r="B175" s="169"/>
      <c r="C175" s="17"/>
      <c r="D175" s="128"/>
      <c r="E175" s="128" t="str">
        <f t="shared" si="50"/>
        <v>Por definir</v>
      </c>
      <c r="F175" s="156"/>
      <c r="G175" s="129"/>
      <c r="H175" s="129"/>
      <c r="I175" s="128"/>
      <c r="J175" s="130"/>
      <c r="K175" s="16">
        <v>0</v>
      </c>
      <c r="L175" s="131">
        <f t="shared" si="51"/>
        <v>0</v>
      </c>
      <c r="M175" s="131">
        <f t="shared" si="52"/>
        <v>0</v>
      </c>
      <c r="N175" s="132">
        <f t="shared" si="53"/>
        <v>0</v>
      </c>
      <c r="O175" s="133">
        <f t="shared" si="54"/>
        <v>0</v>
      </c>
      <c r="P175" s="163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3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4"/>
      <c r="AO175" s="4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4"/>
    </row>
    <row r="176" spans="1:64" hidden="1" x14ac:dyDescent="0.2">
      <c r="A176" s="15">
        <f t="shared" si="55"/>
        <v>0</v>
      </c>
      <c r="B176" s="169"/>
      <c r="C176" s="17"/>
      <c r="D176" s="128"/>
      <c r="E176" s="128" t="str">
        <f t="shared" si="50"/>
        <v>Por definir</v>
      </c>
      <c r="F176" s="156"/>
      <c r="G176" s="129"/>
      <c r="H176" s="129"/>
      <c r="I176" s="128"/>
      <c r="J176" s="130"/>
      <c r="K176" s="16">
        <v>0</v>
      </c>
      <c r="L176" s="131">
        <f t="shared" si="51"/>
        <v>0</v>
      </c>
      <c r="M176" s="131">
        <f t="shared" si="52"/>
        <v>0</v>
      </c>
      <c r="N176" s="132">
        <f t="shared" si="53"/>
        <v>0</v>
      </c>
      <c r="O176" s="133">
        <f t="shared" si="54"/>
        <v>0</v>
      </c>
      <c r="P176" s="163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3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4"/>
      <c r="AO176" s="4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4"/>
    </row>
    <row r="177" spans="1:64" hidden="1" x14ac:dyDescent="0.2">
      <c r="A177" s="15">
        <f t="shared" si="55"/>
        <v>0</v>
      </c>
      <c r="B177" s="169"/>
      <c r="C177" s="17"/>
      <c r="D177" s="128"/>
      <c r="E177" s="128" t="str">
        <f t="shared" si="50"/>
        <v>Por definir</v>
      </c>
      <c r="F177" s="156"/>
      <c r="G177" s="129"/>
      <c r="H177" s="129"/>
      <c r="I177" s="128"/>
      <c r="J177" s="130"/>
      <c r="K177" s="16">
        <v>0</v>
      </c>
      <c r="L177" s="131">
        <f t="shared" si="51"/>
        <v>0</v>
      </c>
      <c r="M177" s="131">
        <f t="shared" si="52"/>
        <v>0</v>
      </c>
      <c r="N177" s="132">
        <f t="shared" si="53"/>
        <v>0</v>
      </c>
      <c r="O177" s="133">
        <f t="shared" si="54"/>
        <v>0</v>
      </c>
      <c r="P177" s="163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3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4"/>
      <c r="AO177" s="4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4"/>
    </row>
    <row r="178" spans="1:64" hidden="1" x14ac:dyDescent="0.2">
      <c r="A178" s="15">
        <f t="shared" si="55"/>
        <v>0</v>
      </c>
      <c r="B178" s="169"/>
      <c r="C178" s="17"/>
      <c r="D178" s="128"/>
      <c r="E178" s="128" t="str">
        <f t="shared" si="50"/>
        <v>Por definir</v>
      </c>
      <c r="F178" s="156"/>
      <c r="G178" s="129"/>
      <c r="H178" s="129"/>
      <c r="I178" s="128"/>
      <c r="J178" s="130"/>
      <c r="K178" s="16">
        <v>0</v>
      </c>
      <c r="L178" s="131">
        <f t="shared" si="51"/>
        <v>0</v>
      </c>
      <c r="M178" s="131">
        <f t="shared" si="52"/>
        <v>0</v>
      </c>
      <c r="N178" s="132">
        <f t="shared" si="53"/>
        <v>0</v>
      </c>
      <c r="O178" s="133">
        <f t="shared" si="54"/>
        <v>0</v>
      </c>
      <c r="P178" s="163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3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4"/>
      <c r="AO178" s="4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4"/>
    </row>
    <row r="179" spans="1:64" hidden="1" x14ac:dyDescent="0.2">
      <c r="A179" s="15">
        <f t="shared" si="55"/>
        <v>0</v>
      </c>
      <c r="B179" s="169"/>
      <c r="C179" s="17"/>
      <c r="D179" s="128"/>
      <c r="E179" s="128" t="str">
        <f t="shared" si="50"/>
        <v>Por definir</v>
      </c>
      <c r="F179" s="156"/>
      <c r="G179" s="129"/>
      <c r="H179" s="129"/>
      <c r="I179" s="128"/>
      <c r="J179" s="130"/>
      <c r="K179" s="16">
        <v>0</v>
      </c>
      <c r="L179" s="131">
        <f t="shared" si="51"/>
        <v>0</v>
      </c>
      <c r="M179" s="131">
        <f t="shared" si="52"/>
        <v>0</v>
      </c>
      <c r="N179" s="132">
        <f t="shared" si="53"/>
        <v>0</v>
      </c>
      <c r="O179" s="133">
        <f t="shared" si="54"/>
        <v>0</v>
      </c>
      <c r="P179" s="163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3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4"/>
      <c r="AO179" s="4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4"/>
    </row>
    <row r="180" spans="1:64" hidden="1" x14ac:dyDescent="0.2">
      <c r="A180" s="15">
        <f t="shared" si="55"/>
        <v>0</v>
      </c>
      <c r="B180" s="169"/>
      <c r="C180" s="17"/>
      <c r="D180" s="128"/>
      <c r="E180" s="128" t="str">
        <f t="shared" si="50"/>
        <v>Por definir</v>
      </c>
      <c r="F180" s="129"/>
      <c r="G180" s="129"/>
      <c r="H180" s="129"/>
      <c r="I180" s="128"/>
      <c r="J180" s="130"/>
      <c r="K180" s="16">
        <v>0</v>
      </c>
      <c r="L180" s="131">
        <f t="shared" si="51"/>
        <v>0</v>
      </c>
      <c r="M180" s="131">
        <f t="shared" si="52"/>
        <v>0</v>
      </c>
      <c r="N180" s="132">
        <f t="shared" si="53"/>
        <v>0</v>
      </c>
      <c r="O180" s="133">
        <f t="shared" si="54"/>
        <v>0</v>
      </c>
      <c r="P180" s="163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3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4"/>
      <c r="AO180" s="4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4"/>
    </row>
    <row r="181" spans="1:64" hidden="1" x14ac:dyDescent="0.2">
      <c r="A181" s="15">
        <f t="shared" si="55"/>
        <v>0</v>
      </c>
      <c r="B181" s="169"/>
      <c r="C181" s="17"/>
      <c r="D181" s="128"/>
      <c r="E181" s="128" t="str">
        <f t="shared" si="50"/>
        <v>Por definir</v>
      </c>
      <c r="F181" s="129"/>
      <c r="G181" s="129"/>
      <c r="H181" s="129"/>
      <c r="I181" s="128"/>
      <c r="J181" s="130"/>
      <c r="K181" s="16">
        <v>0</v>
      </c>
      <c r="L181" s="131">
        <f t="shared" si="51"/>
        <v>0</v>
      </c>
      <c r="M181" s="131">
        <f t="shared" si="52"/>
        <v>0</v>
      </c>
      <c r="N181" s="132">
        <f t="shared" si="53"/>
        <v>0</v>
      </c>
      <c r="O181" s="133">
        <f t="shared" si="54"/>
        <v>0</v>
      </c>
      <c r="P181" s="163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3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4"/>
      <c r="AO181" s="4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4"/>
    </row>
    <row r="182" spans="1:64" hidden="1" x14ac:dyDescent="0.2">
      <c r="A182" s="15">
        <f t="shared" si="55"/>
        <v>0</v>
      </c>
      <c r="B182" s="169"/>
      <c r="C182" s="17"/>
      <c r="D182" s="128"/>
      <c r="E182" s="128" t="str">
        <f t="shared" si="50"/>
        <v>Por definir</v>
      </c>
      <c r="F182" s="129"/>
      <c r="G182" s="129"/>
      <c r="H182" s="129"/>
      <c r="I182" s="128"/>
      <c r="J182" s="130"/>
      <c r="K182" s="16">
        <v>0</v>
      </c>
      <c r="L182" s="131">
        <f t="shared" si="51"/>
        <v>0</v>
      </c>
      <c r="M182" s="131">
        <f t="shared" si="52"/>
        <v>0</v>
      </c>
      <c r="N182" s="132">
        <f t="shared" si="53"/>
        <v>0</v>
      </c>
      <c r="O182" s="133">
        <f t="shared" si="54"/>
        <v>0</v>
      </c>
      <c r="P182" s="163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3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4"/>
      <c r="AO182" s="4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4"/>
    </row>
    <row r="183" spans="1:64" hidden="1" x14ac:dyDescent="0.2">
      <c r="A183" s="15">
        <f t="shared" si="55"/>
        <v>0</v>
      </c>
      <c r="B183" s="169"/>
      <c r="C183" s="17"/>
      <c r="D183" s="128"/>
      <c r="E183" s="128" t="str">
        <f t="shared" si="50"/>
        <v>Por definir</v>
      </c>
      <c r="F183" s="129"/>
      <c r="G183" s="129"/>
      <c r="H183" s="129"/>
      <c r="I183" s="128"/>
      <c r="J183" s="130"/>
      <c r="K183" s="16">
        <v>0</v>
      </c>
      <c r="L183" s="131">
        <f t="shared" si="51"/>
        <v>0</v>
      </c>
      <c r="M183" s="131">
        <f t="shared" si="52"/>
        <v>0</v>
      </c>
      <c r="N183" s="132">
        <f t="shared" si="53"/>
        <v>0</v>
      </c>
      <c r="O183" s="133">
        <f t="shared" si="54"/>
        <v>0</v>
      </c>
      <c r="P183" s="163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3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4"/>
      <c r="AO183" s="4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4"/>
    </row>
    <row r="184" spans="1:64" hidden="1" x14ac:dyDescent="0.2">
      <c r="A184" s="15">
        <f t="shared" si="55"/>
        <v>0</v>
      </c>
      <c r="B184" s="169"/>
      <c r="C184" s="17"/>
      <c r="D184" s="128"/>
      <c r="E184" s="128" t="str">
        <f t="shared" si="50"/>
        <v>Por definir</v>
      </c>
      <c r="F184" s="129"/>
      <c r="G184" s="129"/>
      <c r="H184" s="129"/>
      <c r="I184" s="128"/>
      <c r="J184" s="130"/>
      <c r="K184" s="16">
        <v>0</v>
      </c>
      <c r="L184" s="131">
        <f t="shared" si="51"/>
        <v>0</v>
      </c>
      <c r="M184" s="131">
        <f t="shared" si="52"/>
        <v>0</v>
      </c>
      <c r="N184" s="132">
        <f t="shared" si="53"/>
        <v>0</v>
      </c>
      <c r="O184" s="133">
        <f t="shared" si="54"/>
        <v>0</v>
      </c>
      <c r="P184" s="163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3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4"/>
      <c r="AO184" s="4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4"/>
    </row>
    <row r="185" spans="1:64" hidden="1" x14ac:dyDescent="0.2">
      <c r="A185" s="15">
        <f t="shared" si="55"/>
        <v>0</v>
      </c>
      <c r="B185" s="169"/>
      <c r="C185" s="17"/>
      <c r="D185" s="128"/>
      <c r="E185" s="128" t="str">
        <f t="shared" si="50"/>
        <v>Por definir</v>
      </c>
      <c r="F185" s="129"/>
      <c r="G185" s="129"/>
      <c r="H185" s="129"/>
      <c r="I185" s="128"/>
      <c r="J185" s="130"/>
      <c r="K185" s="16">
        <v>0</v>
      </c>
      <c r="L185" s="131">
        <f t="shared" si="51"/>
        <v>0</v>
      </c>
      <c r="M185" s="131">
        <f t="shared" si="52"/>
        <v>0</v>
      </c>
      <c r="N185" s="132">
        <f t="shared" si="53"/>
        <v>0</v>
      </c>
      <c r="O185" s="133">
        <f t="shared" si="54"/>
        <v>0</v>
      </c>
      <c r="P185" s="163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3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4"/>
      <c r="AO185" s="4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4"/>
    </row>
    <row r="186" spans="1:64" hidden="1" x14ac:dyDescent="0.2">
      <c r="A186" s="15">
        <f t="shared" si="55"/>
        <v>0</v>
      </c>
      <c r="B186" s="169"/>
      <c r="C186" s="17"/>
      <c r="D186" s="128"/>
      <c r="E186" s="128" t="str">
        <f t="shared" si="50"/>
        <v>Por definir</v>
      </c>
      <c r="F186" s="129"/>
      <c r="G186" s="129"/>
      <c r="H186" s="129"/>
      <c r="I186" s="128"/>
      <c r="J186" s="130"/>
      <c r="K186" s="16">
        <v>0</v>
      </c>
      <c r="L186" s="131">
        <f t="shared" si="51"/>
        <v>0</v>
      </c>
      <c r="M186" s="131">
        <f t="shared" si="52"/>
        <v>0</v>
      </c>
      <c r="N186" s="132">
        <f t="shared" si="53"/>
        <v>0</v>
      </c>
      <c r="O186" s="133">
        <f t="shared" si="54"/>
        <v>0</v>
      </c>
      <c r="P186" s="163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3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4"/>
      <c r="AO186" s="4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4"/>
    </row>
    <row r="187" spans="1:64" hidden="1" x14ac:dyDescent="0.2">
      <c r="A187" s="15">
        <f t="shared" si="55"/>
        <v>0</v>
      </c>
      <c r="B187" s="169"/>
      <c r="C187" s="17"/>
      <c r="D187" s="128"/>
      <c r="E187" s="128" t="str">
        <f t="shared" si="50"/>
        <v>Por definir</v>
      </c>
      <c r="F187" s="129"/>
      <c r="G187" s="129"/>
      <c r="H187" s="129"/>
      <c r="I187" s="128"/>
      <c r="J187" s="130"/>
      <c r="K187" s="16">
        <v>0</v>
      </c>
      <c r="L187" s="131">
        <f t="shared" si="51"/>
        <v>0</v>
      </c>
      <c r="M187" s="131">
        <f t="shared" si="52"/>
        <v>0</v>
      </c>
      <c r="N187" s="132">
        <f t="shared" si="53"/>
        <v>0</v>
      </c>
      <c r="O187" s="133">
        <f t="shared" si="54"/>
        <v>0</v>
      </c>
      <c r="P187" s="163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3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4"/>
      <c r="AO187" s="4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4"/>
    </row>
    <row r="188" spans="1:64" hidden="1" x14ac:dyDescent="0.2">
      <c r="A188" s="15">
        <f t="shared" si="55"/>
        <v>0</v>
      </c>
      <c r="B188" s="169"/>
      <c r="C188" s="17"/>
      <c r="D188" s="128"/>
      <c r="E188" s="128" t="str">
        <f t="shared" si="50"/>
        <v>Por definir</v>
      </c>
      <c r="F188" s="129"/>
      <c r="G188" s="129"/>
      <c r="H188" s="129"/>
      <c r="I188" s="128"/>
      <c r="J188" s="130"/>
      <c r="K188" s="16">
        <v>0</v>
      </c>
      <c r="L188" s="131">
        <f t="shared" si="51"/>
        <v>0</v>
      </c>
      <c r="M188" s="131">
        <f t="shared" si="52"/>
        <v>0</v>
      </c>
      <c r="N188" s="132">
        <f t="shared" si="53"/>
        <v>0</v>
      </c>
      <c r="O188" s="133">
        <f t="shared" si="54"/>
        <v>0</v>
      </c>
      <c r="P188" s="163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3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4"/>
      <c r="AO188" s="4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4"/>
    </row>
    <row r="189" spans="1:64" hidden="1" x14ac:dyDescent="0.2">
      <c r="A189" s="15">
        <f t="shared" si="55"/>
        <v>0</v>
      </c>
      <c r="B189" s="169"/>
      <c r="C189" s="17"/>
      <c r="D189" s="128"/>
      <c r="E189" s="128" t="str">
        <f t="shared" si="50"/>
        <v>Por definir</v>
      </c>
      <c r="F189" s="129"/>
      <c r="G189" s="129"/>
      <c r="H189" s="129"/>
      <c r="I189" s="128"/>
      <c r="J189" s="130"/>
      <c r="K189" s="16">
        <v>0</v>
      </c>
      <c r="L189" s="131">
        <f t="shared" si="51"/>
        <v>0</v>
      </c>
      <c r="M189" s="131">
        <f t="shared" si="52"/>
        <v>0</v>
      </c>
      <c r="N189" s="132">
        <f t="shared" si="53"/>
        <v>0</v>
      </c>
      <c r="O189" s="133">
        <f t="shared" si="54"/>
        <v>0</v>
      </c>
      <c r="P189" s="163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3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4"/>
      <c r="AO189" s="4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4"/>
    </row>
    <row r="190" spans="1:64" hidden="1" x14ac:dyDescent="0.2">
      <c r="A190" s="15">
        <f t="shared" si="55"/>
        <v>0</v>
      </c>
      <c r="B190" s="169"/>
      <c r="C190" s="17"/>
      <c r="D190" s="128"/>
      <c r="E190" s="128" t="str">
        <f t="shared" si="50"/>
        <v>Por definir</v>
      </c>
      <c r="F190" s="129"/>
      <c r="G190" s="129"/>
      <c r="H190" s="129"/>
      <c r="I190" s="128"/>
      <c r="J190" s="130"/>
      <c r="K190" s="16">
        <v>0</v>
      </c>
      <c r="L190" s="131">
        <f t="shared" si="51"/>
        <v>0</v>
      </c>
      <c r="M190" s="131">
        <f t="shared" si="52"/>
        <v>0</v>
      </c>
      <c r="N190" s="132">
        <f t="shared" si="53"/>
        <v>0</v>
      </c>
      <c r="O190" s="133">
        <f t="shared" si="54"/>
        <v>0</v>
      </c>
      <c r="P190" s="163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3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4"/>
      <c r="AO190" s="4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4"/>
    </row>
    <row r="191" spans="1:64" hidden="1" x14ac:dyDescent="0.2">
      <c r="A191" s="15">
        <f t="shared" si="55"/>
        <v>0</v>
      </c>
      <c r="B191" s="169"/>
      <c r="C191" s="17"/>
      <c r="D191" s="128"/>
      <c r="E191" s="128" t="str">
        <f t="shared" si="50"/>
        <v>Por definir</v>
      </c>
      <c r="F191" s="129"/>
      <c r="G191" s="129"/>
      <c r="H191" s="129"/>
      <c r="I191" s="128"/>
      <c r="J191" s="130"/>
      <c r="K191" s="16">
        <v>0</v>
      </c>
      <c r="L191" s="131">
        <f t="shared" si="51"/>
        <v>0</v>
      </c>
      <c r="M191" s="131">
        <f t="shared" si="52"/>
        <v>0</v>
      </c>
      <c r="N191" s="132">
        <f t="shared" si="53"/>
        <v>0</v>
      </c>
      <c r="O191" s="133">
        <f t="shared" si="54"/>
        <v>0</v>
      </c>
      <c r="P191" s="163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3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4"/>
      <c r="AO191" s="4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4"/>
    </row>
    <row r="192" spans="1:64" hidden="1" x14ac:dyDescent="0.2">
      <c r="A192" s="15">
        <f t="shared" si="55"/>
        <v>0</v>
      </c>
      <c r="B192" s="169"/>
      <c r="C192" s="17"/>
      <c r="D192" s="128"/>
      <c r="E192" s="128" t="str">
        <f t="shared" si="50"/>
        <v>Por definir</v>
      </c>
      <c r="F192" s="129"/>
      <c r="G192" s="129"/>
      <c r="H192" s="129"/>
      <c r="I192" s="128"/>
      <c r="J192" s="130"/>
      <c r="K192" s="16">
        <v>0</v>
      </c>
      <c r="L192" s="131">
        <f t="shared" si="51"/>
        <v>0</v>
      </c>
      <c r="M192" s="131">
        <f t="shared" si="52"/>
        <v>0</v>
      </c>
      <c r="N192" s="132">
        <f t="shared" si="53"/>
        <v>0</v>
      </c>
      <c r="O192" s="133">
        <f t="shared" si="54"/>
        <v>0</v>
      </c>
      <c r="P192" s="163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3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4"/>
      <c r="AO192" s="4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4"/>
    </row>
    <row r="193" spans="1:64" hidden="1" x14ac:dyDescent="0.2">
      <c r="A193" s="15">
        <f t="shared" si="55"/>
        <v>0</v>
      </c>
      <c r="B193" s="169"/>
      <c r="C193" s="17"/>
      <c r="D193" s="128"/>
      <c r="E193" s="128" t="str">
        <f t="shared" si="50"/>
        <v>Por definir</v>
      </c>
      <c r="F193" s="129"/>
      <c r="G193" s="129"/>
      <c r="H193" s="129"/>
      <c r="I193" s="128"/>
      <c r="J193" s="130"/>
      <c r="K193" s="16">
        <v>0</v>
      </c>
      <c r="L193" s="131">
        <f t="shared" si="51"/>
        <v>0</v>
      </c>
      <c r="M193" s="131">
        <f t="shared" si="52"/>
        <v>0</v>
      </c>
      <c r="N193" s="132">
        <f t="shared" si="53"/>
        <v>0</v>
      </c>
      <c r="O193" s="133">
        <f t="shared" si="54"/>
        <v>0</v>
      </c>
      <c r="P193" s="163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3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4"/>
      <c r="AO193" s="4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4"/>
    </row>
    <row r="194" spans="1:64" hidden="1" x14ac:dyDescent="0.2">
      <c r="A194" s="15">
        <f t="shared" si="55"/>
        <v>0</v>
      </c>
      <c r="B194" s="169"/>
      <c r="C194" s="17"/>
      <c r="D194" s="128"/>
      <c r="E194" s="128" t="str">
        <f t="shared" si="50"/>
        <v>Por definir</v>
      </c>
      <c r="F194" s="129"/>
      <c r="G194" s="129"/>
      <c r="H194" s="129"/>
      <c r="I194" s="128"/>
      <c r="J194" s="130"/>
      <c r="K194" s="16">
        <v>0</v>
      </c>
      <c r="L194" s="131">
        <f t="shared" si="51"/>
        <v>0</v>
      </c>
      <c r="M194" s="131">
        <f t="shared" si="52"/>
        <v>0</v>
      </c>
      <c r="N194" s="132">
        <f t="shared" si="53"/>
        <v>0</v>
      </c>
      <c r="O194" s="133">
        <f t="shared" si="54"/>
        <v>0</v>
      </c>
      <c r="P194" s="163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3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4"/>
      <c r="AO194" s="4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4"/>
    </row>
    <row r="195" spans="1:64" hidden="1" x14ac:dyDescent="0.2">
      <c r="A195" s="15">
        <f t="shared" si="55"/>
        <v>0</v>
      </c>
      <c r="B195" s="169"/>
      <c r="C195" s="17"/>
      <c r="D195" s="128"/>
      <c r="E195" s="128" t="str">
        <f t="shared" si="50"/>
        <v>Por definir</v>
      </c>
      <c r="F195" s="129"/>
      <c r="G195" s="129"/>
      <c r="H195" s="129"/>
      <c r="I195" s="128"/>
      <c r="J195" s="130"/>
      <c r="K195" s="16">
        <v>0</v>
      </c>
      <c r="L195" s="131">
        <f t="shared" si="51"/>
        <v>0</v>
      </c>
      <c r="M195" s="131">
        <f t="shared" si="52"/>
        <v>0</v>
      </c>
      <c r="N195" s="132">
        <f t="shared" si="53"/>
        <v>0</v>
      </c>
      <c r="O195" s="133">
        <f t="shared" si="54"/>
        <v>0</v>
      </c>
      <c r="P195" s="163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3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4"/>
      <c r="AO195" s="4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4"/>
    </row>
    <row r="196" spans="1:64" hidden="1" x14ac:dyDescent="0.2">
      <c r="A196" s="15">
        <f t="shared" si="55"/>
        <v>0</v>
      </c>
      <c r="B196" s="169"/>
      <c r="C196" s="17"/>
      <c r="D196" s="128"/>
      <c r="E196" s="128" t="str">
        <f t="shared" si="50"/>
        <v>Por definir</v>
      </c>
      <c r="F196" s="129"/>
      <c r="G196" s="129"/>
      <c r="H196" s="129"/>
      <c r="I196" s="128"/>
      <c r="J196" s="130"/>
      <c r="K196" s="16">
        <v>0</v>
      </c>
      <c r="L196" s="131">
        <f t="shared" si="51"/>
        <v>0</v>
      </c>
      <c r="M196" s="131">
        <f t="shared" si="52"/>
        <v>0</v>
      </c>
      <c r="N196" s="132">
        <f t="shared" si="53"/>
        <v>0</v>
      </c>
      <c r="O196" s="133">
        <f t="shared" si="54"/>
        <v>0</v>
      </c>
      <c r="P196" s="163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3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4"/>
      <c r="AO196" s="4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4"/>
    </row>
    <row r="197" spans="1:64" hidden="1" x14ac:dyDescent="0.2">
      <c r="A197" s="15">
        <f t="shared" si="55"/>
        <v>0</v>
      </c>
      <c r="B197" s="169"/>
      <c r="C197" s="17"/>
      <c r="D197" s="128"/>
      <c r="E197" s="128" t="str">
        <f t="shared" si="50"/>
        <v>Por definir</v>
      </c>
      <c r="F197" s="129"/>
      <c r="G197" s="129"/>
      <c r="H197" s="129"/>
      <c r="I197" s="128"/>
      <c r="J197" s="130"/>
      <c r="K197" s="16">
        <v>0</v>
      </c>
      <c r="L197" s="131">
        <f t="shared" si="51"/>
        <v>0</v>
      </c>
      <c r="M197" s="131">
        <f t="shared" si="52"/>
        <v>0</v>
      </c>
      <c r="N197" s="132">
        <f t="shared" si="53"/>
        <v>0</v>
      </c>
      <c r="O197" s="133">
        <f t="shared" si="54"/>
        <v>0</v>
      </c>
      <c r="P197" s="163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3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4"/>
      <c r="AO197" s="4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4"/>
    </row>
    <row r="198" spans="1:64" hidden="1" x14ac:dyDescent="0.2">
      <c r="A198" s="15">
        <f t="shared" si="55"/>
        <v>0</v>
      </c>
      <c r="B198" s="169"/>
      <c r="C198" s="17"/>
      <c r="D198" s="128"/>
      <c r="E198" s="128" t="str">
        <f t="shared" si="50"/>
        <v>Por definir</v>
      </c>
      <c r="F198" s="129"/>
      <c r="G198" s="129"/>
      <c r="H198" s="129"/>
      <c r="I198" s="128"/>
      <c r="J198" s="130"/>
      <c r="K198" s="16">
        <v>0</v>
      </c>
      <c r="L198" s="131">
        <f t="shared" si="51"/>
        <v>0</v>
      </c>
      <c r="M198" s="131">
        <f t="shared" si="52"/>
        <v>0</v>
      </c>
      <c r="N198" s="132">
        <f t="shared" si="53"/>
        <v>0</v>
      </c>
      <c r="O198" s="133">
        <f t="shared" si="54"/>
        <v>0</v>
      </c>
      <c r="P198" s="163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3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4"/>
      <c r="AO198" s="4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4"/>
    </row>
    <row r="199" spans="1:64" hidden="1" x14ac:dyDescent="0.2">
      <c r="A199" s="15">
        <f t="shared" si="55"/>
        <v>0</v>
      </c>
      <c r="B199" s="169"/>
      <c r="C199" s="17"/>
      <c r="D199" s="128"/>
      <c r="E199" s="128" t="str">
        <f t="shared" si="50"/>
        <v>Por definir</v>
      </c>
      <c r="F199" s="129"/>
      <c r="G199" s="129"/>
      <c r="H199" s="129"/>
      <c r="I199" s="128"/>
      <c r="J199" s="130"/>
      <c r="K199" s="16">
        <v>0</v>
      </c>
      <c r="L199" s="131">
        <f t="shared" si="51"/>
        <v>0</v>
      </c>
      <c r="M199" s="131">
        <f t="shared" si="52"/>
        <v>0</v>
      </c>
      <c r="N199" s="132">
        <f t="shared" si="53"/>
        <v>0</v>
      </c>
      <c r="O199" s="133">
        <f t="shared" si="54"/>
        <v>0</v>
      </c>
      <c r="P199" s="163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3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4"/>
      <c r="AO199" s="4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4"/>
    </row>
    <row r="200" spans="1:64" hidden="1" x14ac:dyDescent="0.2">
      <c r="A200" s="15">
        <f t="shared" si="55"/>
        <v>0</v>
      </c>
      <c r="B200" s="169"/>
      <c r="C200" s="17"/>
      <c r="D200" s="128"/>
      <c r="E200" s="128" t="str">
        <f t="shared" si="50"/>
        <v>Por definir</v>
      </c>
      <c r="F200" s="129"/>
      <c r="G200" s="129"/>
      <c r="H200" s="129"/>
      <c r="I200" s="128"/>
      <c r="J200" s="130"/>
      <c r="K200" s="16">
        <v>0</v>
      </c>
      <c r="L200" s="131">
        <f t="shared" si="51"/>
        <v>0</v>
      </c>
      <c r="M200" s="131">
        <f t="shared" si="52"/>
        <v>0</v>
      </c>
      <c r="N200" s="132">
        <f t="shared" si="53"/>
        <v>0</v>
      </c>
      <c r="O200" s="133">
        <f t="shared" si="54"/>
        <v>0</v>
      </c>
      <c r="P200" s="163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3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4"/>
      <c r="AO200" s="4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4"/>
    </row>
    <row r="201" spans="1:64" hidden="1" x14ac:dyDescent="0.2">
      <c r="A201" s="15">
        <f t="shared" si="55"/>
        <v>0</v>
      </c>
      <c r="B201" s="169"/>
      <c r="C201" s="17"/>
      <c r="D201" s="128"/>
      <c r="E201" s="128" t="str">
        <f t="shared" si="50"/>
        <v>Por definir</v>
      </c>
      <c r="F201" s="129"/>
      <c r="G201" s="129"/>
      <c r="H201" s="129"/>
      <c r="I201" s="128"/>
      <c r="J201" s="130"/>
      <c r="K201" s="16">
        <v>0</v>
      </c>
      <c r="L201" s="131">
        <f t="shared" si="51"/>
        <v>0</v>
      </c>
      <c r="M201" s="131">
        <f t="shared" si="52"/>
        <v>0</v>
      </c>
      <c r="N201" s="132">
        <f t="shared" si="53"/>
        <v>0</v>
      </c>
      <c r="O201" s="133">
        <f t="shared" si="54"/>
        <v>0</v>
      </c>
      <c r="P201" s="163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3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4"/>
      <c r="AO201" s="4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4"/>
    </row>
    <row r="202" spans="1:64" hidden="1" x14ac:dyDescent="0.2">
      <c r="A202" s="15">
        <f t="shared" si="55"/>
        <v>0</v>
      </c>
      <c r="B202" s="169"/>
      <c r="C202" s="17"/>
      <c r="D202" s="128"/>
      <c r="E202" s="128" t="str">
        <f t="shared" si="50"/>
        <v>Por definir</v>
      </c>
      <c r="F202" s="129"/>
      <c r="G202" s="129"/>
      <c r="H202" s="129"/>
      <c r="I202" s="128"/>
      <c r="J202" s="130"/>
      <c r="K202" s="16">
        <v>0</v>
      </c>
      <c r="L202" s="131">
        <f t="shared" si="51"/>
        <v>0</v>
      </c>
      <c r="M202" s="131">
        <f t="shared" si="52"/>
        <v>0</v>
      </c>
      <c r="N202" s="132">
        <f t="shared" si="53"/>
        <v>0</v>
      </c>
      <c r="O202" s="133">
        <f t="shared" si="54"/>
        <v>0</v>
      </c>
      <c r="P202" s="163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3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4"/>
      <c r="AO202" s="4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4"/>
    </row>
    <row r="203" spans="1:64" hidden="1" x14ac:dyDescent="0.2">
      <c r="A203" s="15">
        <f t="shared" si="55"/>
        <v>0</v>
      </c>
      <c r="B203" s="169"/>
      <c r="C203" s="17"/>
      <c r="D203" s="128"/>
      <c r="E203" s="128" t="str">
        <f t="shared" si="50"/>
        <v>Por definir</v>
      </c>
      <c r="F203" s="129"/>
      <c r="G203" s="129"/>
      <c r="H203" s="129"/>
      <c r="I203" s="128"/>
      <c r="J203" s="130"/>
      <c r="K203" s="16">
        <v>0</v>
      </c>
      <c r="L203" s="131">
        <f t="shared" si="51"/>
        <v>0</v>
      </c>
      <c r="M203" s="131">
        <f t="shared" si="52"/>
        <v>0</v>
      </c>
      <c r="N203" s="132">
        <f t="shared" si="53"/>
        <v>0</v>
      </c>
      <c r="O203" s="133">
        <f t="shared" si="54"/>
        <v>0</v>
      </c>
      <c r="P203" s="163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3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4"/>
      <c r="AO203" s="4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4"/>
    </row>
    <row r="204" spans="1:64" hidden="1" x14ac:dyDescent="0.2">
      <c r="A204" s="15">
        <f t="shared" si="55"/>
        <v>0</v>
      </c>
      <c r="B204" s="169"/>
      <c r="C204" s="17"/>
      <c r="D204" s="128"/>
      <c r="E204" s="128" t="str">
        <f t="shared" si="50"/>
        <v>Por definir</v>
      </c>
      <c r="F204" s="129"/>
      <c r="G204" s="129"/>
      <c r="H204" s="129"/>
      <c r="I204" s="128"/>
      <c r="J204" s="130"/>
      <c r="K204" s="16">
        <v>0</v>
      </c>
      <c r="L204" s="131">
        <f t="shared" si="51"/>
        <v>0</v>
      </c>
      <c r="M204" s="131">
        <f t="shared" si="52"/>
        <v>0</v>
      </c>
      <c r="N204" s="132">
        <f t="shared" si="53"/>
        <v>0</v>
      </c>
      <c r="O204" s="133">
        <f t="shared" si="54"/>
        <v>0</v>
      </c>
      <c r="P204" s="163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3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4"/>
      <c r="AO204" s="4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4"/>
    </row>
    <row r="205" spans="1:64" hidden="1" x14ac:dyDescent="0.2">
      <c r="A205" s="15">
        <f t="shared" si="55"/>
        <v>0</v>
      </c>
      <c r="B205" s="169"/>
      <c r="C205" s="17"/>
      <c r="D205" s="128"/>
      <c r="E205" s="128" t="str">
        <f t="shared" si="50"/>
        <v>Por definir</v>
      </c>
      <c r="F205" s="129"/>
      <c r="G205" s="129"/>
      <c r="H205" s="129"/>
      <c r="I205" s="128"/>
      <c r="J205" s="130"/>
      <c r="K205" s="16">
        <v>0</v>
      </c>
      <c r="L205" s="131">
        <f t="shared" si="51"/>
        <v>0</v>
      </c>
      <c r="M205" s="131">
        <f t="shared" si="52"/>
        <v>0</v>
      </c>
      <c r="N205" s="132">
        <f t="shared" si="53"/>
        <v>0</v>
      </c>
      <c r="O205" s="133">
        <f t="shared" si="54"/>
        <v>0</v>
      </c>
      <c r="P205" s="163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3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4"/>
      <c r="AO205" s="4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4"/>
    </row>
    <row r="206" spans="1:64" hidden="1" x14ac:dyDescent="0.2">
      <c r="A206" s="15">
        <f t="shared" si="55"/>
        <v>0</v>
      </c>
      <c r="B206" s="169"/>
      <c r="C206" s="17"/>
      <c r="D206" s="128"/>
      <c r="E206" s="128" t="str">
        <f t="shared" si="50"/>
        <v>Por definir</v>
      </c>
      <c r="F206" s="129"/>
      <c r="G206" s="129"/>
      <c r="H206" s="129"/>
      <c r="I206" s="128"/>
      <c r="J206" s="130"/>
      <c r="K206" s="16">
        <v>0</v>
      </c>
      <c r="L206" s="131">
        <f t="shared" si="51"/>
        <v>0</v>
      </c>
      <c r="M206" s="131">
        <f t="shared" si="52"/>
        <v>0</v>
      </c>
      <c r="N206" s="132">
        <f t="shared" si="53"/>
        <v>0</v>
      </c>
      <c r="O206" s="133">
        <f t="shared" si="54"/>
        <v>0</v>
      </c>
      <c r="P206" s="163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3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4"/>
      <c r="AO206" s="4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4"/>
    </row>
    <row r="207" spans="1:64" hidden="1" x14ac:dyDescent="0.2">
      <c r="A207" s="15">
        <f t="shared" si="55"/>
        <v>0</v>
      </c>
      <c r="B207" s="169"/>
      <c r="C207" s="17"/>
      <c r="D207" s="128"/>
      <c r="E207" s="128" t="str">
        <f t="shared" si="50"/>
        <v>Por definir</v>
      </c>
      <c r="F207" s="129"/>
      <c r="G207" s="129"/>
      <c r="H207" s="129"/>
      <c r="I207" s="128"/>
      <c r="J207" s="130"/>
      <c r="K207" s="16">
        <v>0</v>
      </c>
      <c r="L207" s="131">
        <f t="shared" si="51"/>
        <v>0</v>
      </c>
      <c r="M207" s="131">
        <f t="shared" si="52"/>
        <v>0</v>
      </c>
      <c r="N207" s="132">
        <f t="shared" si="53"/>
        <v>0</v>
      </c>
      <c r="O207" s="133">
        <f t="shared" si="54"/>
        <v>0</v>
      </c>
      <c r="P207" s="163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3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4"/>
      <c r="AO207" s="4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4"/>
    </row>
    <row r="208" spans="1:64" hidden="1" x14ac:dyDescent="0.2">
      <c r="A208" s="15">
        <f t="shared" si="55"/>
        <v>0</v>
      </c>
      <c r="B208" s="169"/>
      <c r="C208" s="17"/>
      <c r="D208" s="128"/>
      <c r="E208" s="128" t="str">
        <f t="shared" si="50"/>
        <v>Por definir</v>
      </c>
      <c r="F208" s="129"/>
      <c r="G208" s="129"/>
      <c r="H208" s="129"/>
      <c r="I208" s="128"/>
      <c r="J208" s="130"/>
      <c r="K208" s="16">
        <v>0</v>
      </c>
      <c r="L208" s="131">
        <f t="shared" si="51"/>
        <v>0</v>
      </c>
      <c r="M208" s="131">
        <f t="shared" si="52"/>
        <v>0</v>
      </c>
      <c r="N208" s="132">
        <f t="shared" si="53"/>
        <v>0</v>
      </c>
      <c r="O208" s="133">
        <f t="shared" si="54"/>
        <v>0</v>
      </c>
      <c r="P208" s="163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3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4"/>
      <c r="AO208" s="4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4"/>
    </row>
    <row r="209" spans="1:64" hidden="1" x14ac:dyDescent="0.2">
      <c r="A209" s="15">
        <f t="shared" si="55"/>
        <v>0</v>
      </c>
      <c r="B209" s="169"/>
      <c r="C209" s="17"/>
      <c r="D209" s="128"/>
      <c r="E209" s="128" t="str">
        <f t="shared" si="50"/>
        <v>Por definir</v>
      </c>
      <c r="F209" s="129"/>
      <c r="G209" s="129"/>
      <c r="H209" s="129"/>
      <c r="I209" s="128"/>
      <c r="J209" s="130"/>
      <c r="K209" s="16">
        <v>0</v>
      </c>
      <c r="L209" s="131">
        <f t="shared" si="51"/>
        <v>0</v>
      </c>
      <c r="M209" s="131">
        <f t="shared" si="52"/>
        <v>0</v>
      </c>
      <c r="N209" s="132">
        <f t="shared" si="53"/>
        <v>0</v>
      </c>
      <c r="O209" s="133">
        <f t="shared" si="54"/>
        <v>0</v>
      </c>
      <c r="P209" s="163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3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4"/>
      <c r="AO209" s="4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4"/>
    </row>
    <row r="210" spans="1:64" hidden="1" x14ac:dyDescent="0.2">
      <c r="A210" s="15">
        <f t="shared" si="55"/>
        <v>0</v>
      </c>
      <c r="B210" s="169"/>
      <c r="C210" s="17"/>
      <c r="D210" s="128"/>
      <c r="E210" s="128" t="str">
        <f t="shared" si="50"/>
        <v>Por definir</v>
      </c>
      <c r="F210" s="129"/>
      <c r="G210" s="129"/>
      <c r="H210" s="129"/>
      <c r="I210" s="128"/>
      <c r="J210" s="130"/>
      <c r="K210" s="16">
        <v>0</v>
      </c>
      <c r="L210" s="131">
        <f t="shared" si="51"/>
        <v>0</v>
      </c>
      <c r="M210" s="131">
        <f t="shared" si="52"/>
        <v>0</v>
      </c>
      <c r="N210" s="132">
        <f t="shared" si="53"/>
        <v>0</v>
      </c>
      <c r="O210" s="133">
        <f t="shared" si="54"/>
        <v>0</v>
      </c>
      <c r="P210" s="163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3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4"/>
      <c r="AO210" s="4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4"/>
    </row>
    <row r="211" spans="1:64" hidden="1" x14ac:dyDescent="0.2">
      <c r="A211" s="15">
        <f t="shared" si="55"/>
        <v>0</v>
      </c>
      <c r="B211" s="169"/>
      <c r="C211" s="17"/>
      <c r="D211" s="128"/>
      <c r="E211" s="128" t="str">
        <f t="shared" si="50"/>
        <v>Por definir</v>
      </c>
      <c r="F211" s="129"/>
      <c r="G211" s="129"/>
      <c r="H211" s="129"/>
      <c r="I211" s="128"/>
      <c r="J211" s="130"/>
      <c r="K211" s="16">
        <v>0</v>
      </c>
      <c r="L211" s="131">
        <f t="shared" si="51"/>
        <v>0</v>
      </c>
      <c r="M211" s="131">
        <f t="shared" si="52"/>
        <v>0</v>
      </c>
      <c r="N211" s="132">
        <f t="shared" si="53"/>
        <v>0</v>
      </c>
      <c r="O211" s="133">
        <f t="shared" si="54"/>
        <v>0</v>
      </c>
      <c r="P211" s="163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3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4"/>
      <c r="AO211" s="4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4"/>
    </row>
    <row r="212" spans="1:64" hidden="1" x14ac:dyDescent="0.2">
      <c r="A212" s="15">
        <f t="shared" si="55"/>
        <v>0</v>
      </c>
      <c r="B212" s="169"/>
      <c r="C212" s="17"/>
      <c r="D212" s="128"/>
      <c r="E212" s="128" t="str">
        <f t="shared" si="50"/>
        <v>Por definir</v>
      </c>
      <c r="F212" s="129"/>
      <c r="G212" s="129"/>
      <c r="H212" s="129"/>
      <c r="I212" s="128"/>
      <c r="J212" s="130"/>
      <c r="K212" s="16">
        <v>0</v>
      </c>
      <c r="L212" s="131">
        <f t="shared" si="51"/>
        <v>0</v>
      </c>
      <c r="M212" s="131">
        <f t="shared" si="52"/>
        <v>0</v>
      </c>
      <c r="N212" s="132">
        <f t="shared" si="53"/>
        <v>0</v>
      </c>
      <c r="O212" s="133">
        <f t="shared" si="54"/>
        <v>0</v>
      </c>
      <c r="P212" s="163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3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4"/>
      <c r="AO212" s="4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4"/>
    </row>
    <row r="213" spans="1:64" hidden="1" x14ac:dyDescent="0.2">
      <c r="A213" s="15">
        <f t="shared" si="55"/>
        <v>0</v>
      </c>
      <c r="B213" s="169"/>
      <c r="C213" s="17"/>
      <c r="D213" s="128"/>
      <c r="E213" s="128" t="str">
        <f t="shared" si="50"/>
        <v>Por definir</v>
      </c>
      <c r="F213" s="129"/>
      <c r="G213" s="129"/>
      <c r="H213" s="129"/>
      <c r="I213" s="128"/>
      <c r="J213" s="130"/>
      <c r="K213" s="16">
        <v>0</v>
      </c>
      <c r="L213" s="131">
        <f t="shared" si="51"/>
        <v>0</v>
      </c>
      <c r="M213" s="131">
        <f t="shared" si="52"/>
        <v>0</v>
      </c>
      <c r="N213" s="132">
        <f t="shared" si="53"/>
        <v>0</v>
      </c>
      <c r="O213" s="133">
        <f t="shared" si="54"/>
        <v>0</v>
      </c>
      <c r="P213" s="163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3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4"/>
      <c r="AO213" s="4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4"/>
    </row>
    <row r="214" spans="1:64" hidden="1" x14ac:dyDescent="0.2">
      <c r="A214" s="15">
        <f t="shared" si="55"/>
        <v>0</v>
      </c>
      <c r="B214" s="169"/>
      <c r="C214" s="17"/>
      <c r="D214" s="128"/>
      <c r="E214" s="128" t="str">
        <f t="shared" si="50"/>
        <v>Por definir</v>
      </c>
      <c r="F214" s="129"/>
      <c r="G214" s="129"/>
      <c r="H214" s="129"/>
      <c r="I214" s="128"/>
      <c r="J214" s="130"/>
      <c r="K214" s="16">
        <v>0</v>
      </c>
      <c r="L214" s="131">
        <f t="shared" si="51"/>
        <v>0</v>
      </c>
      <c r="M214" s="131">
        <f t="shared" si="52"/>
        <v>0</v>
      </c>
      <c r="N214" s="132">
        <f t="shared" si="53"/>
        <v>0</v>
      </c>
      <c r="O214" s="133">
        <f t="shared" si="54"/>
        <v>0</v>
      </c>
      <c r="P214" s="163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3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4"/>
      <c r="AO214" s="4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4"/>
    </row>
    <row r="215" spans="1:64" hidden="1" x14ac:dyDescent="0.2">
      <c r="A215" s="15">
        <f t="shared" si="55"/>
        <v>0</v>
      </c>
      <c r="B215" s="169"/>
      <c r="C215" s="17"/>
      <c r="D215" s="128"/>
      <c r="E215" s="128" t="str">
        <f t="shared" si="50"/>
        <v>Por definir</v>
      </c>
      <c r="F215" s="129"/>
      <c r="G215" s="129"/>
      <c r="H215" s="129"/>
      <c r="I215" s="128"/>
      <c r="J215" s="130"/>
      <c r="K215" s="16">
        <v>0</v>
      </c>
      <c r="L215" s="131">
        <f t="shared" si="51"/>
        <v>0</v>
      </c>
      <c r="M215" s="131">
        <f t="shared" si="52"/>
        <v>0</v>
      </c>
      <c r="N215" s="132">
        <f t="shared" si="53"/>
        <v>0</v>
      </c>
      <c r="O215" s="133">
        <f t="shared" si="54"/>
        <v>0</v>
      </c>
      <c r="P215" s="163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3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4"/>
      <c r="AO215" s="4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4"/>
    </row>
    <row r="216" spans="1:64" hidden="1" x14ac:dyDescent="0.2">
      <c r="A216" s="15">
        <f t="shared" si="55"/>
        <v>0</v>
      </c>
      <c r="B216" s="169"/>
      <c r="C216" s="17"/>
      <c r="D216" s="128"/>
      <c r="E216" s="128" t="str">
        <f t="shared" si="50"/>
        <v>Por definir</v>
      </c>
      <c r="F216" s="129"/>
      <c r="G216" s="129"/>
      <c r="H216" s="129"/>
      <c r="I216" s="128"/>
      <c r="J216" s="130"/>
      <c r="K216" s="16">
        <v>0</v>
      </c>
      <c r="L216" s="131">
        <f t="shared" si="51"/>
        <v>0</v>
      </c>
      <c r="M216" s="131">
        <f t="shared" si="52"/>
        <v>0</v>
      </c>
      <c r="N216" s="132">
        <f t="shared" si="53"/>
        <v>0</v>
      </c>
      <c r="O216" s="133">
        <f t="shared" si="54"/>
        <v>0</v>
      </c>
      <c r="P216" s="163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3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4"/>
      <c r="AO216" s="4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4"/>
    </row>
    <row r="217" spans="1:64" hidden="1" x14ac:dyDescent="0.2">
      <c r="A217" s="15">
        <f t="shared" si="55"/>
        <v>0</v>
      </c>
      <c r="B217" s="169"/>
      <c r="C217" s="17"/>
      <c r="D217" s="128"/>
      <c r="E217" s="128" t="str">
        <f t="shared" si="50"/>
        <v>Por definir</v>
      </c>
      <c r="F217" s="129"/>
      <c r="G217" s="129"/>
      <c r="H217" s="129"/>
      <c r="I217" s="128"/>
      <c r="J217" s="130"/>
      <c r="K217" s="16">
        <v>0</v>
      </c>
      <c r="L217" s="131">
        <f t="shared" si="51"/>
        <v>0</v>
      </c>
      <c r="M217" s="131">
        <f t="shared" si="52"/>
        <v>0</v>
      </c>
      <c r="N217" s="132">
        <f t="shared" si="53"/>
        <v>0</v>
      </c>
      <c r="O217" s="133">
        <f t="shared" si="54"/>
        <v>0</v>
      </c>
      <c r="P217" s="163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3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4"/>
      <c r="AO217" s="4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4"/>
    </row>
    <row r="218" spans="1:64" hidden="1" x14ac:dyDescent="0.2">
      <c r="A218" s="15">
        <f t="shared" si="55"/>
        <v>0</v>
      </c>
      <c r="B218" s="169"/>
      <c r="C218" s="17"/>
      <c r="D218" s="128"/>
      <c r="E218" s="128" t="str">
        <f t="shared" si="50"/>
        <v>Por definir</v>
      </c>
      <c r="F218" s="129"/>
      <c r="G218" s="129"/>
      <c r="H218" s="129"/>
      <c r="I218" s="128"/>
      <c r="J218" s="130"/>
      <c r="K218" s="16">
        <v>0</v>
      </c>
      <c r="L218" s="131">
        <f t="shared" si="51"/>
        <v>0</v>
      </c>
      <c r="M218" s="131">
        <f t="shared" si="52"/>
        <v>0</v>
      </c>
      <c r="N218" s="132">
        <f t="shared" si="53"/>
        <v>0</v>
      </c>
      <c r="O218" s="133">
        <f t="shared" si="54"/>
        <v>0</v>
      </c>
      <c r="P218" s="163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3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4"/>
      <c r="AO218" s="4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4"/>
    </row>
    <row r="219" spans="1:64" hidden="1" x14ac:dyDescent="0.2">
      <c r="A219" s="15">
        <f t="shared" si="55"/>
        <v>0</v>
      </c>
      <c r="B219" s="169"/>
      <c r="C219" s="17"/>
      <c r="D219" s="128"/>
      <c r="E219" s="128" t="str">
        <f t="shared" si="50"/>
        <v>Por definir</v>
      </c>
      <c r="F219" s="129"/>
      <c r="G219" s="129"/>
      <c r="H219" s="129"/>
      <c r="I219" s="128"/>
      <c r="J219" s="130"/>
      <c r="K219" s="16">
        <v>0</v>
      </c>
      <c r="L219" s="131">
        <f t="shared" si="51"/>
        <v>0</v>
      </c>
      <c r="M219" s="131">
        <f t="shared" si="52"/>
        <v>0</v>
      </c>
      <c r="N219" s="132">
        <f t="shared" si="53"/>
        <v>0</v>
      </c>
      <c r="O219" s="133">
        <f t="shared" si="54"/>
        <v>0</v>
      </c>
      <c r="P219" s="163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3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4"/>
      <c r="AO219" s="4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4"/>
    </row>
    <row r="220" spans="1:64" hidden="1" x14ac:dyDescent="0.2">
      <c r="A220" s="15">
        <f t="shared" si="55"/>
        <v>0</v>
      </c>
      <c r="B220" s="169"/>
      <c r="C220" s="17"/>
      <c r="D220" s="128"/>
      <c r="E220" s="128" t="str">
        <f t="shared" ref="E220:E283" si="56">+IF(D220="Chile","30 días",IF(D220="Perú","30 días",IF(D220="Brasil","60 días",IF(D220="Rusia","Indeterminado","Por definir"))))</f>
        <v>Por definir</v>
      </c>
      <c r="F220" s="129"/>
      <c r="G220" s="129"/>
      <c r="H220" s="129"/>
      <c r="I220" s="128"/>
      <c r="J220" s="130"/>
      <c r="K220" s="16">
        <v>0</v>
      </c>
      <c r="L220" s="131">
        <f t="shared" ref="L220:L283" si="57">+SUM(P220:AA220)</f>
        <v>0</v>
      </c>
      <c r="M220" s="131">
        <f t="shared" ref="M220:M283" si="58">+SUM(P220:Z220)</f>
        <v>0</v>
      </c>
      <c r="N220" s="132">
        <f t="shared" ref="N220:N283" si="59">IFERROR(+M220/K220,0)</f>
        <v>0</v>
      </c>
      <c r="O220" s="133">
        <f t="shared" ref="O220:O283" si="60">+K220-M220</f>
        <v>0</v>
      </c>
      <c r="P220" s="163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3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4"/>
      <c r="AO220" s="4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4"/>
    </row>
    <row r="221" spans="1:64" hidden="1" x14ac:dyDescent="0.2">
      <c r="A221" s="15">
        <f t="shared" ref="A221:A284" si="61">+LEN(B221)</f>
        <v>0</v>
      </c>
      <c r="B221" s="169"/>
      <c r="C221" s="17"/>
      <c r="D221" s="128"/>
      <c r="E221" s="128" t="str">
        <f t="shared" si="56"/>
        <v>Por definir</v>
      </c>
      <c r="F221" s="129"/>
      <c r="G221" s="129"/>
      <c r="H221" s="129"/>
      <c r="I221" s="128"/>
      <c r="J221" s="130"/>
      <c r="K221" s="16">
        <v>0</v>
      </c>
      <c r="L221" s="131">
        <f t="shared" si="57"/>
        <v>0</v>
      </c>
      <c r="M221" s="131">
        <f t="shared" si="58"/>
        <v>0</v>
      </c>
      <c r="N221" s="132">
        <f t="shared" si="59"/>
        <v>0</v>
      </c>
      <c r="O221" s="133">
        <f t="shared" si="60"/>
        <v>0</v>
      </c>
      <c r="P221" s="163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3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4"/>
      <c r="AO221" s="4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4"/>
    </row>
    <row r="222" spans="1:64" hidden="1" x14ac:dyDescent="0.2">
      <c r="A222" s="15">
        <f t="shared" si="61"/>
        <v>0</v>
      </c>
      <c r="B222" s="169"/>
      <c r="C222" s="17"/>
      <c r="D222" s="128"/>
      <c r="E222" s="128" t="str">
        <f t="shared" si="56"/>
        <v>Por definir</v>
      </c>
      <c r="F222" s="129"/>
      <c r="G222" s="129"/>
      <c r="H222" s="129"/>
      <c r="I222" s="128"/>
      <c r="J222" s="130"/>
      <c r="K222" s="16">
        <v>0</v>
      </c>
      <c r="L222" s="131">
        <f t="shared" si="57"/>
        <v>0</v>
      </c>
      <c r="M222" s="131">
        <f t="shared" si="58"/>
        <v>0</v>
      </c>
      <c r="N222" s="132">
        <f t="shared" si="59"/>
        <v>0</v>
      </c>
      <c r="O222" s="133">
        <f t="shared" si="60"/>
        <v>0</v>
      </c>
      <c r="P222" s="163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3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4"/>
      <c r="AO222" s="4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4"/>
    </row>
    <row r="223" spans="1:64" hidden="1" x14ac:dyDescent="0.2">
      <c r="A223" s="15">
        <f t="shared" si="61"/>
        <v>0</v>
      </c>
      <c r="B223" s="169"/>
      <c r="C223" s="17"/>
      <c r="D223" s="128"/>
      <c r="E223" s="128" t="str">
        <f t="shared" si="56"/>
        <v>Por definir</v>
      </c>
      <c r="F223" s="129"/>
      <c r="G223" s="129"/>
      <c r="H223" s="129"/>
      <c r="I223" s="128"/>
      <c r="J223" s="130"/>
      <c r="K223" s="16">
        <v>0</v>
      </c>
      <c r="L223" s="131">
        <f t="shared" si="57"/>
        <v>0</v>
      </c>
      <c r="M223" s="131">
        <f t="shared" si="58"/>
        <v>0</v>
      </c>
      <c r="N223" s="132">
        <f t="shared" si="59"/>
        <v>0</v>
      </c>
      <c r="O223" s="133">
        <f t="shared" si="60"/>
        <v>0</v>
      </c>
      <c r="P223" s="163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3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4"/>
      <c r="AO223" s="4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4"/>
    </row>
    <row r="224" spans="1:64" hidden="1" x14ac:dyDescent="0.2">
      <c r="A224" s="15">
        <f t="shared" si="61"/>
        <v>0</v>
      </c>
      <c r="B224" s="169"/>
      <c r="C224" s="17"/>
      <c r="D224" s="128"/>
      <c r="E224" s="128" t="str">
        <f t="shared" si="56"/>
        <v>Por definir</v>
      </c>
      <c r="F224" s="129"/>
      <c r="G224" s="129"/>
      <c r="H224" s="129"/>
      <c r="I224" s="128"/>
      <c r="J224" s="130"/>
      <c r="K224" s="16">
        <v>0</v>
      </c>
      <c r="L224" s="131">
        <f t="shared" si="57"/>
        <v>0</v>
      </c>
      <c r="M224" s="131">
        <f t="shared" si="58"/>
        <v>0</v>
      </c>
      <c r="N224" s="132">
        <f t="shared" si="59"/>
        <v>0</v>
      </c>
      <c r="O224" s="133">
        <f t="shared" si="60"/>
        <v>0</v>
      </c>
      <c r="P224" s="163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3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4"/>
      <c r="AO224" s="4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4"/>
    </row>
    <row r="225" spans="1:64" hidden="1" x14ac:dyDescent="0.2">
      <c r="A225" s="15">
        <f t="shared" si="61"/>
        <v>0</v>
      </c>
      <c r="B225" s="169"/>
      <c r="C225" s="17"/>
      <c r="D225" s="128"/>
      <c r="E225" s="128" t="str">
        <f t="shared" si="56"/>
        <v>Por definir</v>
      </c>
      <c r="F225" s="129"/>
      <c r="G225" s="129"/>
      <c r="H225" s="129"/>
      <c r="I225" s="128"/>
      <c r="J225" s="130"/>
      <c r="K225" s="16">
        <v>0</v>
      </c>
      <c r="L225" s="131">
        <f t="shared" si="57"/>
        <v>0</v>
      </c>
      <c r="M225" s="131">
        <f t="shared" si="58"/>
        <v>0</v>
      </c>
      <c r="N225" s="132">
        <f t="shared" si="59"/>
        <v>0</v>
      </c>
      <c r="O225" s="133">
        <f t="shared" si="60"/>
        <v>0</v>
      </c>
      <c r="P225" s="163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3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4"/>
      <c r="AO225" s="4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4"/>
    </row>
    <row r="226" spans="1:64" hidden="1" x14ac:dyDescent="0.2">
      <c r="A226" s="15">
        <f t="shared" si="61"/>
        <v>0</v>
      </c>
      <c r="B226" s="169"/>
      <c r="C226" s="17"/>
      <c r="D226" s="128"/>
      <c r="E226" s="128" t="str">
        <f t="shared" si="56"/>
        <v>Por definir</v>
      </c>
      <c r="F226" s="129"/>
      <c r="G226" s="129"/>
      <c r="H226" s="129"/>
      <c r="I226" s="128"/>
      <c r="J226" s="130"/>
      <c r="K226" s="16">
        <v>0</v>
      </c>
      <c r="L226" s="131">
        <f t="shared" si="57"/>
        <v>0</v>
      </c>
      <c r="M226" s="131">
        <f t="shared" si="58"/>
        <v>0</v>
      </c>
      <c r="N226" s="132">
        <f t="shared" si="59"/>
        <v>0</v>
      </c>
      <c r="O226" s="133">
        <f t="shared" si="60"/>
        <v>0</v>
      </c>
      <c r="P226" s="163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3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4"/>
      <c r="AO226" s="4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4"/>
    </row>
    <row r="227" spans="1:64" hidden="1" x14ac:dyDescent="0.2">
      <c r="A227" s="15">
        <f t="shared" si="61"/>
        <v>0</v>
      </c>
      <c r="B227" s="169"/>
      <c r="C227" s="17"/>
      <c r="D227" s="128"/>
      <c r="E227" s="128" t="str">
        <f t="shared" si="56"/>
        <v>Por definir</v>
      </c>
      <c r="F227" s="129"/>
      <c r="G227" s="129"/>
      <c r="H227" s="129"/>
      <c r="I227" s="128"/>
      <c r="J227" s="130"/>
      <c r="K227" s="16">
        <v>0</v>
      </c>
      <c r="L227" s="131">
        <f t="shared" si="57"/>
        <v>0</v>
      </c>
      <c r="M227" s="131">
        <f t="shared" si="58"/>
        <v>0</v>
      </c>
      <c r="N227" s="132">
        <f t="shared" si="59"/>
        <v>0</v>
      </c>
      <c r="O227" s="133">
        <f t="shared" si="60"/>
        <v>0</v>
      </c>
      <c r="P227" s="163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3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4"/>
      <c r="AO227" s="4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4"/>
    </row>
    <row r="228" spans="1:64" hidden="1" x14ac:dyDescent="0.2">
      <c r="A228" s="15">
        <f t="shared" si="61"/>
        <v>0</v>
      </c>
      <c r="B228" s="169"/>
      <c r="C228" s="17"/>
      <c r="D228" s="128"/>
      <c r="E228" s="128" t="str">
        <f t="shared" si="56"/>
        <v>Por definir</v>
      </c>
      <c r="F228" s="129"/>
      <c r="G228" s="129"/>
      <c r="H228" s="129"/>
      <c r="I228" s="128"/>
      <c r="J228" s="130"/>
      <c r="K228" s="16">
        <v>0</v>
      </c>
      <c r="L228" s="131">
        <f t="shared" si="57"/>
        <v>0</v>
      </c>
      <c r="M228" s="131">
        <f t="shared" si="58"/>
        <v>0</v>
      </c>
      <c r="N228" s="132">
        <f t="shared" si="59"/>
        <v>0</v>
      </c>
      <c r="O228" s="133">
        <f t="shared" si="60"/>
        <v>0</v>
      </c>
      <c r="P228" s="163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3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4"/>
      <c r="AO228" s="4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4"/>
    </row>
    <row r="229" spans="1:64" hidden="1" x14ac:dyDescent="0.2">
      <c r="A229" s="15">
        <f t="shared" si="61"/>
        <v>0</v>
      </c>
      <c r="B229" s="169"/>
      <c r="C229" s="17"/>
      <c r="D229" s="128"/>
      <c r="E229" s="128" t="str">
        <f t="shared" si="56"/>
        <v>Por definir</v>
      </c>
      <c r="F229" s="129"/>
      <c r="G229" s="129"/>
      <c r="H229" s="129"/>
      <c r="I229" s="128"/>
      <c r="J229" s="130"/>
      <c r="K229" s="16">
        <v>0</v>
      </c>
      <c r="L229" s="131">
        <f t="shared" si="57"/>
        <v>0</v>
      </c>
      <c r="M229" s="131">
        <f t="shared" si="58"/>
        <v>0</v>
      </c>
      <c r="N229" s="132">
        <f t="shared" si="59"/>
        <v>0</v>
      </c>
      <c r="O229" s="133">
        <f t="shared" si="60"/>
        <v>0</v>
      </c>
      <c r="P229" s="163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3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4"/>
      <c r="AO229" s="4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4"/>
    </row>
    <row r="230" spans="1:64" hidden="1" x14ac:dyDescent="0.2">
      <c r="A230" s="15">
        <f t="shared" si="61"/>
        <v>0</v>
      </c>
      <c r="B230" s="169"/>
      <c r="C230" s="17"/>
      <c r="D230" s="128"/>
      <c r="E230" s="128" t="str">
        <f t="shared" si="56"/>
        <v>Por definir</v>
      </c>
      <c r="F230" s="129"/>
      <c r="G230" s="129"/>
      <c r="H230" s="129"/>
      <c r="I230" s="128"/>
      <c r="J230" s="130"/>
      <c r="K230" s="16">
        <v>0</v>
      </c>
      <c r="L230" s="131">
        <f t="shared" si="57"/>
        <v>0</v>
      </c>
      <c r="M230" s="131">
        <f t="shared" si="58"/>
        <v>0</v>
      </c>
      <c r="N230" s="132">
        <f t="shared" si="59"/>
        <v>0</v>
      </c>
      <c r="O230" s="133">
        <f t="shared" si="60"/>
        <v>0</v>
      </c>
      <c r="P230" s="163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3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4"/>
      <c r="AO230" s="4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4"/>
    </row>
    <row r="231" spans="1:64" hidden="1" x14ac:dyDescent="0.2">
      <c r="A231" s="15">
        <f t="shared" si="61"/>
        <v>0</v>
      </c>
      <c r="B231" s="169"/>
      <c r="C231" s="17"/>
      <c r="D231" s="128"/>
      <c r="E231" s="128" t="str">
        <f t="shared" si="56"/>
        <v>Por definir</v>
      </c>
      <c r="F231" s="129"/>
      <c r="G231" s="129"/>
      <c r="H231" s="129"/>
      <c r="I231" s="128"/>
      <c r="J231" s="130"/>
      <c r="K231" s="16">
        <v>0</v>
      </c>
      <c r="L231" s="131">
        <f t="shared" si="57"/>
        <v>0</v>
      </c>
      <c r="M231" s="131">
        <f t="shared" si="58"/>
        <v>0</v>
      </c>
      <c r="N231" s="132">
        <f t="shared" si="59"/>
        <v>0</v>
      </c>
      <c r="O231" s="133">
        <f t="shared" si="60"/>
        <v>0</v>
      </c>
      <c r="P231" s="163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3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4"/>
      <c r="AO231" s="4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4"/>
    </row>
    <row r="232" spans="1:64" hidden="1" x14ac:dyDescent="0.2">
      <c r="A232" s="15">
        <f t="shared" si="61"/>
        <v>0</v>
      </c>
      <c r="B232" s="169"/>
      <c r="C232" s="17"/>
      <c r="D232" s="128"/>
      <c r="E232" s="128" t="str">
        <f t="shared" si="56"/>
        <v>Por definir</v>
      </c>
      <c r="F232" s="129"/>
      <c r="G232" s="129"/>
      <c r="H232" s="129"/>
      <c r="I232" s="128"/>
      <c r="J232" s="130"/>
      <c r="K232" s="16">
        <v>0</v>
      </c>
      <c r="L232" s="131">
        <f t="shared" si="57"/>
        <v>0</v>
      </c>
      <c r="M232" s="131">
        <f t="shared" si="58"/>
        <v>0</v>
      </c>
      <c r="N232" s="132">
        <f t="shared" si="59"/>
        <v>0</v>
      </c>
      <c r="O232" s="133">
        <f t="shared" si="60"/>
        <v>0</v>
      </c>
      <c r="P232" s="163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3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4"/>
      <c r="AO232" s="4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4"/>
    </row>
    <row r="233" spans="1:64" hidden="1" x14ac:dyDescent="0.2">
      <c r="A233" s="15">
        <f t="shared" si="61"/>
        <v>0</v>
      </c>
      <c r="B233" s="169"/>
      <c r="C233" s="17"/>
      <c r="D233" s="128"/>
      <c r="E233" s="128" t="str">
        <f t="shared" si="56"/>
        <v>Por definir</v>
      </c>
      <c r="F233" s="129"/>
      <c r="G233" s="129"/>
      <c r="H233" s="129"/>
      <c r="I233" s="128"/>
      <c r="J233" s="130"/>
      <c r="K233" s="16">
        <v>0</v>
      </c>
      <c r="L233" s="131">
        <f t="shared" si="57"/>
        <v>0</v>
      </c>
      <c r="M233" s="131">
        <f t="shared" si="58"/>
        <v>0</v>
      </c>
      <c r="N233" s="132">
        <f t="shared" si="59"/>
        <v>0</v>
      </c>
      <c r="O233" s="133">
        <f t="shared" si="60"/>
        <v>0</v>
      </c>
      <c r="P233" s="163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3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4"/>
      <c r="AO233" s="4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4"/>
    </row>
    <row r="234" spans="1:64" hidden="1" x14ac:dyDescent="0.2">
      <c r="A234" s="15">
        <f t="shared" si="61"/>
        <v>0</v>
      </c>
      <c r="B234" s="169"/>
      <c r="C234" s="17"/>
      <c r="D234" s="128"/>
      <c r="E234" s="128" t="str">
        <f t="shared" si="56"/>
        <v>Por definir</v>
      </c>
      <c r="F234" s="129"/>
      <c r="G234" s="129"/>
      <c r="H234" s="129"/>
      <c r="I234" s="128"/>
      <c r="J234" s="130"/>
      <c r="K234" s="16">
        <v>0</v>
      </c>
      <c r="L234" s="131">
        <f t="shared" si="57"/>
        <v>0</v>
      </c>
      <c r="M234" s="131">
        <f t="shared" si="58"/>
        <v>0</v>
      </c>
      <c r="N234" s="132">
        <f t="shared" si="59"/>
        <v>0</v>
      </c>
      <c r="O234" s="133">
        <f t="shared" si="60"/>
        <v>0</v>
      </c>
      <c r="P234" s="163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3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4"/>
      <c r="AO234" s="4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4"/>
    </row>
    <row r="235" spans="1:64" hidden="1" x14ac:dyDescent="0.2">
      <c r="A235" s="15">
        <f t="shared" si="61"/>
        <v>0</v>
      </c>
      <c r="B235" s="169"/>
      <c r="C235" s="17"/>
      <c r="D235" s="128"/>
      <c r="E235" s="128" t="str">
        <f t="shared" si="56"/>
        <v>Por definir</v>
      </c>
      <c r="F235" s="129"/>
      <c r="G235" s="129"/>
      <c r="H235" s="129"/>
      <c r="I235" s="128"/>
      <c r="J235" s="130"/>
      <c r="K235" s="16">
        <v>0</v>
      </c>
      <c r="L235" s="131">
        <f t="shared" si="57"/>
        <v>0</v>
      </c>
      <c r="M235" s="131">
        <f t="shared" si="58"/>
        <v>0</v>
      </c>
      <c r="N235" s="132">
        <f t="shared" si="59"/>
        <v>0</v>
      </c>
      <c r="O235" s="133">
        <f t="shared" si="60"/>
        <v>0</v>
      </c>
      <c r="P235" s="163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3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4"/>
      <c r="AO235" s="4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4"/>
    </row>
    <row r="236" spans="1:64" hidden="1" x14ac:dyDescent="0.2">
      <c r="A236" s="15">
        <f t="shared" si="61"/>
        <v>0</v>
      </c>
      <c r="B236" s="169"/>
      <c r="C236" s="17"/>
      <c r="D236" s="128"/>
      <c r="E236" s="128" t="str">
        <f t="shared" si="56"/>
        <v>Por definir</v>
      </c>
      <c r="F236" s="129"/>
      <c r="G236" s="129"/>
      <c r="H236" s="129"/>
      <c r="I236" s="128"/>
      <c r="J236" s="130"/>
      <c r="K236" s="16">
        <v>0</v>
      </c>
      <c r="L236" s="131">
        <f t="shared" si="57"/>
        <v>0</v>
      </c>
      <c r="M236" s="131">
        <f t="shared" si="58"/>
        <v>0</v>
      </c>
      <c r="N236" s="132">
        <f t="shared" si="59"/>
        <v>0</v>
      </c>
      <c r="O236" s="133">
        <f t="shared" si="60"/>
        <v>0</v>
      </c>
      <c r="P236" s="163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3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4"/>
      <c r="AO236" s="4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4"/>
    </row>
    <row r="237" spans="1:64" hidden="1" x14ac:dyDescent="0.2">
      <c r="A237" s="15">
        <f t="shared" si="61"/>
        <v>0</v>
      </c>
      <c r="B237" s="169"/>
      <c r="C237" s="17"/>
      <c r="D237" s="128"/>
      <c r="E237" s="128" t="str">
        <f t="shared" si="56"/>
        <v>Por definir</v>
      </c>
      <c r="F237" s="129"/>
      <c r="G237" s="129"/>
      <c r="H237" s="129"/>
      <c r="I237" s="128"/>
      <c r="J237" s="130"/>
      <c r="K237" s="16">
        <v>0</v>
      </c>
      <c r="L237" s="131">
        <f t="shared" si="57"/>
        <v>0</v>
      </c>
      <c r="M237" s="131">
        <f t="shared" si="58"/>
        <v>0</v>
      </c>
      <c r="N237" s="132">
        <f t="shared" si="59"/>
        <v>0</v>
      </c>
      <c r="O237" s="133">
        <f t="shared" si="60"/>
        <v>0</v>
      </c>
      <c r="P237" s="163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3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4"/>
      <c r="AO237" s="4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4"/>
    </row>
    <row r="238" spans="1:64" hidden="1" x14ac:dyDescent="0.2">
      <c r="A238" s="15">
        <f t="shared" si="61"/>
        <v>0</v>
      </c>
      <c r="B238" s="169"/>
      <c r="C238" s="17"/>
      <c r="D238" s="128"/>
      <c r="E238" s="128" t="str">
        <f t="shared" si="56"/>
        <v>Por definir</v>
      </c>
      <c r="F238" s="129"/>
      <c r="G238" s="129"/>
      <c r="H238" s="129"/>
      <c r="I238" s="128"/>
      <c r="J238" s="130"/>
      <c r="K238" s="16">
        <v>0</v>
      </c>
      <c r="L238" s="131">
        <f t="shared" si="57"/>
        <v>0</v>
      </c>
      <c r="M238" s="131">
        <f t="shared" si="58"/>
        <v>0</v>
      </c>
      <c r="N238" s="132">
        <f t="shared" si="59"/>
        <v>0</v>
      </c>
      <c r="O238" s="133">
        <f t="shared" si="60"/>
        <v>0</v>
      </c>
      <c r="P238" s="163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3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4"/>
      <c r="AO238" s="4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4"/>
    </row>
    <row r="239" spans="1:64" hidden="1" x14ac:dyDescent="0.2">
      <c r="A239" s="15">
        <f t="shared" si="61"/>
        <v>0</v>
      </c>
      <c r="B239" s="169"/>
      <c r="C239" s="17"/>
      <c r="D239" s="128"/>
      <c r="E239" s="128" t="str">
        <f t="shared" si="56"/>
        <v>Por definir</v>
      </c>
      <c r="F239" s="129"/>
      <c r="G239" s="129"/>
      <c r="H239" s="129"/>
      <c r="I239" s="128"/>
      <c r="J239" s="130"/>
      <c r="K239" s="16">
        <v>0</v>
      </c>
      <c r="L239" s="131">
        <f t="shared" si="57"/>
        <v>0</v>
      </c>
      <c r="M239" s="131">
        <f t="shared" si="58"/>
        <v>0</v>
      </c>
      <c r="N239" s="132">
        <f t="shared" si="59"/>
        <v>0</v>
      </c>
      <c r="O239" s="133">
        <f t="shared" si="60"/>
        <v>0</v>
      </c>
      <c r="P239" s="163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3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4"/>
      <c r="AO239" s="4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4"/>
    </row>
    <row r="240" spans="1:64" hidden="1" x14ac:dyDescent="0.2">
      <c r="A240" s="15">
        <f t="shared" si="61"/>
        <v>0</v>
      </c>
      <c r="B240" s="169"/>
      <c r="C240" s="17"/>
      <c r="D240" s="128"/>
      <c r="E240" s="128" t="str">
        <f t="shared" si="56"/>
        <v>Por definir</v>
      </c>
      <c r="F240" s="129"/>
      <c r="G240" s="129"/>
      <c r="H240" s="129"/>
      <c r="I240" s="128"/>
      <c r="J240" s="130"/>
      <c r="K240" s="16">
        <v>0</v>
      </c>
      <c r="L240" s="131">
        <f t="shared" si="57"/>
        <v>0</v>
      </c>
      <c r="M240" s="131">
        <f t="shared" si="58"/>
        <v>0</v>
      </c>
      <c r="N240" s="132">
        <f t="shared" si="59"/>
        <v>0</v>
      </c>
      <c r="O240" s="133">
        <f t="shared" si="60"/>
        <v>0</v>
      </c>
      <c r="P240" s="163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3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4"/>
      <c r="AO240" s="4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4"/>
    </row>
    <row r="241" spans="1:64" hidden="1" x14ac:dyDescent="0.2">
      <c r="A241" s="15">
        <f t="shared" si="61"/>
        <v>0</v>
      </c>
      <c r="B241" s="169"/>
      <c r="C241" s="17"/>
      <c r="D241" s="128"/>
      <c r="E241" s="128" t="str">
        <f t="shared" si="56"/>
        <v>Por definir</v>
      </c>
      <c r="F241" s="129"/>
      <c r="G241" s="129"/>
      <c r="H241" s="129"/>
      <c r="I241" s="128"/>
      <c r="J241" s="130"/>
      <c r="K241" s="16">
        <v>0</v>
      </c>
      <c r="L241" s="131">
        <f t="shared" si="57"/>
        <v>0</v>
      </c>
      <c r="M241" s="131">
        <f t="shared" si="58"/>
        <v>0</v>
      </c>
      <c r="N241" s="132">
        <f t="shared" si="59"/>
        <v>0</v>
      </c>
      <c r="O241" s="133">
        <f t="shared" si="60"/>
        <v>0</v>
      </c>
      <c r="P241" s="163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3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4"/>
      <c r="AO241" s="4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4"/>
    </row>
    <row r="242" spans="1:64" hidden="1" x14ac:dyDescent="0.2">
      <c r="A242" s="15">
        <f t="shared" si="61"/>
        <v>0</v>
      </c>
      <c r="B242" s="169"/>
      <c r="C242" s="17"/>
      <c r="D242" s="128"/>
      <c r="E242" s="128" t="str">
        <f t="shared" si="56"/>
        <v>Por definir</v>
      </c>
      <c r="F242" s="129"/>
      <c r="G242" s="129"/>
      <c r="H242" s="129"/>
      <c r="I242" s="128"/>
      <c r="J242" s="130"/>
      <c r="K242" s="16">
        <v>0</v>
      </c>
      <c r="L242" s="131">
        <f t="shared" si="57"/>
        <v>0</v>
      </c>
      <c r="M242" s="131">
        <f t="shared" si="58"/>
        <v>0</v>
      </c>
      <c r="N242" s="132">
        <f t="shared" si="59"/>
        <v>0</v>
      </c>
      <c r="O242" s="133">
        <f t="shared" si="60"/>
        <v>0</v>
      </c>
      <c r="P242" s="163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3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4"/>
      <c r="AO242" s="4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4"/>
    </row>
    <row r="243" spans="1:64" hidden="1" x14ac:dyDescent="0.2">
      <c r="A243" s="15">
        <f t="shared" si="61"/>
        <v>0</v>
      </c>
      <c r="B243" s="169"/>
      <c r="C243" s="17"/>
      <c r="D243" s="128"/>
      <c r="E243" s="128" t="str">
        <f t="shared" si="56"/>
        <v>Por definir</v>
      </c>
      <c r="F243" s="129"/>
      <c r="G243" s="129"/>
      <c r="H243" s="129"/>
      <c r="I243" s="128"/>
      <c r="J243" s="130"/>
      <c r="K243" s="16">
        <v>0</v>
      </c>
      <c r="L243" s="131">
        <f t="shared" si="57"/>
        <v>0</v>
      </c>
      <c r="M243" s="131">
        <f t="shared" si="58"/>
        <v>0</v>
      </c>
      <c r="N243" s="132">
        <f t="shared" si="59"/>
        <v>0</v>
      </c>
      <c r="O243" s="133">
        <f t="shared" si="60"/>
        <v>0</v>
      </c>
      <c r="P243" s="163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3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4"/>
      <c r="AO243" s="4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4"/>
    </row>
    <row r="244" spans="1:64" hidden="1" x14ac:dyDescent="0.2">
      <c r="A244" s="15">
        <f t="shared" si="61"/>
        <v>0</v>
      </c>
      <c r="B244" s="169"/>
      <c r="C244" s="17"/>
      <c r="D244" s="128"/>
      <c r="E244" s="128" t="str">
        <f t="shared" si="56"/>
        <v>Por definir</v>
      </c>
      <c r="F244" s="129"/>
      <c r="G244" s="129"/>
      <c r="H244" s="129"/>
      <c r="I244" s="128"/>
      <c r="J244" s="130"/>
      <c r="K244" s="16">
        <v>0</v>
      </c>
      <c r="L244" s="131">
        <f t="shared" si="57"/>
        <v>0</v>
      </c>
      <c r="M244" s="131">
        <f t="shared" si="58"/>
        <v>0</v>
      </c>
      <c r="N244" s="132">
        <f t="shared" si="59"/>
        <v>0</v>
      </c>
      <c r="O244" s="133">
        <f t="shared" si="60"/>
        <v>0</v>
      </c>
      <c r="P244" s="163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3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4"/>
      <c r="AO244" s="4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4"/>
    </row>
    <row r="245" spans="1:64" hidden="1" x14ac:dyDescent="0.2">
      <c r="A245" s="15">
        <f t="shared" si="61"/>
        <v>0</v>
      </c>
      <c r="B245" s="169"/>
      <c r="C245" s="17"/>
      <c r="D245" s="128"/>
      <c r="E245" s="128" t="str">
        <f t="shared" si="56"/>
        <v>Por definir</v>
      </c>
      <c r="F245" s="129"/>
      <c r="G245" s="129"/>
      <c r="H245" s="129"/>
      <c r="I245" s="128"/>
      <c r="J245" s="130"/>
      <c r="K245" s="16">
        <v>0</v>
      </c>
      <c r="L245" s="131">
        <f t="shared" si="57"/>
        <v>0</v>
      </c>
      <c r="M245" s="131">
        <f t="shared" si="58"/>
        <v>0</v>
      </c>
      <c r="N245" s="132">
        <f t="shared" si="59"/>
        <v>0</v>
      </c>
      <c r="O245" s="133">
        <f t="shared" si="60"/>
        <v>0</v>
      </c>
      <c r="P245" s="163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3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4"/>
      <c r="AO245" s="4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4"/>
    </row>
    <row r="246" spans="1:64" hidden="1" x14ac:dyDescent="0.2">
      <c r="A246" s="15">
        <f t="shared" si="61"/>
        <v>0</v>
      </c>
      <c r="B246" s="169"/>
      <c r="C246" s="17"/>
      <c r="D246" s="128"/>
      <c r="E246" s="128" t="str">
        <f t="shared" si="56"/>
        <v>Por definir</v>
      </c>
      <c r="F246" s="129"/>
      <c r="G246" s="129"/>
      <c r="H246" s="129"/>
      <c r="I246" s="128"/>
      <c r="J246" s="130"/>
      <c r="K246" s="16">
        <v>0</v>
      </c>
      <c r="L246" s="131">
        <f t="shared" si="57"/>
        <v>0</v>
      </c>
      <c r="M246" s="131">
        <f t="shared" si="58"/>
        <v>0</v>
      </c>
      <c r="N246" s="132">
        <f t="shared" si="59"/>
        <v>0</v>
      </c>
      <c r="O246" s="133">
        <f t="shared" si="60"/>
        <v>0</v>
      </c>
      <c r="P246" s="163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3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4"/>
      <c r="AO246" s="4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4"/>
    </row>
    <row r="247" spans="1:64" hidden="1" x14ac:dyDescent="0.2">
      <c r="A247" s="15">
        <f t="shared" si="61"/>
        <v>0</v>
      </c>
      <c r="B247" s="169"/>
      <c r="C247" s="17"/>
      <c r="D247" s="128"/>
      <c r="E247" s="128" t="str">
        <f t="shared" si="56"/>
        <v>Por definir</v>
      </c>
      <c r="F247" s="129"/>
      <c r="G247" s="129"/>
      <c r="H247" s="129"/>
      <c r="I247" s="128"/>
      <c r="J247" s="130"/>
      <c r="K247" s="16">
        <v>0</v>
      </c>
      <c r="L247" s="131">
        <f t="shared" si="57"/>
        <v>0</v>
      </c>
      <c r="M247" s="131">
        <f t="shared" si="58"/>
        <v>0</v>
      </c>
      <c r="N247" s="132">
        <f t="shared" si="59"/>
        <v>0</v>
      </c>
      <c r="O247" s="133">
        <f t="shared" si="60"/>
        <v>0</v>
      </c>
      <c r="P247" s="163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3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4"/>
      <c r="AO247" s="4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4"/>
    </row>
    <row r="248" spans="1:64" hidden="1" x14ac:dyDescent="0.2">
      <c r="A248" s="15">
        <f t="shared" si="61"/>
        <v>0</v>
      </c>
      <c r="B248" s="169"/>
      <c r="C248" s="17"/>
      <c r="D248" s="128"/>
      <c r="E248" s="128" t="str">
        <f t="shared" si="56"/>
        <v>Por definir</v>
      </c>
      <c r="F248" s="129"/>
      <c r="G248" s="129"/>
      <c r="H248" s="129"/>
      <c r="I248" s="128"/>
      <c r="J248" s="130"/>
      <c r="K248" s="16">
        <v>0</v>
      </c>
      <c r="L248" s="131">
        <f t="shared" si="57"/>
        <v>0</v>
      </c>
      <c r="M248" s="131">
        <f t="shared" si="58"/>
        <v>0</v>
      </c>
      <c r="N248" s="132">
        <f t="shared" si="59"/>
        <v>0</v>
      </c>
      <c r="O248" s="133">
        <f t="shared" si="60"/>
        <v>0</v>
      </c>
      <c r="P248" s="163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3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4"/>
      <c r="AO248" s="4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4"/>
    </row>
    <row r="249" spans="1:64" hidden="1" x14ac:dyDescent="0.2">
      <c r="A249" s="15">
        <f t="shared" si="61"/>
        <v>0</v>
      </c>
      <c r="B249" s="169"/>
      <c r="C249" s="17"/>
      <c r="D249" s="128"/>
      <c r="E249" s="128" t="str">
        <f t="shared" si="56"/>
        <v>Por definir</v>
      </c>
      <c r="F249" s="129"/>
      <c r="G249" s="129"/>
      <c r="H249" s="129"/>
      <c r="I249" s="128"/>
      <c r="J249" s="130"/>
      <c r="K249" s="16">
        <v>0</v>
      </c>
      <c r="L249" s="131">
        <f t="shared" si="57"/>
        <v>0</v>
      </c>
      <c r="M249" s="131">
        <f t="shared" si="58"/>
        <v>0</v>
      </c>
      <c r="N249" s="132">
        <f t="shared" si="59"/>
        <v>0</v>
      </c>
      <c r="O249" s="133">
        <f t="shared" si="60"/>
        <v>0</v>
      </c>
      <c r="P249" s="163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3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4"/>
      <c r="AO249" s="4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4"/>
    </row>
    <row r="250" spans="1:64" hidden="1" x14ac:dyDescent="0.2">
      <c r="A250" s="15">
        <f t="shared" si="61"/>
        <v>0</v>
      </c>
      <c r="B250" s="169"/>
      <c r="C250" s="17"/>
      <c r="D250" s="128"/>
      <c r="E250" s="128" t="str">
        <f t="shared" si="56"/>
        <v>Por definir</v>
      </c>
      <c r="F250" s="129"/>
      <c r="G250" s="129"/>
      <c r="H250" s="129"/>
      <c r="I250" s="128"/>
      <c r="J250" s="130"/>
      <c r="K250" s="16">
        <v>0</v>
      </c>
      <c r="L250" s="131">
        <f t="shared" si="57"/>
        <v>0</v>
      </c>
      <c r="M250" s="131">
        <f t="shared" si="58"/>
        <v>0</v>
      </c>
      <c r="N250" s="132">
        <f t="shared" si="59"/>
        <v>0</v>
      </c>
      <c r="O250" s="133">
        <f t="shared" si="60"/>
        <v>0</v>
      </c>
      <c r="P250" s="163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3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4"/>
      <c r="AO250" s="4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4"/>
    </row>
    <row r="251" spans="1:64" hidden="1" x14ac:dyDescent="0.2">
      <c r="A251" s="15">
        <f t="shared" si="61"/>
        <v>0</v>
      </c>
      <c r="B251" s="169"/>
      <c r="C251" s="17"/>
      <c r="D251" s="128"/>
      <c r="E251" s="128" t="str">
        <f t="shared" si="56"/>
        <v>Por definir</v>
      </c>
      <c r="F251" s="129"/>
      <c r="G251" s="129"/>
      <c r="H251" s="129"/>
      <c r="I251" s="128"/>
      <c r="J251" s="130"/>
      <c r="K251" s="16">
        <v>0</v>
      </c>
      <c r="L251" s="131">
        <f t="shared" si="57"/>
        <v>0</v>
      </c>
      <c r="M251" s="131">
        <f t="shared" si="58"/>
        <v>0</v>
      </c>
      <c r="N251" s="132">
        <f t="shared" si="59"/>
        <v>0</v>
      </c>
      <c r="O251" s="133">
        <f t="shared" si="60"/>
        <v>0</v>
      </c>
      <c r="P251" s="163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3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4"/>
      <c r="AO251" s="4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4"/>
    </row>
    <row r="252" spans="1:64" hidden="1" x14ac:dyDescent="0.2">
      <c r="A252" s="15">
        <f t="shared" si="61"/>
        <v>0</v>
      </c>
      <c r="B252" s="169"/>
      <c r="C252" s="17"/>
      <c r="D252" s="128"/>
      <c r="E252" s="128" t="str">
        <f t="shared" si="56"/>
        <v>Por definir</v>
      </c>
      <c r="F252" s="129"/>
      <c r="G252" s="129"/>
      <c r="H252" s="129"/>
      <c r="I252" s="128"/>
      <c r="J252" s="130"/>
      <c r="K252" s="16">
        <v>0</v>
      </c>
      <c r="L252" s="131">
        <f t="shared" si="57"/>
        <v>0</v>
      </c>
      <c r="M252" s="131">
        <f t="shared" si="58"/>
        <v>0</v>
      </c>
      <c r="N252" s="132">
        <f t="shared" si="59"/>
        <v>0</v>
      </c>
      <c r="O252" s="133">
        <f t="shared" si="60"/>
        <v>0</v>
      </c>
      <c r="P252" s="163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3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4"/>
      <c r="AO252" s="4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4"/>
    </row>
    <row r="253" spans="1:64" hidden="1" x14ac:dyDescent="0.2">
      <c r="A253" s="15">
        <f t="shared" si="61"/>
        <v>0</v>
      </c>
      <c r="B253" s="169"/>
      <c r="C253" s="17"/>
      <c r="D253" s="128"/>
      <c r="E253" s="128" t="str">
        <f t="shared" si="56"/>
        <v>Por definir</v>
      </c>
      <c r="F253" s="129"/>
      <c r="G253" s="129"/>
      <c r="H253" s="129"/>
      <c r="I253" s="128"/>
      <c r="J253" s="130"/>
      <c r="K253" s="16">
        <v>0</v>
      </c>
      <c r="L253" s="131">
        <f t="shared" si="57"/>
        <v>0</v>
      </c>
      <c r="M253" s="131">
        <f t="shared" si="58"/>
        <v>0</v>
      </c>
      <c r="N253" s="132">
        <f t="shared" si="59"/>
        <v>0</v>
      </c>
      <c r="O253" s="133">
        <f t="shared" si="60"/>
        <v>0</v>
      </c>
      <c r="P253" s="163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3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4"/>
      <c r="AO253" s="4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4"/>
    </row>
    <row r="254" spans="1:64" hidden="1" x14ac:dyDescent="0.2">
      <c r="A254" s="15">
        <f t="shared" si="61"/>
        <v>0</v>
      </c>
      <c r="B254" s="169"/>
      <c r="C254" s="17"/>
      <c r="D254" s="128"/>
      <c r="E254" s="128" t="str">
        <f t="shared" si="56"/>
        <v>Por definir</v>
      </c>
      <c r="F254" s="129"/>
      <c r="G254" s="129"/>
      <c r="H254" s="129"/>
      <c r="I254" s="128"/>
      <c r="J254" s="130"/>
      <c r="K254" s="16">
        <v>0</v>
      </c>
      <c r="L254" s="131">
        <f t="shared" si="57"/>
        <v>0</v>
      </c>
      <c r="M254" s="131">
        <f t="shared" si="58"/>
        <v>0</v>
      </c>
      <c r="N254" s="132">
        <f t="shared" si="59"/>
        <v>0</v>
      </c>
      <c r="O254" s="133">
        <f t="shared" si="60"/>
        <v>0</v>
      </c>
      <c r="P254" s="163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3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4"/>
      <c r="AO254" s="4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4"/>
    </row>
    <row r="255" spans="1:64" hidden="1" x14ac:dyDescent="0.2">
      <c r="A255" s="15">
        <f t="shared" si="61"/>
        <v>0</v>
      </c>
      <c r="B255" s="169"/>
      <c r="C255" s="17"/>
      <c r="D255" s="128"/>
      <c r="E255" s="128" t="str">
        <f t="shared" si="56"/>
        <v>Por definir</v>
      </c>
      <c r="F255" s="129"/>
      <c r="G255" s="129"/>
      <c r="H255" s="129"/>
      <c r="I255" s="128"/>
      <c r="J255" s="130"/>
      <c r="K255" s="16">
        <v>0</v>
      </c>
      <c r="L255" s="131">
        <f t="shared" si="57"/>
        <v>0</v>
      </c>
      <c r="M255" s="131">
        <f t="shared" si="58"/>
        <v>0</v>
      </c>
      <c r="N255" s="132">
        <f t="shared" si="59"/>
        <v>0</v>
      </c>
      <c r="O255" s="133">
        <f t="shared" si="60"/>
        <v>0</v>
      </c>
      <c r="P255" s="163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3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4"/>
      <c r="AO255" s="4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4"/>
    </row>
    <row r="256" spans="1:64" hidden="1" x14ac:dyDescent="0.2">
      <c r="A256" s="15">
        <f t="shared" si="61"/>
        <v>0</v>
      </c>
      <c r="B256" s="169"/>
      <c r="C256" s="17"/>
      <c r="D256" s="128"/>
      <c r="E256" s="128" t="str">
        <f t="shared" si="56"/>
        <v>Por definir</v>
      </c>
      <c r="F256" s="129"/>
      <c r="G256" s="129"/>
      <c r="H256" s="129"/>
      <c r="I256" s="128"/>
      <c r="J256" s="130"/>
      <c r="K256" s="16">
        <v>0</v>
      </c>
      <c r="L256" s="131">
        <f t="shared" si="57"/>
        <v>0</v>
      </c>
      <c r="M256" s="131">
        <f t="shared" si="58"/>
        <v>0</v>
      </c>
      <c r="N256" s="132">
        <f t="shared" si="59"/>
        <v>0</v>
      </c>
      <c r="O256" s="133">
        <f t="shared" si="60"/>
        <v>0</v>
      </c>
      <c r="P256" s="163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3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4"/>
      <c r="AO256" s="4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4"/>
    </row>
    <row r="257" spans="1:64" hidden="1" x14ac:dyDescent="0.2">
      <c r="A257" s="15">
        <f t="shared" si="61"/>
        <v>0</v>
      </c>
      <c r="B257" s="169"/>
      <c r="C257" s="17"/>
      <c r="D257" s="128"/>
      <c r="E257" s="128" t="str">
        <f t="shared" si="56"/>
        <v>Por definir</v>
      </c>
      <c r="F257" s="129"/>
      <c r="G257" s="129"/>
      <c r="H257" s="129"/>
      <c r="I257" s="128"/>
      <c r="J257" s="130"/>
      <c r="K257" s="16">
        <v>0</v>
      </c>
      <c r="L257" s="131">
        <f t="shared" si="57"/>
        <v>0</v>
      </c>
      <c r="M257" s="131">
        <f t="shared" si="58"/>
        <v>0</v>
      </c>
      <c r="N257" s="132">
        <f t="shared" si="59"/>
        <v>0</v>
      </c>
      <c r="O257" s="133">
        <f t="shared" si="60"/>
        <v>0</v>
      </c>
      <c r="P257" s="163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3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4"/>
      <c r="AO257" s="4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4"/>
    </row>
    <row r="258" spans="1:64" hidden="1" x14ac:dyDescent="0.2">
      <c r="A258" s="15">
        <f t="shared" si="61"/>
        <v>0</v>
      </c>
      <c r="B258" s="169"/>
      <c r="C258" s="17"/>
      <c r="D258" s="128"/>
      <c r="E258" s="128" t="str">
        <f t="shared" si="56"/>
        <v>Por definir</v>
      </c>
      <c r="F258" s="129"/>
      <c r="G258" s="129"/>
      <c r="H258" s="129"/>
      <c r="I258" s="128"/>
      <c r="J258" s="130"/>
      <c r="K258" s="16">
        <v>0</v>
      </c>
      <c r="L258" s="131">
        <f t="shared" si="57"/>
        <v>0</v>
      </c>
      <c r="M258" s="131">
        <f t="shared" si="58"/>
        <v>0</v>
      </c>
      <c r="N258" s="132">
        <f t="shared" si="59"/>
        <v>0</v>
      </c>
      <c r="O258" s="133">
        <f t="shared" si="60"/>
        <v>0</v>
      </c>
      <c r="P258" s="163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3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4"/>
      <c r="AO258" s="4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4"/>
    </row>
    <row r="259" spans="1:64" hidden="1" x14ac:dyDescent="0.2">
      <c r="A259" s="15">
        <f t="shared" si="61"/>
        <v>0</v>
      </c>
      <c r="B259" s="169"/>
      <c r="C259" s="17"/>
      <c r="D259" s="128"/>
      <c r="E259" s="128" t="str">
        <f t="shared" si="56"/>
        <v>Por definir</v>
      </c>
      <c r="F259" s="129"/>
      <c r="G259" s="129"/>
      <c r="H259" s="129"/>
      <c r="I259" s="128"/>
      <c r="J259" s="130"/>
      <c r="K259" s="16">
        <v>0</v>
      </c>
      <c r="L259" s="131">
        <f t="shared" si="57"/>
        <v>0</v>
      </c>
      <c r="M259" s="131">
        <f t="shared" si="58"/>
        <v>0</v>
      </c>
      <c r="N259" s="132">
        <f t="shared" si="59"/>
        <v>0</v>
      </c>
      <c r="O259" s="133">
        <f t="shared" si="60"/>
        <v>0</v>
      </c>
      <c r="P259" s="163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3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4"/>
      <c r="AO259" s="4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4"/>
    </row>
    <row r="260" spans="1:64" hidden="1" x14ac:dyDescent="0.2">
      <c r="A260" s="15">
        <f t="shared" si="61"/>
        <v>0</v>
      </c>
      <c r="B260" s="169"/>
      <c r="C260" s="17"/>
      <c r="D260" s="128"/>
      <c r="E260" s="128" t="str">
        <f t="shared" si="56"/>
        <v>Por definir</v>
      </c>
      <c r="F260" s="129"/>
      <c r="G260" s="129"/>
      <c r="H260" s="129"/>
      <c r="I260" s="128"/>
      <c r="J260" s="130"/>
      <c r="K260" s="16">
        <v>0</v>
      </c>
      <c r="L260" s="131">
        <f t="shared" si="57"/>
        <v>0</v>
      </c>
      <c r="M260" s="131">
        <f t="shared" si="58"/>
        <v>0</v>
      </c>
      <c r="N260" s="132">
        <f t="shared" si="59"/>
        <v>0</v>
      </c>
      <c r="O260" s="133">
        <f t="shared" si="60"/>
        <v>0</v>
      </c>
      <c r="P260" s="163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3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4"/>
      <c r="AO260" s="4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4"/>
    </row>
    <row r="261" spans="1:64" hidden="1" x14ac:dyDescent="0.2">
      <c r="A261" s="15">
        <f t="shared" si="61"/>
        <v>0</v>
      </c>
      <c r="B261" s="169"/>
      <c r="C261" s="17"/>
      <c r="D261" s="128"/>
      <c r="E261" s="128" t="str">
        <f t="shared" si="56"/>
        <v>Por definir</v>
      </c>
      <c r="F261" s="129"/>
      <c r="G261" s="129"/>
      <c r="H261" s="129"/>
      <c r="I261" s="128"/>
      <c r="J261" s="130"/>
      <c r="K261" s="16">
        <v>0</v>
      </c>
      <c r="L261" s="131">
        <f t="shared" si="57"/>
        <v>0</v>
      </c>
      <c r="M261" s="131">
        <f t="shared" si="58"/>
        <v>0</v>
      </c>
      <c r="N261" s="132">
        <f t="shared" si="59"/>
        <v>0</v>
      </c>
      <c r="O261" s="133">
        <f t="shared" si="60"/>
        <v>0</v>
      </c>
      <c r="P261" s="163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3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4"/>
      <c r="AO261" s="4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4"/>
    </row>
    <row r="262" spans="1:64" hidden="1" x14ac:dyDescent="0.2">
      <c r="A262" s="15">
        <f t="shared" si="61"/>
        <v>0</v>
      </c>
      <c r="B262" s="169"/>
      <c r="C262" s="17"/>
      <c r="D262" s="128"/>
      <c r="E262" s="128" t="str">
        <f t="shared" si="56"/>
        <v>Por definir</v>
      </c>
      <c r="F262" s="129"/>
      <c r="G262" s="129"/>
      <c r="H262" s="129"/>
      <c r="I262" s="128"/>
      <c r="J262" s="130"/>
      <c r="K262" s="16">
        <v>0</v>
      </c>
      <c r="L262" s="131">
        <f t="shared" si="57"/>
        <v>0</v>
      </c>
      <c r="M262" s="131">
        <f t="shared" si="58"/>
        <v>0</v>
      </c>
      <c r="N262" s="132">
        <f t="shared" si="59"/>
        <v>0</v>
      </c>
      <c r="O262" s="133">
        <f t="shared" si="60"/>
        <v>0</v>
      </c>
      <c r="P262" s="163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3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4"/>
      <c r="AO262" s="4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4"/>
    </row>
    <row r="263" spans="1:64" hidden="1" x14ac:dyDescent="0.2">
      <c r="A263" s="15">
        <f t="shared" si="61"/>
        <v>0</v>
      </c>
      <c r="B263" s="169"/>
      <c r="C263" s="17"/>
      <c r="D263" s="128"/>
      <c r="E263" s="128" t="str">
        <f t="shared" si="56"/>
        <v>Por definir</v>
      </c>
      <c r="F263" s="129"/>
      <c r="G263" s="129"/>
      <c r="H263" s="129"/>
      <c r="I263" s="128"/>
      <c r="J263" s="130"/>
      <c r="K263" s="16">
        <v>0</v>
      </c>
      <c r="L263" s="131">
        <f t="shared" si="57"/>
        <v>0</v>
      </c>
      <c r="M263" s="131">
        <f t="shared" si="58"/>
        <v>0</v>
      </c>
      <c r="N263" s="132">
        <f t="shared" si="59"/>
        <v>0</v>
      </c>
      <c r="O263" s="133">
        <f t="shared" si="60"/>
        <v>0</v>
      </c>
      <c r="P263" s="163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3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4"/>
      <c r="AO263" s="4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4"/>
    </row>
    <row r="264" spans="1:64" hidden="1" x14ac:dyDescent="0.2">
      <c r="A264" s="15">
        <f t="shared" si="61"/>
        <v>0</v>
      </c>
      <c r="B264" s="169"/>
      <c r="C264" s="17"/>
      <c r="D264" s="128"/>
      <c r="E264" s="128" t="str">
        <f t="shared" si="56"/>
        <v>Por definir</v>
      </c>
      <c r="F264" s="129"/>
      <c r="G264" s="129"/>
      <c r="H264" s="129"/>
      <c r="I264" s="128"/>
      <c r="J264" s="130"/>
      <c r="K264" s="16">
        <v>0</v>
      </c>
      <c r="L264" s="131">
        <f t="shared" si="57"/>
        <v>0</v>
      </c>
      <c r="M264" s="131">
        <f t="shared" si="58"/>
        <v>0</v>
      </c>
      <c r="N264" s="132">
        <f t="shared" si="59"/>
        <v>0</v>
      </c>
      <c r="O264" s="133">
        <f t="shared" si="60"/>
        <v>0</v>
      </c>
      <c r="P264" s="163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3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4"/>
      <c r="AO264" s="4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4"/>
    </row>
    <row r="265" spans="1:64" hidden="1" x14ac:dyDescent="0.2">
      <c r="A265" s="15">
        <f t="shared" si="61"/>
        <v>0</v>
      </c>
      <c r="B265" s="169"/>
      <c r="C265" s="17"/>
      <c r="D265" s="128"/>
      <c r="E265" s="128" t="str">
        <f t="shared" si="56"/>
        <v>Por definir</v>
      </c>
      <c r="F265" s="129"/>
      <c r="G265" s="129"/>
      <c r="H265" s="129"/>
      <c r="I265" s="128"/>
      <c r="J265" s="130"/>
      <c r="K265" s="16">
        <v>0</v>
      </c>
      <c r="L265" s="131">
        <f t="shared" si="57"/>
        <v>0</v>
      </c>
      <c r="M265" s="131">
        <f t="shared" si="58"/>
        <v>0</v>
      </c>
      <c r="N265" s="132">
        <f t="shared" si="59"/>
        <v>0</v>
      </c>
      <c r="O265" s="133">
        <f t="shared" si="60"/>
        <v>0</v>
      </c>
      <c r="P265" s="163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3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4"/>
      <c r="AO265" s="4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4"/>
    </row>
    <row r="266" spans="1:64" hidden="1" x14ac:dyDescent="0.2">
      <c r="A266" s="15">
        <f t="shared" si="61"/>
        <v>0</v>
      </c>
      <c r="B266" s="169"/>
      <c r="C266" s="17"/>
      <c r="D266" s="128"/>
      <c r="E266" s="128" t="str">
        <f t="shared" si="56"/>
        <v>Por definir</v>
      </c>
      <c r="F266" s="129"/>
      <c r="G266" s="129"/>
      <c r="H266" s="129"/>
      <c r="I266" s="128"/>
      <c r="J266" s="130"/>
      <c r="K266" s="16">
        <v>0</v>
      </c>
      <c r="L266" s="131">
        <f t="shared" si="57"/>
        <v>0</v>
      </c>
      <c r="M266" s="131">
        <f t="shared" si="58"/>
        <v>0</v>
      </c>
      <c r="N266" s="132">
        <f t="shared" si="59"/>
        <v>0</v>
      </c>
      <c r="O266" s="133">
        <f t="shared" si="60"/>
        <v>0</v>
      </c>
      <c r="P266" s="163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3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4"/>
      <c r="AO266" s="4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4"/>
    </row>
    <row r="267" spans="1:64" hidden="1" x14ac:dyDescent="0.2">
      <c r="A267" s="15">
        <f t="shared" si="61"/>
        <v>0</v>
      </c>
      <c r="B267" s="169"/>
      <c r="C267" s="17"/>
      <c r="D267" s="128"/>
      <c r="E267" s="128" t="str">
        <f t="shared" si="56"/>
        <v>Por definir</v>
      </c>
      <c r="F267" s="129"/>
      <c r="G267" s="129"/>
      <c r="H267" s="129"/>
      <c r="I267" s="128"/>
      <c r="J267" s="130"/>
      <c r="K267" s="16">
        <v>0</v>
      </c>
      <c r="L267" s="131">
        <f t="shared" si="57"/>
        <v>0</v>
      </c>
      <c r="M267" s="131">
        <f t="shared" si="58"/>
        <v>0</v>
      </c>
      <c r="N267" s="132">
        <f t="shared" si="59"/>
        <v>0</v>
      </c>
      <c r="O267" s="133">
        <f t="shared" si="60"/>
        <v>0</v>
      </c>
      <c r="P267" s="163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3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4"/>
      <c r="AO267" s="4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4"/>
    </row>
    <row r="268" spans="1:64" hidden="1" x14ac:dyDescent="0.2">
      <c r="A268" s="15">
        <f t="shared" si="61"/>
        <v>0</v>
      </c>
      <c r="B268" s="169"/>
      <c r="C268" s="17"/>
      <c r="D268" s="128"/>
      <c r="E268" s="128" t="str">
        <f t="shared" si="56"/>
        <v>Por definir</v>
      </c>
      <c r="F268" s="129"/>
      <c r="G268" s="129"/>
      <c r="H268" s="129"/>
      <c r="I268" s="128"/>
      <c r="J268" s="130"/>
      <c r="K268" s="16">
        <v>0</v>
      </c>
      <c r="L268" s="131">
        <f t="shared" si="57"/>
        <v>0</v>
      </c>
      <c r="M268" s="131">
        <f t="shared" si="58"/>
        <v>0</v>
      </c>
      <c r="N268" s="132">
        <f t="shared" si="59"/>
        <v>0</v>
      </c>
      <c r="O268" s="133">
        <f t="shared" si="60"/>
        <v>0</v>
      </c>
      <c r="P268" s="163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3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4"/>
      <c r="AO268" s="4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4"/>
    </row>
    <row r="269" spans="1:64" hidden="1" x14ac:dyDescent="0.2">
      <c r="A269" s="15">
        <f t="shared" si="61"/>
        <v>0</v>
      </c>
      <c r="B269" s="169"/>
      <c r="C269" s="17"/>
      <c r="D269" s="128"/>
      <c r="E269" s="128" t="str">
        <f t="shared" si="56"/>
        <v>Por definir</v>
      </c>
      <c r="F269" s="129"/>
      <c r="G269" s="129"/>
      <c r="H269" s="129"/>
      <c r="I269" s="128"/>
      <c r="J269" s="130"/>
      <c r="K269" s="16">
        <v>0</v>
      </c>
      <c r="L269" s="131">
        <f t="shared" si="57"/>
        <v>0</v>
      </c>
      <c r="M269" s="131">
        <f t="shared" si="58"/>
        <v>0</v>
      </c>
      <c r="N269" s="132">
        <f t="shared" si="59"/>
        <v>0</v>
      </c>
      <c r="O269" s="133">
        <f t="shared" si="60"/>
        <v>0</v>
      </c>
      <c r="P269" s="163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3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4"/>
      <c r="AO269" s="4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4"/>
    </row>
    <row r="270" spans="1:64" hidden="1" x14ac:dyDescent="0.2">
      <c r="A270" s="15">
        <f t="shared" si="61"/>
        <v>0</v>
      </c>
      <c r="B270" s="169"/>
      <c r="C270" s="17"/>
      <c r="D270" s="128"/>
      <c r="E270" s="128" t="str">
        <f t="shared" si="56"/>
        <v>Por definir</v>
      </c>
      <c r="F270" s="129"/>
      <c r="G270" s="129"/>
      <c r="H270" s="129"/>
      <c r="I270" s="128"/>
      <c r="J270" s="130"/>
      <c r="K270" s="16">
        <v>0</v>
      </c>
      <c r="L270" s="131">
        <f t="shared" si="57"/>
        <v>0</v>
      </c>
      <c r="M270" s="131">
        <f t="shared" si="58"/>
        <v>0</v>
      </c>
      <c r="N270" s="132">
        <f t="shared" si="59"/>
        <v>0</v>
      </c>
      <c r="O270" s="133">
        <f t="shared" si="60"/>
        <v>0</v>
      </c>
      <c r="P270" s="163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3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4"/>
      <c r="AO270" s="4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4"/>
    </row>
    <row r="271" spans="1:64" hidden="1" x14ac:dyDescent="0.2">
      <c r="A271" s="15">
        <f t="shared" si="61"/>
        <v>0</v>
      </c>
      <c r="B271" s="169"/>
      <c r="C271" s="17"/>
      <c r="D271" s="128"/>
      <c r="E271" s="128" t="str">
        <f t="shared" si="56"/>
        <v>Por definir</v>
      </c>
      <c r="F271" s="129"/>
      <c r="G271" s="129"/>
      <c r="H271" s="129"/>
      <c r="I271" s="128"/>
      <c r="J271" s="130"/>
      <c r="K271" s="16">
        <v>0</v>
      </c>
      <c r="L271" s="131">
        <f t="shared" si="57"/>
        <v>0</v>
      </c>
      <c r="M271" s="131">
        <f t="shared" si="58"/>
        <v>0</v>
      </c>
      <c r="N271" s="132">
        <f t="shared" si="59"/>
        <v>0</v>
      </c>
      <c r="O271" s="133">
        <f t="shared" si="60"/>
        <v>0</v>
      </c>
      <c r="P271" s="163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3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4"/>
      <c r="AO271" s="4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4"/>
    </row>
    <row r="272" spans="1:64" hidden="1" x14ac:dyDescent="0.2">
      <c r="A272" s="15">
        <f t="shared" si="61"/>
        <v>0</v>
      </c>
      <c r="B272" s="169"/>
      <c r="C272" s="17"/>
      <c r="D272" s="128"/>
      <c r="E272" s="128" t="str">
        <f t="shared" si="56"/>
        <v>Por definir</v>
      </c>
      <c r="F272" s="129"/>
      <c r="G272" s="129"/>
      <c r="H272" s="129"/>
      <c r="I272" s="128"/>
      <c r="J272" s="130"/>
      <c r="K272" s="16">
        <v>0</v>
      </c>
      <c r="L272" s="131">
        <f t="shared" si="57"/>
        <v>0</v>
      </c>
      <c r="M272" s="131">
        <f t="shared" si="58"/>
        <v>0</v>
      </c>
      <c r="N272" s="132">
        <f t="shared" si="59"/>
        <v>0</v>
      </c>
      <c r="O272" s="133">
        <f t="shared" si="60"/>
        <v>0</v>
      </c>
      <c r="P272" s="163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3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4"/>
      <c r="AO272" s="4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4"/>
    </row>
    <row r="273" spans="1:64" hidden="1" x14ac:dyDescent="0.2">
      <c r="A273" s="15">
        <f t="shared" si="61"/>
        <v>0</v>
      </c>
      <c r="B273" s="169"/>
      <c r="C273" s="17"/>
      <c r="D273" s="128"/>
      <c r="E273" s="128" t="str">
        <f t="shared" si="56"/>
        <v>Por definir</v>
      </c>
      <c r="F273" s="129"/>
      <c r="G273" s="129"/>
      <c r="H273" s="129"/>
      <c r="I273" s="128"/>
      <c r="J273" s="130"/>
      <c r="K273" s="16">
        <v>0</v>
      </c>
      <c r="L273" s="131">
        <f t="shared" si="57"/>
        <v>0</v>
      </c>
      <c r="M273" s="131">
        <f t="shared" si="58"/>
        <v>0</v>
      </c>
      <c r="N273" s="132">
        <f t="shared" si="59"/>
        <v>0</v>
      </c>
      <c r="O273" s="133">
        <f t="shared" si="60"/>
        <v>0</v>
      </c>
      <c r="P273" s="163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3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4"/>
      <c r="AO273" s="4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4"/>
    </row>
    <row r="274" spans="1:64" hidden="1" x14ac:dyDescent="0.2">
      <c r="A274" s="15">
        <f t="shared" si="61"/>
        <v>0</v>
      </c>
      <c r="B274" s="169"/>
      <c r="C274" s="17"/>
      <c r="D274" s="128"/>
      <c r="E274" s="128" t="str">
        <f t="shared" si="56"/>
        <v>Por definir</v>
      </c>
      <c r="F274" s="129"/>
      <c r="G274" s="129"/>
      <c r="H274" s="129"/>
      <c r="I274" s="128"/>
      <c r="J274" s="130"/>
      <c r="K274" s="16">
        <v>0</v>
      </c>
      <c r="L274" s="131">
        <f t="shared" si="57"/>
        <v>0</v>
      </c>
      <c r="M274" s="131">
        <f t="shared" si="58"/>
        <v>0</v>
      </c>
      <c r="N274" s="132">
        <f t="shared" si="59"/>
        <v>0</v>
      </c>
      <c r="O274" s="133">
        <f t="shared" si="60"/>
        <v>0</v>
      </c>
      <c r="P274" s="163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3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4"/>
      <c r="AO274" s="4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4"/>
    </row>
    <row r="275" spans="1:64" hidden="1" x14ac:dyDescent="0.2">
      <c r="A275" s="15">
        <f t="shared" si="61"/>
        <v>0</v>
      </c>
      <c r="B275" s="169"/>
      <c r="C275" s="17"/>
      <c r="D275" s="128"/>
      <c r="E275" s="128" t="str">
        <f t="shared" si="56"/>
        <v>Por definir</v>
      </c>
      <c r="F275" s="129"/>
      <c r="G275" s="129"/>
      <c r="H275" s="129"/>
      <c r="I275" s="128"/>
      <c r="J275" s="130"/>
      <c r="K275" s="16">
        <v>0</v>
      </c>
      <c r="L275" s="131">
        <f t="shared" si="57"/>
        <v>0</v>
      </c>
      <c r="M275" s="131">
        <f t="shared" si="58"/>
        <v>0</v>
      </c>
      <c r="N275" s="132">
        <f t="shared" si="59"/>
        <v>0</v>
      </c>
      <c r="O275" s="133">
        <f t="shared" si="60"/>
        <v>0</v>
      </c>
      <c r="P275" s="163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3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4"/>
      <c r="AO275" s="4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4"/>
    </row>
    <row r="276" spans="1:64" hidden="1" x14ac:dyDescent="0.2">
      <c r="A276" s="15">
        <f t="shared" si="61"/>
        <v>0</v>
      </c>
      <c r="B276" s="169"/>
      <c r="C276" s="17"/>
      <c r="D276" s="128"/>
      <c r="E276" s="128" t="str">
        <f t="shared" si="56"/>
        <v>Por definir</v>
      </c>
      <c r="F276" s="129"/>
      <c r="G276" s="129"/>
      <c r="H276" s="129"/>
      <c r="I276" s="128"/>
      <c r="J276" s="130"/>
      <c r="K276" s="16">
        <v>0</v>
      </c>
      <c r="L276" s="131">
        <f t="shared" si="57"/>
        <v>0</v>
      </c>
      <c r="M276" s="131">
        <f t="shared" si="58"/>
        <v>0</v>
      </c>
      <c r="N276" s="132">
        <f t="shared" si="59"/>
        <v>0</v>
      </c>
      <c r="O276" s="133">
        <f t="shared" si="60"/>
        <v>0</v>
      </c>
      <c r="P276" s="163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3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4"/>
      <c r="AO276" s="4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4"/>
    </row>
    <row r="277" spans="1:64" hidden="1" x14ac:dyDescent="0.2">
      <c r="A277" s="15">
        <f t="shared" si="61"/>
        <v>0</v>
      </c>
      <c r="B277" s="169"/>
      <c r="C277" s="17"/>
      <c r="D277" s="128"/>
      <c r="E277" s="128" t="str">
        <f t="shared" si="56"/>
        <v>Por definir</v>
      </c>
      <c r="F277" s="129"/>
      <c r="G277" s="129"/>
      <c r="H277" s="129"/>
      <c r="I277" s="128"/>
      <c r="J277" s="130"/>
      <c r="K277" s="16">
        <v>0</v>
      </c>
      <c r="L277" s="131">
        <f t="shared" si="57"/>
        <v>0</v>
      </c>
      <c r="M277" s="131">
        <f t="shared" si="58"/>
        <v>0</v>
      </c>
      <c r="N277" s="132">
        <f t="shared" si="59"/>
        <v>0</v>
      </c>
      <c r="O277" s="133">
        <f t="shared" si="60"/>
        <v>0</v>
      </c>
      <c r="P277" s="163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3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4"/>
      <c r="AO277" s="4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4"/>
    </row>
    <row r="278" spans="1:64" hidden="1" x14ac:dyDescent="0.2">
      <c r="A278" s="15">
        <f t="shared" si="61"/>
        <v>0</v>
      </c>
      <c r="B278" s="169"/>
      <c r="C278" s="17"/>
      <c r="D278" s="128"/>
      <c r="E278" s="128" t="str">
        <f t="shared" si="56"/>
        <v>Por definir</v>
      </c>
      <c r="F278" s="129"/>
      <c r="G278" s="129"/>
      <c r="H278" s="129"/>
      <c r="I278" s="128"/>
      <c r="J278" s="130"/>
      <c r="K278" s="16">
        <v>0</v>
      </c>
      <c r="L278" s="131">
        <f t="shared" si="57"/>
        <v>0</v>
      </c>
      <c r="M278" s="131">
        <f t="shared" si="58"/>
        <v>0</v>
      </c>
      <c r="N278" s="132">
        <f t="shared" si="59"/>
        <v>0</v>
      </c>
      <c r="O278" s="133">
        <f t="shared" si="60"/>
        <v>0</v>
      </c>
      <c r="P278" s="163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3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4"/>
      <c r="AO278" s="4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4"/>
    </row>
    <row r="279" spans="1:64" hidden="1" x14ac:dyDescent="0.2">
      <c r="A279" s="15">
        <f t="shared" si="61"/>
        <v>0</v>
      </c>
      <c r="B279" s="169"/>
      <c r="C279" s="17"/>
      <c r="D279" s="128"/>
      <c r="E279" s="128" t="str">
        <f t="shared" si="56"/>
        <v>Por definir</v>
      </c>
      <c r="F279" s="129"/>
      <c r="G279" s="129"/>
      <c r="H279" s="129"/>
      <c r="I279" s="128"/>
      <c r="J279" s="130"/>
      <c r="K279" s="16">
        <v>0</v>
      </c>
      <c r="L279" s="131">
        <f t="shared" si="57"/>
        <v>0</v>
      </c>
      <c r="M279" s="131">
        <f t="shared" si="58"/>
        <v>0</v>
      </c>
      <c r="N279" s="132">
        <f t="shared" si="59"/>
        <v>0</v>
      </c>
      <c r="O279" s="133">
        <f t="shared" si="60"/>
        <v>0</v>
      </c>
      <c r="P279" s="163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3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4"/>
      <c r="AO279" s="4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4"/>
    </row>
    <row r="280" spans="1:64" hidden="1" x14ac:dyDescent="0.2">
      <c r="A280" s="15">
        <f t="shared" si="61"/>
        <v>0</v>
      </c>
      <c r="B280" s="169"/>
      <c r="C280" s="17"/>
      <c r="D280" s="128"/>
      <c r="E280" s="128" t="str">
        <f t="shared" si="56"/>
        <v>Por definir</v>
      </c>
      <c r="F280" s="129"/>
      <c r="G280" s="129"/>
      <c r="H280" s="129"/>
      <c r="I280" s="128"/>
      <c r="J280" s="130"/>
      <c r="K280" s="16">
        <v>0</v>
      </c>
      <c r="L280" s="131">
        <f t="shared" si="57"/>
        <v>0</v>
      </c>
      <c r="M280" s="131">
        <f t="shared" si="58"/>
        <v>0</v>
      </c>
      <c r="N280" s="132">
        <f t="shared" si="59"/>
        <v>0</v>
      </c>
      <c r="O280" s="133">
        <f t="shared" si="60"/>
        <v>0</v>
      </c>
      <c r="P280" s="163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3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4"/>
      <c r="AO280" s="4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4"/>
    </row>
    <row r="281" spans="1:64" hidden="1" x14ac:dyDescent="0.2">
      <c r="A281" s="15">
        <f t="shared" si="61"/>
        <v>0</v>
      </c>
      <c r="B281" s="169"/>
      <c r="C281" s="17"/>
      <c r="D281" s="128"/>
      <c r="E281" s="128" t="str">
        <f t="shared" si="56"/>
        <v>Por definir</v>
      </c>
      <c r="F281" s="129"/>
      <c r="G281" s="129"/>
      <c r="H281" s="129"/>
      <c r="I281" s="128"/>
      <c r="J281" s="130"/>
      <c r="K281" s="16">
        <v>0</v>
      </c>
      <c r="L281" s="131">
        <f t="shared" si="57"/>
        <v>0</v>
      </c>
      <c r="M281" s="131">
        <f t="shared" si="58"/>
        <v>0</v>
      </c>
      <c r="N281" s="132">
        <f t="shared" si="59"/>
        <v>0</v>
      </c>
      <c r="O281" s="133">
        <f t="shared" si="60"/>
        <v>0</v>
      </c>
      <c r="P281" s="163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3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4"/>
      <c r="AO281" s="4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4"/>
    </row>
    <row r="282" spans="1:64" hidden="1" x14ac:dyDescent="0.2">
      <c r="A282" s="15">
        <f t="shared" si="61"/>
        <v>0</v>
      </c>
      <c r="B282" s="169"/>
      <c r="C282" s="17"/>
      <c r="D282" s="128"/>
      <c r="E282" s="128" t="str">
        <f t="shared" si="56"/>
        <v>Por definir</v>
      </c>
      <c r="F282" s="129"/>
      <c r="G282" s="129"/>
      <c r="H282" s="129"/>
      <c r="I282" s="128"/>
      <c r="J282" s="130"/>
      <c r="K282" s="16">
        <v>0</v>
      </c>
      <c r="L282" s="131">
        <f t="shared" si="57"/>
        <v>0</v>
      </c>
      <c r="M282" s="131">
        <f t="shared" si="58"/>
        <v>0</v>
      </c>
      <c r="N282" s="132">
        <f t="shared" si="59"/>
        <v>0</v>
      </c>
      <c r="O282" s="133">
        <f t="shared" si="60"/>
        <v>0</v>
      </c>
      <c r="P282" s="163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3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4"/>
      <c r="AO282" s="4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4"/>
    </row>
    <row r="283" spans="1:64" hidden="1" x14ac:dyDescent="0.2">
      <c r="A283" s="15">
        <f t="shared" si="61"/>
        <v>0</v>
      </c>
      <c r="B283" s="169"/>
      <c r="C283" s="17"/>
      <c r="D283" s="128"/>
      <c r="E283" s="128" t="str">
        <f t="shared" si="56"/>
        <v>Por definir</v>
      </c>
      <c r="F283" s="129"/>
      <c r="G283" s="129"/>
      <c r="H283" s="129"/>
      <c r="I283" s="128"/>
      <c r="J283" s="130"/>
      <c r="K283" s="16">
        <v>0</v>
      </c>
      <c r="L283" s="131">
        <f t="shared" si="57"/>
        <v>0</v>
      </c>
      <c r="M283" s="131">
        <f t="shared" si="58"/>
        <v>0</v>
      </c>
      <c r="N283" s="132">
        <f t="shared" si="59"/>
        <v>0</v>
      </c>
      <c r="O283" s="133">
        <f t="shared" si="60"/>
        <v>0</v>
      </c>
      <c r="P283" s="163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3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4"/>
      <c r="AO283" s="4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4"/>
    </row>
    <row r="284" spans="1:64" hidden="1" x14ac:dyDescent="0.2">
      <c r="A284" s="15">
        <f t="shared" si="61"/>
        <v>0</v>
      </c>
      <c r="B284" s="169"/>
      <c r="C284" s="17"/>
      <c r="D284" s="128"/>
      <c r="E284" s="128" t="str">
        <f t="shared" ref="E284:E347" si="62">+IF(D284="Chile","30 días",IF(D284="Perú","30 días",IF(D284="Brasil","60 días",IF(D284="Rusia","Indeterminado","Por definir"))))</f>
        <v>Por definir</v>
      </c>
      <c r="F284" s="129"/>
      <c r="G284" s="129"/>
      <c r="H284" s="129"/>
      <c r="I284" s="128"/>
      <c r="J284" s="130"/>
      <c r="K284" s="16">
        <v>0</v>
      </c>
      <c r="L284" s="131">
        <f t="shared" ref="L284:L347" si="63">+SUM(P284:AA284)</f>
        <v>0</v>
      </c>
      <c r="M284" s="131">
        <f t="shared" ref="M284:M347" si="64">+SUM(P284:Z284)</f>
        <v>0</v>
      </c>
      <c r="N284" s="132">
        <f t="shared" ref="N284:N347" si="65">IFERROR(+M284/K284,0)</f>
        <v>0</v>
      </c>
      <c r="O284" s="133">
        <f t="shared" ref="O284:O347" si="66">+K284-M284</f>
        <v>0</v>
      </c>
      <c r="P284" s="163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3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4"/>
      <c r="AO284" s="4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4"/>
    </row>
    <row r="285" spans="1:64" hidden="1" x14ac:dyDescent="0.2">
      <c r="A285" s="15">
        <f t="shared" ref="A285:A348" si="67">+LEN(B285)</f>
        <v>0</v>
      </c>
      <c r="B285" s="169"/>
      <c r="C285" s="17"/>
      <c r="D285" s="128"/>
      <c r="E285" s="128" t="str">
        <f t="shared" si="62"/>
        <v>Por definir</v>
      </c>
      <c r="F285" s="129"/>
      <c r="G285" s="129"/>
      <c r="H285" s="129"/>
      <c r="I285" s="128"/>
      <c r="J285" s="130"/>
      <c r="K285" s="16">
        <v>0</v>
      </c>
      <c r="L285" s="131">
        <f t="shared" si="63"/>
        <v>0</v>
      </c>
      <c r="M285" s="131">
        <f t="shared" si="64"/>
        <v>0</v>
      </c>
      <c r="N285" s="132">
        <f t="shared" si="65"/>
        <v>0</v>
      </c>
      <c r="O285" s="133">
        <f t="shared" si="66"/>
        <v>0</v>
      </c>
      <c r="P285" s="163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3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4"/>
      <c r="AO285" s="4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4"/>
    </row>
    <row r="286" spans="1:64" hidden="1" x14ac:dyDescent="0.2">
      <c r="A286" s="15">
        <f t="shared" si="67"/>
        <v>0</v>
      </c>
      <c r="B286" s="169"/>
      <c r="C286" s="17"/>
      <c r="D286" s="128"/>
      <c r="E286" s="128" t="str">
        <f t="shared" si="62"/>
        <v>Por definir</v>
      </c>
      <c r="F286" s="129"/>
      <c r="G286" s="129"/>
      <c r="H286" s="129"/>
      <c r="I286" s="128"/>
      <c r="J286" s="130"/>
      <c r="K286" s="16">
        <v>0</v>
      </c>
      <c r="L286" s="131">
        <f t="shared" si="63"/>
        <v>0</v>
      </c>
      <c r="M286" s="131">
        <f t="shared" si="64"/>
        <v>0</v>
      </c>
      <c r="N286" s="132">
        <f t="shared" si="65"/>
        <v>0</v>
      </c>
      <c r="O286" s="133">
        <f t="shared" si="66"/>
        <v>0</v>
      </c>
      <c r="P286" s="163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3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4"/>
      <c r="AO286" s="4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4"/>
    </row>
    <row r="287" spans="1:64" hidden="1" x14ac:dyDescent="0.2">
      <c r="A287" s="15">
        <f t="shared" si="67"/>
        <v>0</v>
      </c>
      <c r="B287" s="169"/>
      <c r="C287" s="17"/>
      <c r="D287" s="128"/>
      <c r="E287" s="128" t="str">
        <f t="shared" si="62"/>
        <v>Por definir</v>
      </c>
      <c r="F287" s="129"/>
      <c r="G287" s="129"/>
      <c r="H287" s="129"/>
      <c r="I287" s="128"/>
      <c r="J287" s="130"/>
      <c r="K287" s="16">
        <v>0</v>
      </c>
      <c r="L287" s="131">
        <f t="shared" si="63"/>
        <v>0</v>
      </c>
      <c r="M287" s="131">
        <f t="shared" si="64"/>
        <v>0</v>
      </c>
      <c r="N287" s="132">
        <f t="shared" si="65"/>
        <v>0</v>
      </c>
      <c r="O287" s="133">
        <f t="shared" si="66"/>
        <v>0</v>
      </c>
      <c r="P287" s="163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3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4"/>
      <c r="AO287" s="4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4"/>
    </row>
    <row r="288" spans="1:64" hidden="1" x14ac:dyDescent="0.2">
      <c r="A288" s="15">
        <f t="shared" si="67"/>
        <v>0</v>
      </c>
      <c r="B288" s="169"/>
      <c r="C288" s="17"/>
      <c r="D288" s="128"/>
      <c r="E288" s="128" t="str">
        <f t="shared" si="62"/>
        <v>Por definir</v>
      </c>
      <c r="F288" s="129"/>
      <c r="G288" s="129"/>
      <c r="H288" s="129"/>
      <c r="I288" s="128"/>
      <c r="J288" s="130"/>
      <c r="K288" s="16">
        <v>0</v>
      </c>
      <c r="L288" s="131">
        <f t="shared" si="63"/>
        <v>0</v>
      </c>
      <c r="M288" s="131">
        <f t="shared" si="64"/>
        <v>0</v>
      </c>
      <c r="N288" s="132">
        <f t="shared" si="65"/>
        <v>0</v>
      </c>
      <c r="O288" s="133">
        <f t="shared" si="66"/>
        <v>0</v>
      </c>
      <c r="P288" s="163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3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4"/>
      <c r="AO288" s="4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4"/>
    </row>
    <row r="289" spans="1:64" hidden="1" x14ac:dyDescent="0.2">
      <c r="A289" s="15">
        <f t="shared" si="67"/>
        <v>0</v>
      </c>
      <c r="B289" s="169"/>
      <c r="C289" s="17"/>
      <c r="D289" s="128"/>
      <c r="E289" s="128" t="str">
        <f t="shared" si="62"/>
        <v>Por definir</v>
      </c>
      <c r="F289" s="129"/>
      <c r="G289" s="129"/>
      <c r="H289" s="129"/>
      <c r="I289" s="128"/>
      <c r="J289" s="130"/>
      <c r="K289" s="16">
        <v>0</v>
      </c>
      <c r="L289" s="131">
        <f t="shared" si="63"/>
        <v>0</v>
      </c>
      <c r="M289" s="131">
        <f t="shared" si="64"/>
        <v>0</v>
      </c>
      <c r="N289" s="132">
        <f t="shared" si="65"/>
        <v>0</v>
      </c>
      <c r="O289" s="133">
        <f t="shared" si="66"/>
        <v>0</v>
      </c>
      <c r="P289" s="163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3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4"/>
      <c r="AO289" s="4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4"/>
    </row>
    <row r="290" spans="1:64" hidden="1" x14ac:dyDescent="0.2">
      <c r="A290" s="15">
        <f t="shared" si="67"/>
        <v>0</v>
      </c>
      <c r="B290" s="169"/>
      <c r="C290" s="17"/>
      <c r="D290" s="128"/>
      <c r="E290" s="128" t="str">
        <f t="shared" si="62"/>
        <v>Por definir</v>
      </c>
      <c r="F290" s="129"/>
      <c r="G290" s="129"/>
      <c r="H290" s="129"/>
      <c r="I290" s="128"/>
      <c r="J290" s="130"/>
      <c r="K290" s="16">
        <v>0</v>
      </c>
      <c r="L290" s="131">
        <f t="shared" si="63"/>
        <v>0</v>
      </c>
      <c r="M290" s="131">
        <f t="shared" si="64"/>
        <v>0</v>
      </c>
      <c r="N290" s="132">
        <f t="shared" si="65"/>
        <v>0</v>
      </c>
      <c r="O290" s="133">
        <f t="shared" si="66"/>
        <v>0</v>
      </c>
      <c r="P290" s="163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3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4"/>
      <c r="AO290" s="4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4"/>
    </row>
    <row r="291" spans="1:64" hidden="1" x14ac:dyDescent="0.2">
      <c r="A291" s="15">
        <f t="shared" si="67"/>
        <v>0</v>
      </c>
      <c r="B291" s="169"/>
      <c r="C291" s="17"/>
      <c r="D291" s="128"/>
      <c r="E291" s="128" t="str">
        <f t="shared" si="62"/>
        <v>Por definir</v>
      </c>
      <c r="F291" s="129"/>
      <c r="G291" s="129"/>
      <c r="H291" s="129"/>
      <c r="I291" s="128"/>
      <c r="J291" s="130"/>
      <c r="K291" s="16">
        <v>0</v>
      </c>
      <c r="L291" s="131">
        <f t="shared" si="63"/>
        <v>0</v>
      </c>
      <c r="M291" s="131">
        <f t="shared" si="64"/>
        <v>0</v>
      </c>
      <c r="N291" s="132">
        <f t="shared" si="65"/>
        <v>0</v>
      </c>
      <c r="O291" s="133">
        <f t="shared" si="66"/>
        <v>0</v>
      </c>
      <c r="P291" s="163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3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4"/>
      <c r="AO291" s="4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4"/>
    </row>
    <row r="292" spans="1:64" hidden="1" x14ac:dyDescent="0.2">
      <c r="A292" s="15">
        <f t="shared" si="67"/>
        <v>0</v>
      </c>
      <c r="B292" s="169"/>
      <c r="C292" s="17"/>
      <c r="D292" s="128"/>
      <c r="E292" s="128" t="str">
        <f t="shared" si="62"/>
        <v>Por definir</v>
      </c>
      <c r="F292" s="129"/>
      <c r="G292" s="129"/>
      <c r="H292" s="129"/>
      <c r="I292" s="128"/>
      <c r="J292" s="130"/>
      <c r="K292" s="16">
        <v>0</v>
      </c>
      <c r="L292" s="131">
        <f t="shared" si="63"/>
        <v>0</v>
      </c>
      <c r="M292" s="131">
        <f t="shared" si="64"/>
        <v>0</v>
      </c>
      <c r="N292" s="132">
        <f t="shared" si="65"/>
        <v>0</v>
      </c>
      <c r="O292" s="133">
        <f t="shared" si="66"/>
        <v>0</v>
      </c>
      <c r="P292" s="163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3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4"/>
      <c r="AO292" s="4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4"/>
    </row>
    <row r="293" spans="1:64" hidden="1" x14ac:dyDescent="0.2">
      <c r="A293" s="15">
        <f t="shared" si="67"/>
        <v>0</v>
      </c>
      <c r="B293" s="169"/>
      <c r="C293" s="17"/>
      <c r="D293" s="128"/>
      <c r="E293" s="128" t="str">
        <f t="shared" si="62"/>
        <v>Por definir</v>
      </c>
      <c r="F293" s="129"/>
      <c r="G293" s="129"/>
      <c r="H293" s="129"/>
      <c r="I293" s="128"/>
      <c r="J293" s="130"/>
      <c r="K293" s="16">
        <v>0</v>
      </c>
      <c r="L293" s="131">
        <f t="shared" si="63"/>
        <v>0</v>
      </c>
      <c r="M293" s="131">
        <f t="shared" si="64"/>
        <v>0</v>
      </c>
      <c r="N293" s="132">
        <f t="shared" si="65"/>
        <v>0</v>
      </c>
      <c r="O293" s="133">
        <f t="shared" si="66"/>
        <v>0</v>
      </c>
      <c r="P293" s="163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3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4"/>
      <c r="AO293" s="4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4"/>
    </row>
    <row r="294" spans="1:64" hidden="1" x14ac:dyDescent="0.2">
      <c r="A294" s="15">
        <f t="shared" si="67"/>
        <v>0</v>
      </c>
      <c r="B294" s="169"/>
      <c r="C294" s="17"/>
      <c r="D294" s="128"/>
      <c r="E294" s="128" t="str">
        <f t="shared" si="62"/>
        <v>Por definir</v>
      </c>
      <c r="F294" s="129"/>
      <c r="G294" s="129"/>
      <c r="H294" s="129"/>
      <c r="I294" s="128"/>
      <c r="J294" s="130"/>
      <c r="K294" s="16">
        <v>0</v>
      </c>
      <c r="L294" s="131">
        <f t="shared" si="63"/>
        <v>0</v>
      </c>
      <c r="M294" s="131">
        <f t="shared" si="64"/>
        <v>0</v>
      </c>
      <c r="N294" s="132">
        <f t="shared" si="65"/>
        <v>0</v>
      </c>
      <c r="O294" s="133">
        <f t="shared" si="66"/>
        <v>0</v>
      </c>
      <c r="P294" s="163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3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4"/>
      <c r="AO294" s="4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4"/>
    </row>
    <row r="295" spans="1:64" hidden="1" x14ac:dyDescent="0.2">
      <c r="A295" s="15">
        <f t="shared" si="67"/>
        <v>0</v>
      </c>
      <c r="B295" s="169"/>
      <c r="C295" s="17"/>
      <c r="D295" s="128"/>
      <c r="E295" s="128" t="str">
        <f t="shared" si="62"/>
        <v>Por definir</v>
      </c>
      <c r="F295" s="129"/>
      <c r="G295" s="129"/>
      <c r="H295" s="129"/>
      <c r="I295" s="128"/>
      <c r="J295" s="130"/>
      <c r="K295" s="16">
        <v>0</v>
      </c>
      <c r="L295" s="131">
        <f t="shared" si="63"/>
        <v>0</v>
      </c>
      <c r="M295" s="131">
        <f t="shared" si="64"/>
        <v>0</v>
      </c>
      <c r="N295" s="132">
        <f t="shared" si="65"/>
        <v>0</v>
      </c>
      <c r="O295" s="133">
        <f t="shared" si="66"/>
        <v>0</v>
      </c>
      <c r="P295" s="163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3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4"/>
      <c r="AO295" s="4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4"/>
    </row>
    <row r="296" spans="1:64" hidden="1" x14ac:dyDescent="0.2">
      <c r="A296" s="15">
        <f t="shared" si="67"/>
        <v>0</v>
      </c>
      <c r="B296" s="169"/>
      <c r="C296" s="17"/>
      <c r="D296" s="128"/>
      <c r="E296" s="128" t="str">
        <f t="shared" si="62"/>
        <v>Por definir</v>
      </c>
      <c r="F296" s="129"/>
      <c r="G296" s="129"/>
      <c r="H296" s="129"/>
      <c r="I296" s="128"/>
      <c r="J296" s="130"/>
      <c r="K296" s="16">
        <v>0</v>
      </c>
      <c r="L296" s="131">
        <f t="shared" si="63"/>
        <v>0</v>
      </c>
      <c r="M296" s="131">
        <f t="shared" si="64"/>
        <v>0</v>
      </c>
      <c r="N296" s="132">
        <f t="shared" si="65"/>
        <v>0</v>
      </c>
      <c r="O296" s="133">
        <f t="shared" si="66"/>
        <v>0</v>
      </c>
      <c r="P296" s="163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3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4"/>
      <c r="AO296" s="4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4"/>
    </row>
    <row r="297" spans="1:64" hidden="1" x14ac:dyDescent="0.2">
      <c r="A297" s="15">
        <f t="shared" si="67"/>
        <v>0</v>
      </c>
      <c r="B297" s="169"/>
      <c r="C297" s="17"/>
      <c r="D297" s="128"/>
      <c r="E297" s="128" t="str">
        <f t="shared" si="62"/>
        <v>Por definir</v>
      </c>
      <c r="F297" s="129"/>
      <c r="G297" s="129"/>
      <c r="H297" s="129"/>
      <c r="I297" s="128"/>
      <c r="J297" s="130"/>
      <c r="K297" s="16">
        <v>0</v>
      </c>
      <c r="L297" s="131">
        <f t="shared" si="63"/>
        <v>0</v>
      </c>
      <c r="M297" s="131">
        <f t="shared" si="64"/>
        <v>0</v>
      </c>
      <c r="N297" s="132">
        <f t="shared" si="65"/>
        <v>0</v>
      </c>
      <c r="O297" s="133">
        <f t="shared" si="66"/>
        <v>0</v>
      </c>
      <c r="P297" s="163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3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4"/>
      <c r="AO297" s="4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4"/>
    </row>
    <row r="298" spans="1:64" hidden="1" x14ac:dyDescent="0.2">
      <c r="A298" s="15">
        <f t="shared" si="67"/>
        <v>0</v>
      </c>
      <c r="B298" s="169"/>
      <c r="C298" s="17"/>
      <c r="D298" s="128"/>
      <c r="E298" s="128" t="str">
        <f t="shared" si="62"/>
        <v>Por definir</v>
      </c>
      <c r="F298" s="129"/>
      <c r="G298" s="129"/>
      <c r="H298" s="129"/>
      <c r="I298" s="128"/>
      <c r="J298" s="130"/>
      <c r="K298" s="16">
        <v>0</v>
      </c>
      <c r="L298" s="131">
        <f t="shared" si="63"/>
        <v>0</v>
      </c>
      <c r="M298" s="131">
        <f t="shared" si="64"/>
        <v>0</v>
      </c>
      <c r="N298" s="132">
        <f t="shared" si="65"/>
        <v>0</v>
      </c>
      <c r="O298" s="133">
        <f t="shared" si="66"/>
        <v>0</v>
      </c>
      <c r="P298" s="163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3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4"/>
      <c r="AO298" s="4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4"/>
    </row>
    <row r="299" spans="1:64" hidden="1" x14ac:dyDescent="0.2">
      <c r="A299" s="15">
        <f t="shared" si="67"/>
        <v>0</v>
      </c>
      <c r="B299" s="169"/>
      <c r="C299" s="17"/>
      <c r="D299" s="128"/>
      <c r="E299" s="128" t="str">
        <f t="shared" si="62"/>
        <v>Por definir</v>
      </c>
      <c r="F299" s="129"/>
      <c r="G299" s="129"/>
      <c r="H299" s="129"/>
      <c r="I299" s="128"/>
      <c r="J299" s="130"/>
      <c r="K299" s="16">
        <v>0</v>
      </c>
      <c r="L299" s="131">
        <f t="shared" si="63"/>
        <v>0</v>
      </c>
      <c r="M299" s="131">
        <f t="shared" si="64"/>
        <v>0</v>
      </c>
      <c r="N299" s="132">
        <f t="shared" si="65"/>
        <v>0</v>
      </c>
      <c r="O299" s="133">
        <f t="shared" si="66"/>
        <v>0</v>
      </c>
      <c r="P299" s="163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3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4"/>
      <c r="AO299" s="4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4"/>
    </row>
    <row r="300" spans="1:64" hidden="1" x14ac:dyDescent="0.2">
      <c r="A300" s="15">
        <f t="shared" si="67"/>
        <v>0</v>
      </c>
      <c r="B300" s="169"/>
      <c r="C300" s="17"/>
      <c r="D300" s="128"/>
      <c r="E300" s="128" t="str">
        <f t="shared" si="62"/>
        <v>Por definir</v>
      </c>
      <c r="F300" s="129"/>
      <c r="G300" s="129"/>
      <c r="H300" s="129"/>
      <c r="I300" s="128"/>
      <c r="J300" s="130"/>
      <c r="K300" s="16">
        <v>0</v>
      </c>
      <c r="L300" s="131">
        <f t="shared" si="63"/>
        <v>0</v>
      </c>
      <c r="M300" s="131">
        <f t="shared" si="64"/>
        <v>0</v>
      </c>
      <c r="N300" s="132">
        <f t="shared" si="65"/>
        <v>0</v>
      </c>
      <c r="O300" s="133">
        <f t="shared" si="66"/>
        <v>0</v>
      </c>
      <c r="P300" s="163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3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4"/>
      <c r="AO300" s="4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4"/>
    </row>
    <row r="301" spans="1:64" hidden="1" x14ac:dyDescent="0.2">
      <c r="A301" s="15">
        <f t="shared" si="67"/>
        <v>0</v>
      </c>
      <c r="B301" s="169"/>
      <c r="C301" s="17"/>
      <c r="D301" s="128"/>
      <c r="E301" s="128" t="str">
        <f t="shared" si="62"/>
        <v>Por definir</v>
      </c>
      <c r="F301" s="129"/>
      <c r="G301" s="129"/>
      <c r="H301" s="129"/>
      <c r="I301" s="128"/>
      <c r="J301" s="130"/>
      <c r="K301" s="16">
        <v>0</v>
      </c>
      <c r="L301" s="131">
        <f t="shared" si="63"/>
        <v>0</v>
      </c>
      <c r="M301" s="131">
        <f t="shared" si="64"/>
        <v>0</v>
      </c>
      <c r="N301" s="132">
        <f t="shared" si="65"/>
        <v>0</v>
      </c>
      <c r="O301" s="133">
        <f t="shared" si="66"/>
        <v>0</v>
      </c>
      <c r="P301" s="163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3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4"/>
      <c r="AO301" s="4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4"/>
    </row>
    <row r="302" spans="1:64" hidden="1" x14ac:dyDescent="0.2">
      <c r="A302" s="15">
        <f t="shared" si="67"/>
        <v>0</v>
      </c>
      <c r="B302" s="169"/>
      <c r="C302" s="17"/>
      <c r="D302" s="128"/>
      <c r="E302" s="128" t="str">
        <f t="shared" si="62"/>
        <v>Por definir</v>
      </c>
      <c r="F302" s="129"/>
      <c r="G302" s="129"/>
      <c r="H302" s="129"/>
      <c r="I302" s="128"/>
      <c r="J302" s="130"/>
      <c r="K302" s="16">
        <v>0</v>
      </c>
      <c r="L302" s="131">
        <f t="shared" si="63"/>
        <v>0</v>
      </c>
      <c r="M302" s="131">
        <f t="shared" si="64"/>
        <v>0</v>
      </c>
      <c r="N302" s="132">
        <f t="shared" si="65"/>
        <v>0</v>
      </c>
      <c r="O302" s="133">
        <f t="shared" si="66"/>
        <v>0</v>
      </c>
      <c r="P302" s="163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3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4"/>
      <c r="AO302" s="4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4"/>
    </row>
    <row r="303" spans="1:64" hidden="1" x14ac:dyDescent="0.2">
      <c r="A303" s="15">
        <f t="shared" si="67"/>
        <v>0</v>
      </c>
      <c r="B303" s="169"/>
      <c r="C303" s="17"/>
      <c r="D303" s="128"/>
      <c r="E303" s="128" t="str">
        <f t="shared" si="62"/>
        <v>Por definir</v>
      </c>
      <c r="F303" s="129"/>
      <c r="G303" s="129"/>
      <c r="H303" s="129"/>
      <c r="I303" s="128"/>
      <c r="J303" s="130"/>
      <c r="K303" s="16">
        <v>0</v>
      </c>
      <c r="L303" s="131">
        <f t="shared" si="63"/>
        <v>0</v>
      </c>
      <c r="M303" s="131">
        <f t="shared" si="64"/>
        <v>0</v>
      </c>
      <c r="N303" s="132">
        <f t="shared" si="65"/>
        <v>0</v>
      </c>
      <c r="O303" s="133">
        <f t="shared" si="66"/>
        <v>0</v>
      </c>
      <c r="P303" s="163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3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4"/>
      <c r="AO303" s="4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4"/>
    </row>
    <row r="304" spans="1:64" hidden="1" x14ac:dyDescent="0.2">
      <c r="A304" s="15">
        <f t="shared" si="67"/>
        <v>0</v>
      </c>
      <c r="B304" s="169"/>
      <c r="C304" s="17"/>
      <c r="D304" s="128"/>
      <c r="E304" s="128" t="str">
        <f t="shared" si="62"/>
        <v>Por definir</v>
      </c>
      <c r="F304" s="129"/>
      <c r="G304" s="129"/>
      <c r="H304" s="129"/>
      <c r="I304" s="128"/>
      <c r="J304" s="130"/>
      <c r="K304" s="16">
        <v>0</v>
      </c>
      <c r="L304" s="131">
        <f t="shared" si="63"/>
        <v>0</v>
      </c>
      <c r="M304" s="131">
        <f t="shared" si="64"/>
        <v>0</v>
      </c>
      <c r="N304" s="132">
        <f t="shared" si="65"/>
        <v>0</v>
      </c>
      <c r="O304" s="133">
        <f t="shared" si="66"/>
        <v>0</v>
      </c>
      <c r="P304" s="163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3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4"/>
      <c r="AO304" s="4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4"/>
    </row>
    <row r="305" spans="1:64" hidden="1" x14ac:dyDescent="0.2">
      <c r="A305" s="15">
        <f t="shared" si="67"/>
        <v>0</v>
      </c>
      <c r="B305" s="169"/>
      <c r="C305" s="17"/>
      <c r="D305" s="128"/>
      <c r="E305" s="128" t="str">
        <f t="shared" si="62"/>
        <v>Por definir</v>
      </c>
      <c r="F305" s="129"/>
      <c r="G305" s="129"/>
      <c r="H305" s="129"/>
      <c r="I305" s="128"/>
      <c r="J305" s="130"/>
      <c r="K305" s="16">
        <v>0</v>
      </c>
      <c r="L305" s="131">
        <f t="shared" si="63"/>
        <v>0</v>
      </c>
      <c r="M305" s="131">
        <f t="shared" si="64"/>
        <v>0</v>
      </c>
      <c r="N305" s="132">
        <f t="shared" si="65"/>
        <v>0</v>
      </c>
      <c r="O305" s="133">
        <f t="shared" si="66"/>
        <v>0</v>
      </c>
      <c r="P305" s="163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3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4"/>
      <c r="AO305" s="4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4"/>
    </row>
    <row r="306" spans="1:64" hidden="1" x14ac:dyDescent="0.2">
      <c r="A306" s="15">
        <f t="shared" si="67"/>
        <v>0</v>
      </c>
      <c r="B306" s="169"/>
      <c r="C306" s="17"/>
      <c r="D306" s="128"/>
      <c r="E306" s="128" t="str">
        <f t="shared" si="62"/>
        <v>Por definir</v>
      </c>
      <c r="F306" s="129"/>
      <c r="G306" s="129"/>
      <c r="H306" s="129"/>
      <c r="I306" s="128"/>
      <c r="J306" s="130"/>
      <c r="K306" s="16">
        <v>0</v>
      </c>
      <c r="L306" s="131">
        <f t="shared" si="63"/>
        <v>0</v>
      </c>
      <c r="M306" s="131">
        <f t="shared" si="64"/>
        <v>0</v>
      </c>
      <c r="N306" s="132">
        <f t="shared" si="65"/>
        <v>0</v>
      </c>
      <c r="O306" s="133">
        <f t="shared" si="66"/>
        <v>0</v>
      </c>
      <c r="P306" s="163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3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4"/>
      <c r="AO306" s="4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4"/>
    </row>
    <row r="307" spans="1:64" hidden="1" x14ac:dyDescent="0.2">
      <c r="A307" s="15">
        <f t="shared" si="67"/>
        <v>0</v>
      </c>
      <c r="B307" s="169"/>
      <c r="C307" s="17"/>
      <c r="D307" s="128"/>
      <c r="E307" s="128" t="str">
        <f t="shared" si="62"/>
        <v>Por definir</v>
      </c>
      <c r="F307" s="129"/>
      <c r="G307" s="129"/>
      <c r="H307" s="129"/>
      <c r="I307" s="128"/>
      <c r="J307" s="130"/>
      <c r="K307" s="16">
        <v>0</v>
      </c>
      <c r="L307" s="131">
        <f t="shared" si="63"/>
        <v>0</v>
      </c>
      <c r="M307" s="131">
        <f t="shared" si="64"/>
        <v>0</v>
      </c>
      <c r="N307" s="132">
        <f t="shared" si="65"/>
        <v>0</v>
      </c>
      <c r="O307" s="133">
        <f t="shared" si="66"/>
        <v>0</v>
      </c>
      <c r="P307" s="163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3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4"/>
      <c r="AO307" s="4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4"/>
    </row>
    <row r="308" spans="1:64" hidden="1" x14ac:dyDescent="0.2">
      <c r="A308" s="15">
        <f t="shared" si="67"/>
        <v>0</v>
      </c>
      <c r="B308" s="169"/>
      <c r="C308" s="17"/>
      <c r="D308" s="128"/>
      <c r="E308" s="128" t="str">
        <f t="shared" si="62"/>
        <v>Por definir</v>
      </c>
      <c r="F308" s="129"/>
      <c r="G308" s="129"/>
      <c r="H308" s="129"/>
      <c r="I308" s="128"/>
      <c r="J308" s="130"/>
      <c r="K308" s="16">
        <v>0</v>
      </c>
      <c r="L308" s="131">
        <f t="shared" si="63"/>
        <v>0</v>
      </c>
      <c r="M308" s="131">
        <f t="shared" si="64"/>
        <v>0</v>
      </c>
      <c r="N308" s="132">
        <f t="shared" si="65"/>
        <v>0</v>
      </c>
      <c r="O308" s="133">
        <f t="shared" si="66"/>
        <v>0</v>
      </c>
      <c r="P308" s="163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3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4"/>
      <c r="AO308" s="4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4"/>
    </row>
    <row r="309" spans="1:64" hidden="1" x14ac:dyDescent="0.2">
      <c r="A309" s="15">
        <f t="shared" si="67"/>
        <v>0</v>
      </c>
      <c r="B309" s="169"/>
      <c r="C309" s="17"/>
      <c r="D309" s="128"/>
      <c r="E309" s="128" t="str">
        <f t="shared" si="62"/>
        <v>Por definir</v>
      </c>
      <c r="F309" s="129"/>
      <c r="G309" s="129"/>
      <c r="H309" s="129"/>
      <c r="I309" s="128"/>
      <c r="J309" s="130"/>
      <c r="K309" s="16">
        <v>0</v>
      </c>
      <c r="L309" s="131">
        <f t="shared" si="63"/>
        <v>0</v>
      </c>
      <c r="M309" s="131">
        <f t="shared" si="64"/>
        <v>0</v>
      </c>
      <c r="N309" s="132">
        <f t="shared" si="65"/>
        <v>0</v>
      </c>
      <c r="O309" s="133">
        <f t="shared" si="66"/>
        <v>0</v>
      </c>
      <c r="P309" s="163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3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4"/>
      <c r="AO309" s="4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4"/>
    </row>
    <row r="310" spans="1:64" hidden="1" x14ac:dyDescent="0.2">
      <c r="A310" s="15">
        <f t="shared" si="67"/>
        <v>0</v>
      </c>
      <c r="B310" s="169"/>
      <c r="C310" s="17"/>
      <c r="D310" s="128"/>
      <c r="E310" s="128" t="str">
        <f t="shared" si="62"/>
        <v>Por definir</v>
      </c>
      <c r="F310" s="129"/>
      <c r="G310" s="129"/>
      <c r="H310" s="129"/>
      <c r="I310" s="128"/>
      <c r="J310" s="130"/>
      <c r="K310" s="16">
        <v>0</v>
      </c>
      <c r="L310" s="131">
        <f t="shared" si="63"/>
        <v>0</v>
      </c>
      <c r="M310" s="131">
        <f t="shared" si="64"/>
        <v>0</v>
      </c>
      <c r="N310" s="132">
        <f t="shared" si="65"/>
        <v>0</v>
      </c>
      <c r="O310" s="133">
        <f t="shared" si="66"/>
        <v>0</v>
      </c>
      <c r="P310" s="163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3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4"/>
      <c r="AO310" s="4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4"/>
    </row>
    <row r="311" spans="1:64" hidden="1" x14ac:dyDescent="0.2">
      <c r="A311" s="15">
        <f t="shared" si="67"/>
        <v>0</v>
      </c>
      <c r="B311" s="169"/>
      <c r="C311" s="17"/>
      <c r="D311" s="128"/>
      <c r="E311" s="128" t="str">
        <f t="shared" si="62"/>
        <v>Por definir</v>
      </c>
      <c r="F311" s="129"/>
      <c r="G311" s="129"/>
      <c r="H311" s="129"/>
      <c r="I311" s="128"/>
      <c r="J311" s="130"/>
      <c r="K311" s="16">
        <v>0</v>
      </c>
      <c r="L311" s="131">
        <f t="shared" si="63"/>
        <v>0</v>
      </c>
      <c r="M311" s="131">
        <f t="shared" si="64"/>
        <v>0</v>
      </c>
      <c r="N311" s="132">
        <f t="shared" si="65"/>
        <v>0</v>
      </c>
      <c r="O311" s="133">
        <f t="shared" si="66"/>
        <v>0</v>
      </c>
      <c r="P311" s="163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3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4"/>
      <c r="AO311" s="4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4"/>
    </row>
    <row r="312" spans="1:64" hidden="1" x14ac:dyDescent="0.2">
      <c r="A312" s="15">
        <f t="shared" si="67"/>
        <v>0</v>
      </c>
      <c r="B312" s="169"/>
      <c r="C312" s="17"/>
      <c r="D312" s="128"/>
      <c r="E312" s="128" t="str">
        <f t="shared" si="62"/>
        <v>Por definir</v>
      </c>
      <c r="F312" s="129"/>
      <c r="G312" s="129"/>
      <c r="H312" s="129"/>
      <c r="I312" s="128"/>
      <c r="J312" s="130"/>
      <c r="K312" s="16">
        <v>0</v>
      </c>
      <c r="L312" s="131">
        <f t="shared" si="63"/>
        <v>0</v>
      </c>
      <c r="M312" s="131">
        <f t="shared" si="64"/>
        <v>0</v>
      </c>
      <c r="N312" s="132">
        <f t="shared" si="65"/>
        <v>0</v>
      </c>
      <c r="O312" s="133">
        <f t="shared" si="66"/>
        <v>0</v>
      </c>
      <c r="P312" s="163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3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4"/>
      <c r="AO312" s="4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4"/>
    </row>
    <row r="313" spans="1:64" hidden="1" x14ac:dyDescent="0.2">
      <c r="A313" s="15">
        <f t="shared" si="67"/>
        <v>0</v>
      </c>
      <c r="B313" s="169"/>
      <c r="C313" s="17"/>
      <c r="D313" s="128"/>
      <c r="E313" s="128" t="str">
        <f t="shared" si="62"/>
        <v>Por definir</v>
      </c>
      <c r="F313" s="129"/>
      <c r="G313" s="129"/>
      <c r="H313" s="129"/>
      <c r="I313" s="128"/>
      <c r="J313" s="130"/>
      <c r="K313" s="16">
        <v>0</v>
      </c>
      <c r="L313" s="131">
        <f t="shared" si="63"/>
        <v>0</v>
      </c>
      <c r="M313" s="131">
        <f t="shared" si="64"/>
        <v>0</v>
      </c>
      <c r="N313" s="132">
        <f t="shared" si="65"/>
        <v>0</v>
      </c>
      <c r="O313" s="133">
        <f t="shared" si="66"/>
        <v>0</v>
      </c>
      <c r="P313" s="163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3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4"/>
      <c r="AO313" s="4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4"/>
    </row>
    <row r="314" spans="1:64" hidden="1" x14ac:dyDescent="0.2">
      <c r="A314" s="15">
        <f t="shared" si="67"/>
        <v>0</v>
      </c>
      <c r="B314" s="169"/>
      <c r="C314" s="17"/>
      <c r="D314" s="128"/>
      <c r="E314" s="128" t="str">
        <f t="shared" si="62"/>
        <v>Por definir</v>
      </c>
      <c r="F314" s="129"/>
      <c r="G314" s="129"/>
      <c r="H314" s="129"/>
      <c r="I314" s="128"/>
      <c r="J314" s="130"/>
      <c r="K314" s="16">
        <v>0</v>
      </c>
      <c r="L314" s="131">
        <f t="shared" si="63"/>
        <v>0</v>
      </c>
      <c r="M314" s="131">
        <f t="shared" si="64"/>
        <v>0</v>
      </c>
      <c r="N314" s="132">
        <f t="shared" si="65"/>
        <v>0</v>
      </c>
      <c r="O314" s="133">
        <f t="shared" si="66"/>
        <v>0</v>
      </c>
      <c r="P314" s="163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3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4"/>
      <c r="AO314" s="4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4"/>
    </row>
    <row r="315" spans="1:64" hidden="1" x14ac:dyDescent="0.2">
      <c r="A315" s="15">
        <f t="shared" si="67"/>
        <v>0</v>
      </c>
      <c r="B315" s="169"/>
      <c r="C315" s="17"/>
      <c r="D315" s="128"/>
      <c r="E315" s="128" t="str">
        <f t="shared" si="62"/>
        <v>Por definir</v>
      </c>
      <c r="F315" s="129"/>
      <c r="G315" s="129"/>
      <c r="H315" s="129"/>
      <c r="I315" s="128"/>
      <c r="J315" s="130"/>
      <c r="K315" s="16">
        <v>0</v>
      </c>
      <c r="L315" s="131">
        <f t="shared" si="63"/>
        <v>0</v>
      </c>
      <c r="M315" s="131">
        <f t="shared" si="64"/>
        <v>0</v>
      </c>
      <c r="N315" s="132">
        <f t="shared" si="65"/>
        <v>0</v>
      </c>
      <c r="O315" s="133">
        <f t="shared" si="66"/>
        <v>0</v>
      </c>
      <c r="P315" s="163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3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4"/>
      <c r="AO315" s="4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4"/>
    </row>
    <row r="316" spans="1:64" hidden="1" x14ac:dyDescent="0.2">
      <c r="A316" s="15">
        <f t="shared" si="67"/>
        <v>0</v>
      </c>
      <c r="B316" s="169"/>
      <c r="C316" s="17"/>
      <c r="D316" s="128"/>
      <c r="E316" s="128" t="str">
        <f t="shared" si="62"/>
        <v>Por definir</v>
      </c>
      <c r="F316" s="129"/>
      <c r="G316" s="129"/>
      <c r="H316" s="129"/>
      <c r="I316" s="128"/>
      <c r="J316" s="130"/>
      <c r="K316" s="16">
        <v>0</v>
      </c>
      <c r="L316" s="131">
        <f t="shared" si="63"/>
        <v>0</v>
      </c>
      <c r="M316" s="131">
        <f t="shared" si="64"/>
        <v>0</v>
      </c>
      <c r="N316" s="132">
        <f t="shared" si="65"/>
        <v>0</v>
      </c>
      <c r="O316" s="133">
        <f t="shared" si="66"/>
        <v>0</v>
      </c>
      <c r="P316" s="163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3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4"/>
      <c r="AO316" s="4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4"/>
    </row>
    <row r="317" spans="1:64" hidden="1" x14ac:dyDescent="0.2">
      <c r="A317" s="15">
        <f t="shared" si="67"/>
        <v>0</v>
      </c>
      <c r="B317" s="169"/>
      <c r="C317" s="17"/>
      <c r="D317" s="128"/>
      <c r="E317" s="128" t="str">
        <f t="shared" si="62"/>
        <v>Por definir</v>
      </c>
      <c r="F317" s="129"/>
      <c r="G317" s="129"/>
      <c r="H317" s="129"/>
      <c r="I317" s="128"/>
      <c r="J317" s="130"/>
      <c r="K317" s="16">
        <v>0</v>
      </c>
      <c r="L317" s="131">
        <f t="shared" si="63"/>
        <v>0</v>
      </c>
      <c r="M317" s="131">
        <f t="shared" si="64"/>
        <v>0</v>
      </c>
      <c r="N317" s="132">
        <f t="shared" si="65"/>
        <v>0</v>
      </c>
      <c r="O317" s="133">
        <f t="shared" si="66"/>
        <v>0</v>
      </c>
      <c r="P317" s="163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3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4"/>
      <c r="AO317" s="4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4"/>
    </row>
    <row r="318" spans="1:64" hidden="1" x14ac:dyDescent="0.2">
      <c r="A318" s="15">
        <f t="shared" si="67"/>
        <v>0</v>
      </c>
      <c r="B318" s="169"/>
      <c r="C318" s="17"/>
      <c r="D318" s="128"/>
      <c r="E318" s="128" t="str">
        <f t="shared" si="62"/>
        <v>Por definir</v>
      </c>
      <c r="F318" s="129"/>
      <c r="G318" s="129"/>
      <c r="H318" s="129"/>
      <c r="I318" s="128"/>
      <c r="J318" s="130"/>
      <c r="K318" s="16">
        <v>0</v>
      </c>
      <c r="L318" s="131">
        <f t="shared" si="63"/>
        <v>0</v>
      </c>
      <c r="M318" s="131">
        <f t="shared" si="64"/>
        <v>0</v>
      </c>
      <c r="N318" s="132">
        <f t="shared" si="65"/>
        <v>0</v>
      </c>
      <c r="O318" s="133">
        <f t="shared" si="66"/>
        <v>0</v>
      </c>
      <c r="P318" s="163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3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4"/>
      <c r="AO318" s="4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4"/>
    </row>
    <row r="319" spans="1:64" hidden="1" x14ac:dyDescent="0.2">
      <c r="A319" s="15">
        <f t="shared" si="67"/>
        <v>0</v>
      </c>
      <c r="B319" s="169"/>
      <c r="C319" s="17"/>
      <c r="D319" s="128"/>
      <c r="E319" s="128" t="str">
        <f t="shared" si="62"/>
        <v>Por definir</v>
      </c>
      <c r="F319" s="129"/>
      <c r="G319" s="129"/>
      <c r="H319" s="129"/>
      <c r="I319" s="128"/>
      <c r="J319" s="130"/>
      <c r="K319" s="16">
        <v>0</v>
      </c>
      <c r="L319" s="131">
        <f t="shared" si="63"/>
        <v>0</v>
      </c>
      <c r="M319" s="131">
        <f t="shared" si="64"/>
        <v>0</v>
      </c>
      <c r="N319" s="132">
        <f t="shared" si="65"/>
        <v>0</v>
      </c>
      <c r="O319" s="133">
        <f t="shared" si="66"/>
        <v>0</v>
      </c>
      <c r="P319" s="163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3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4"/>
      <c r="AO319" s="4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4"/>
    </row>
    <row r="320" spans="1:64" hidden="1" x14ac:dyDescent="0.2">
      <c r="A320" s="15">
        <f t="shared" si="67"/>
        <v>0</v>
      </c>
      <c r="B320" s="169"/>
      <c r="C320" s="17"/>
      <c r="D320" s="128"/>
      <c r="E320" s="128" t="str">
        <f t="shared" si="62"/>
        <v>Por definir</v>
      </c>
      <c r="F320" s="129"/>
      <c r="G320" s="129"/>
      <c r="H320" s="129"/>
      <c r="I320" s="128"/>
      <c r="J320" s="130"/>
      <c r="K320" s="16">
        <v>0</v>
      </c>
      <c r="L320" s="131">
        <f t="shared" si="63"/>
        <v>0</v>
      </c>
      <c r="M320" s="131">
        <f t="shared" si="64"/>
        <v>0</v>
      </c>
      <c r="N320" s="132">
        <f t="shared" si="65"/>
        <v>0</v>
      </c>
      <c r="O320" s="133">
        <f t="shared" si="66"/>
        <v>0</v>
      </c>
      <c r="P320" s="163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3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4"/>
      <c r="AO320" s="4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4"/>
    </row>
    <row r="321" spans="1:64" hidden="1" x14ac:dyDescent="0.2">
      <c r="A321" s="15">
        <f t="shared" si="67"/>
        <v>0</v>
      </c>
      <c r="B321" s="169"/>
      <c r="C321" s="17"/>
      <c r="D321" s="128"/>
      <c r="E321" s="128" t="str">
        <f t="shared" si="62"/>
        <v>Por definir</v>
      </c>
      <c r="F321" s="129"/>
      <c r="G321" s="129"/>
      <c r="H321" s="129"/>
      <c r="I321" s="128"/>
      <c r="J321" s="130"/>
      <c r="K321" s="16">
        <v>0</v>
      </c>
      <c r="L321" s="131">
        <f t="shared" si="63"/>
        <v>0</v>
      </c>
      <c r="M321" s="131">
        <f t="shared" si="64"/>
        <v>0</v>
      </c>
      <c r="N321" s="132">
        <f t="shared" si="65"/>
        <v>0</v>
      </c>
      <c r="O321" s="133">
        <f t="shared" si="66"/>
        <v>0</v>
      </c>
      <c r="P321" s="163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3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4"/>
      <c r="AO321" s="4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4"/>
    </row>
    <row r="322" spans="1:64" hidden="1" x14ac:dyDescent="0.2">
      <c r="A322" s="15">
        <f t="shared" si="67"/>
        <v>0</v>
      </c>
      <c r="B322" s="169"/>
      <c r="C322" s="17"/>
      <c r="D322" s="128"/>
      <c r="E322" s="128" t="str">
        <f t="shared" si="62"/>
        <v>Por definir</v>
      </c>
      <c r="F322" s="129"/>
      <c r="G322" s="129"/>
      <c r="H322" s="129"/>
      <c r="I322" s="128"/>
      <c r="J322" s="130"/>
      <c r="K322" s="16">
        <v>0</v>
      </c>
      <c r="L322" s="131">
        <f t="shared" si="63"/>
        <v>0</v>
      </c>
      <c r="M322" s="131">
        <f t="shared" si="64"/>
        <v>0</v>
      </c>
      <c r="N322" s="132">
        <f t="shared" si="65"/>
        <v>0</v>
      </c>
      <c r="O322" s="133">
        <f t="shared" si="66"/>
        <v>0</v>
      </c>
      <c r="P322" s="163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3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4"/>
      <c r="AO322" s="4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4"/>
    </row>
    <row r="323" spans="1:64" hidden="1" x14ac:dyDescent="0.2">
      <c r="A323" s="15">
        <f t="shared" si="67"/>
        <v>0</v>
      </c>
      <c r="B323" s="169"/>
      <c r="C323" s="17"/>
      <c r="D323" s="128"/>
      <c r="E323" s="128" t="str">
        <f t="shared" si="62"/>
        <v>Por definir</v>
      </c>
      <c r="F323" s="129"/>
      <c r="G323" s="129"/>
      <c r="H323" s="129"/>
      <c r="I323" s="128"/>
      <c r="J323" s="130"/>
      <c r="K323" s="16">
        <v>0</v>
      </c>
      <c r="L323" s="131">
        <f t="shared" si="63"/>
        <v>0</v>
      </c>
      <c r="M323" s="131">
        <f t="shared" si="64"/>
        <v>0</v>
      </c>
      <c r="N323" s="132">
        <f t="shared" si="65"/>
        <v>0</v>
      </c>
      <c r="O323" s="133">
        <f t="shared" si="66"/>
        <v>0</v>
      </c>
      <c r="P323" s="163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3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4"/>
      <c r="AO323" s="4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4"/>
    </row>
    <row r="324" spans="1:64" hidden="1" x14ac:dyDescent="0.2">
      <c r="A324" s="15">
        <f t="shared" si="67"/>
        <v>0</v>
      </c>
      <c r="B324" s="169"/>
      <c r="C324" s="17"/>
      <c r="D324" s="128"/>
      <c r="E324" s="128" t="str">
        <f t="shared" si="62"/>
        <v>Por definir</v>
      </c>
      <c r="F324" s="129"/>
      <c r="G324" s="129"/>
      <c r="H324" s="129"/>
      <c r="I324" s="128"/>
      <c r="J324" s="130"/>
      <c r="K324" s="16">
        <v>0</v>
      </c>
      <c r="L324" s="131">
        <f t="shared" si="63"/>
        <v>0</v>
      </c>
      <c r="M324" s="131">
        <f t="shared" si="64"/>
        <v>0</v>
      </c>
      <c r="N324" s="132">
        <f t="shared" si="65"/>
        <v>0</v>
      </c>
      <c r="O324" s="133">
        <f t="shared" si="66"/>
        <v>0</v>
      </c>
      <c r="P324" s="163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3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4"/>
      <c r="AO324" s="4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4"/>
    </row>
    <row r="325" spans="1:64" hidden="1" x14ac:dyDescent="0.2">
      <c r="A325" s="15">
        <f t="shared" si="67"/>
        <v>0</v>
      </c>
      <c r="B325" s="169"/>
      <c r="C325" s="17"/>
      <c r="D325" s="128"/>
      <c r="E325" s="128" t="str">
        <f t="shared" si="62"/>
        <v>Por definir</v>
      </c>
      <c r="F325" s="129"/>
      <c r="G325" s="129"/>
      <c r="H325" s="129"/>
      <c r="I325" s="128"/>
      <c r="J325" s="130"/>
      <c r="K325" s="16">
        <v>0</v>
      </c>
      <c r="L325" s="131">
        <f t="shared" si="63"/>
        <v>0</v>
      </c>
      <c r="M325" s="131">
        <f t="shared" si="64"/>
        <v>0</v>
      </c>
      <c r="N325" s="132">
        <f t="shared" si="65"/>
        <v>0</v>
      </c>
      <c r="O325" s="133">
        <f t="shared" si="66"/>
        <v>0</v>
      </c>
      <c r="P325" s="163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3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4"/>
      <c r="AO325" s="4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4"/>
    </row>
    <row r="326" spans="1:64" hidden="1" x14ac:dyDescent="0.2">
      <c r="A326" s="15">
        <f t="shared" si="67"/>
        <v>0</v>
      </c>
      <c r="B326" s="169"/>
      <c r="C326" s="17"/>
      <c r="D326" s="128"/>
      <c r="E326" s="128" t="str">
        <f t="shared" si="62"/>
        <v>Por definir</v>
      </c>
      <c r="F326" s="129"/>
      <c r="G326" s="129"/>
      <c r="H326" s="129"/>
      <c r="I326" s="128"/>
      <c r="J326" s="130"/>
      <c r="K326" s="16">
        <v>0</v>
      </c>
      <c r="L326" s="131">
        <f t="shared" si="63"/>
        <v>0</v>
      </c>
      <c r="M326" s="131">
        <f t="shared" si="64"/>
        <v>0</v>
      </c>
      <c r="N326" s="132">
        <f t="shared" si="65"/>
        <v>0</v>
      </c>
      <c r="O326" s="133">
        <f t="shared" si="66"/>
        <v>0</v>
      </c>
      <c r="P326" s="163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3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4"/>
      <c r="AO326" s="4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4"/>
    </row>
    <row r="327" spans="1:64" hidden="1" x14ac:dyDescent="0.2">
      <c r="A327" s="15">
        <f t="shared" si="67"/>
        <v>0</v>
      </c>
      <c r="B327" s="169"/>
      <c r="C327" s="17"/>
      <c r="D327" s="128"/>
      <c r="E327" s="128" t="str">
        <f t="shared" si="62"/>
        <v>Por definir</v>
      </c>
      <c r="F327" s="129"/>
      <c r="G327" s="129"/>
      <c r="H327" s="129"/>
      <c r="I327" s="128"/>
      <c r="J327" s="130"/>
      <c r="K327" s="16">
        <v>0</v>
      </c>
      <c r="L327" s="131">
        <f t="shared" si="63"/>
        <v>0</v>
      </c>
      <c r="M327" s="131">
        <f t="shared" si="64"/>
        <v>0</v>
      </c>
      <c r="N327" s="132">
        <f t="shared" si="65"/>
        <v>0</v>
      </c>
      <c r="O327" s="133">
        <f t="shared" si="66"/>
        <v>0</v>
      </c>
      <c r="P327" s="163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3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4"/>
      <c r="AO327" s="4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4"/>
    </row>
    <row r="328" spans="1:64" hidden="1" x14ac:dyDescent="0.2">
      <c r="A328" s="15">
        <f t="shared" si="67"/>
        <v>0</v>
      </c>
      <c r="B328" s="169"/>
      <c r="C328" s="17"/>
      <c r="D328" s="128"/>
      <c r="E328" s="128" t="str">
        <f t="shared" si="62"/>
        <v>Por definir</v>
      </c>
      <c r="F328" s="129"/>
      <c r="G328" s="129"/>
      <c r="H328" s="129"/>
      <c r="I328" s="128"/>
      <c r="J328" s="130"/>
      <c r="K328" s="16">
        <v>0</v>
      </c>
      <c r="L328" s="131">
        <f t="shared" si="63"/>
        <v>0</v>
      </c>
      <c r="M328" s="131">
        <f t="shared" si="64"/>
        <v>0</v>
      </c>
      <c r="N328" s="132">
        <f t="shared" si="65"/>
        <v>0</v>
      </c>
      <c r="O328" s="133">
        <f t="shared" si="66"/>
        <v>0</v>
      </c>
      <c r="P328" s="163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3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4"/>
      <c r="AO328" s="4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4"/>
    </row>
    <row r="329" spans="1:64" hidden="1" x14ac:dyDescent="0.2">
      <c r="A329" s="15">
        <f t="shared" si="67"/>
        <v>0</v>
      </c>
      <c r="B329" s="169"/>
      <c r="C329" s="17"/>
      <c r="D329" s="128"/>
      <c r="E329" s="128" t="str">
        <f t="shared" si="62"/>
        <v>Por definir</v>
      </c>
      <c r="F329" s="129"/>
      <c r="G329" s="129"/>
      <c r="H329" s="129"/>
      <c r="I329" s="128"/>
      <c r="J329" s="130"/>
      <c r="K329" s="16">
        <v>0</v>
      </c>
      <c r="L329" s="131">
        <f t="shared" si="63"/>
        <v>0</v>
      </c>
      <c r="M329" s="131">
        <f t="shared" si="64"/>
        <v>0</v>
      </c>
      <c r="N329" s="132">
        <f t="shared" si="65"/>
        <v>0</v>
      </c>
      <c r="O329" s="133">
        <f t="shared" si="66"/>
        <v>0</v>
      </c>
      <c r="P329" s="163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3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4"/>
      <c r="AO329" s="4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4"/>
    </row>
    <row r="330" spans="1:64" hidden="1" x14ac:dyDescent="0.2">
      <c r="A330" s="15">
        <f t="shared" si="67"/>
        <v>0</v>
      </c>
      <c r="B330" s="169"/>
      <c r="C330" s="17"/>
      <c r="D330" s="128"/>
      <c r="E330" s="128" t="str">
        <f t="shared" si="62"/>
        <v>Por definir</v>
      </c>
      <c r="F330" s="129"/>
      <c r="G330" s="129"/>
      <c r="H330" s="129"/>
      <c r="I330" s="128"/>
      <c r="J330" s="130"/>
      <c r="K330" s="16">
        <v>0</v>
      </c>
      <c r="L330" s="131">
        <f t="shared" si="63"/>
        <v>0</v>
      </c>
      <c r="M330" s="131">
        <f t="shared" si="64"/>
        <v>0</v>
      </c>
      <c r="N330" s="132">
        <f t="shared" si="65"/>
        <v>0</v>
      </c>
      <c r="O330" s="133">
        <f t="shared" si="66"/>
        <v>0</v>
      </c>
      <c r="P330" s="163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3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4"/>
      <c r="AO330" s="4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4"/>
    </row>
    <row r="331" spans="1:64" hidden="1" x14ac:dyDescent="0.2">
      <c r="A331" s="15">
        <f t="shared" si="67"/>
        <v>0</v>
      </c>
      <c r="B331" s="169"/>
      <c r="C331" s="17"/>
      <c r="D331" s="128"/>
      <c r="E331" s="128" t="str">
        <f t="shared" si="62"/>
        <v>Por definir</v>
      </c>
      <c r="F331" s="129"/>
      <c r="G331" s="129"/>
      <c r="H331" s="129"/>
      <c r="I331" s="128"/>
      <c r="J331" s="130"/>
      <c r="K331" s="16">
        <v>0</v>
      </c>
      <c r="L331" s="131">
        <f t="shared" si="63"/>
        <v>0</v>
      </c>
      <c r="M331" s="131">
        <f t="shared" si="64"/>
        <v>0</v>
      </c>
      <c r="N331" s="132">
        <f t="shared" si="65"/>
        <v>0</v>
      </c>
      <c r="O331" s="133">
        <f t="shared" si="66"/>
        <v>0</v>
      </c>
      <c r="P331" s="163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3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4"/>
      <c r="AO331" s="4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4"/>
    </row>
    <row r="332" spans="1:64" hidden="1" x14ac:dyDescent="0.2">
      <c r="A332" s="15">
        <f t="shared" si="67"/>
        <v>0</v>
      </c>
      <c r="B332" s="169"/>
      <c r="C332" s="17"/>
      <c r="D332" s="128"/>
      <c r="E332" s="128" t="str">
        <f t="shared" si="62"/>
        <v>Por definir</v>
      </c>
      <c r="F332" s="129"/>
      <c r="G332" s="129"/>
      <c r="H332" s="129"/>
      <c r="I332" s="128"/>
      <c r="J332" s="130"/>
      <c r="K332" s="16">
        <v>0</v>
      </c>
      <c r="L332" s="131">
        <f t="shared" si="63"/>
        <v>0</v>
      </c>
      <c r="M332" s="131">
        <f t="shared" si="64"/>
        <v>0</v>
      </c>
      <c r="N332" s="132">
        <f t="shared" si="65"/>
        <v>0</v>
      </c>
      <c r="O332" s="133">
        <f t="shared" si="66"/>
        <v>0</v>
      </c>
      <c r="P332" s="163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3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4"/>
      <c r="AO332" s="4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4"/>
    </row>
    <row r="333" spans="1:64" hidden="1" x14ac:dyDescent="0.2">
      <c r="A333" s="15">
        <f t="shared" si="67"/>
        <v>0</v>
      </c>
      <c r="B333" s="169"/>
      <c r="C333" s="17"/>
      <c r="D333" s="128"/>
      <c r="E333" s="128" t="str">
        <f t="shared" si="62"/>
        <v>Por definir</v>
      </c>
      <c r="F333" s="129"/>
      <c r="G333" s="129"/>
      <c r="H333" s="129"/>
      <c r="I333" s="128"/>
      <c r="J333" s="130"/>
      <c r="K333" s="16">
        <v>0</v>
      </c>
      <c r="L333" s="131">
        <f t="shared" si="63"/>
        <v>0</v>
      </c>
      <c r="M333" s="131">
        <f t="shared" si="64"/>
        <v>0</v>
      </c>
      <c r="N333" s="132">
        <f t="shared" si="65"/>
        <v>0</v>
      </c>
      <c r="O333" s="133">
        <f t="shared" si="66"/>
        <v>0</v>
      </c>
      <c r="P333" s="163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3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4"/>
      <c r="AO333" s="4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4"/>
    </row>
    <row r="334" spans="1:64" hidden="1" x14ac:dyDescent="0.2">
      <c r="A334" s="15">
        <f t="shared" si="67"/>
        <v>0</v>
      </c>
      <c r="B334" s="169"/>
      <c r="C334" s="17"/>
      <c r="D334" s="128"/>
      <c r="E334" s="128" t="str">
        <f t="shared" si="62"/>
        <v>Por definir</v>
      </c>
      <c r="F334" s="129"/>
      <c r="G334" s="129"/>
      <c r="H334" s="129"/>
      <c r="I334" s="128"/>
      <c r="J334" s="130"/>
      <c r="K334" s="16">
        <v>0</v>
      </c>
      <c r="L334" s="131">
        <f t="shared" si="63"/>
        <v>0</v>
      </c>
      <c r="M334" s="131">
        <f t="shared" si="64"/>
        <v>0</v>
      </c>
      <c r="N334" s="132">
        <f t="shared" si="65"/>
        <v>0</v>
      </c>
      <c r="O334" s="133">
        <f t="shared" si="66"/>
        <v>0</v>
      </c>
      <c r="P334" s="163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3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4"/>
      <c r="AO334" s="4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4"/>
    </row>
    <row r="335" spans="1:64" hidden="1" x14ac:dyDescent="0.2">
      <c r="A335" s="15">
        <f t="shared" si="67"/>
        <v>0</v>
      </c>
      <c r="B335" s="169"/>
      <c r="C335" s="17"/>
      <c r="D335" s="128"/>
      <c r="E335" s="128" t="str">
        <f t="shared" si="62"/>
        <v>Por definir</v>
      </c>
      <c r="F335" s="129"/>
      <c r="G335" s="129"/>
      <c r="H335" s="129"/>
      <c r="I335" s="128"/>
      <c r="J335" s="130"/>
      <c r="K335" s="16">
        <v>0</v>
      </c>
      <c r="L335" s="131">
        <f t="shared" si="63"/>
        <v>0</v>
      </c>
      <c r="M335" s="131">
        <f t="shared" si="64"/>
        <v>0</v>
      </c>
      <c r="N335" s="132">
        <f t="shared" si="65"/>
        <v>0</v>
      </c>
      <c r="O335" s="133">
        <f t="shared" si="66"/>
        <v>0</v>
      </c>
      <c r="P335" s="163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3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4"/>
      <c r="AO335" s="4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4"/>
    </row>
    <row r="336" spans="1:64" hidden="1" x14ac:dyDescent="0.2">
      <c r="A336" s="15">
        <f t="shared" si="67"/>
        <v>0</v>
      </c>
      <c r="B336" s="169"/>
      <c r="C336" s="17"/>
      <c r="D336" s="128"/>
      <c r="E336" s="128" t="str">
        <f t="shared" si="62"/>
        <v>Por definir</v>
      </c>
      <c r="F336" s="129"/>
      <c r="G336" s="129"/>
      <c r="H336" s="129"/>
      <c r="I336" s="128"/>
      <c r="J336" s="130"/>
      <c r="K336" s="16">
        <v>0</v>
      </c>
      <c r="L336" s="131">
        <f t="shared" si="63"/>
        <v>0</v>
      </c>
      <c r="M336" s="131">
        <f t="shared" si="64"/>
        <v>0</v>
      </c>
      <c r="N336" s="132">
        <f t="shared" si="65"/>
        <v>0</v>
      </c>
      <c r="O336" s="133">
        <f t="shared" si="66"/>
        <v>0</v>
      </c>
      <c r="P336" s="163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3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4"/>
      <c r="AO336" s="4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4"/>
    </row>
    <row r="337" spans="1:64" hidden="1" x14ac:dyDescent="0.2">
      <c r="A337" s="15">
        <f t="shared" si="67"/>
        <v>0</v>
      </c>
      <c r="B337" s="169"/>
      <c r="C337" s="17"/>
      <c r="D337" s="128"/>
      <c r="E337" s="128" t="str">
        <f t="shared" si="62"/>
        <v>Por definir</v>
      </c>
      <c r="F337" s="129"/>
      <c r="G337" s="129"/>
      <c r="H337" s="129"/>
      <c r="I337" s="128"/>
      <c r="J337" s="130"/>
      <c r="K337" s="16">
        <v>0</v>
      </c>
      <c r="L337" s="131">
        <f t="shared" si="63"/>
        <v>0</v>
      </c>
      <c r="M337" s="131">
        <f t="shared" si="64"/>
        <v>0</v>
      </c>
      <c r="N337" s="132">
        <f t="shared" si="65"/>
        <v>0</v>
      </c>
      <c r="O337" s="133">
        <f t="shared" si="66"/>
        <v>0</v>
      </c>
      <c r="P337" s="163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3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4"/>
      <c r="AO337" s="4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4"/>
    </row>
    <row r="338" spans="1:64" hidden="1" x14ac:dyDescent="0.2">
      <c r="A338" s="15">
        <f t="shared" si="67"/>
        <v>0</v>
      </c>
      <c r="B338" s="169"/>
      <c r="C338" s="17"/>
      <c r="D338" s="128"/>
      <c r="E338" s="128" t="str">
        <f t="shared" si="62"/>
        <v>Por definir</v>
      </c>
      <c r="F338" s="129"/>
      <c r="G338" s="129"/>
      <c r="H338" s="129"/>
      <c r="I338" s="128"/>
      <c r="J338" s="130"/>
      <c r="K338" s="16">
        <v>0</v>
      </c>
      <c r="L338" s="131">
        <f t="shared" si="63"/>
        <v>0</v>
      </c>
      <c r="M338" s="131">
        <f t="shared" si="64"/>
        <v>0</v>
      </c>
      <c r="N338" s="132">
        <f t="shared" si="65"/>
        <v>0</v>
      </c>
      <c r="O338" s="133">
        <f t="shared" si="66"/>
        <v>0</v>
      </c>
      <c r="P338" s="163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3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4"/>
      <c r="AO338" s="4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4"/>
    </row>
    <row r="339" spans="1:64" hidden="1" x14ac:dyDescent="0.2">
      <c r="A339" s="15">
        <f t="shared" si="67"/>
        <v>0</v>
      </c>
      <c r="B339" s="169"/>
      <c r="C339" s="17"/>
      <c r="D339" s="128"/>
      <c r="E339" s="128" t="str">
        <f t="shared" si="62"/>
        <v>Por definir</v>
      </c>
      <c r="F339" s="129"/>
      <c r="G339" s="129"/>
      <c r="H339" s="129"/>
      <c r="I339" s="128"/>
      <c r="J339" s="130"/>
      <c r="K339" s="16">
        <v>0</v>
      </c>
      <c r="L339" s="131">
        <f t="shared" si="63"/>
        <v>0</v>
      </c>
      <c r="M339" s="131">
        <f t="shared" si="64"/>
        <v>0</v>
      </c>
      <c r="N339" s="132">
        <f t="shared" si="65"/>
        <v>0</v>
      </c>
      <c r="O339" s="133">
        <f t="shared" si="66"/>
        <v>0</v>
      </c>
      <c r="P339" s="163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3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4"/>
      <c r="AO339" s="4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4"/>
    </row>
    <row r="340" spans="1:64" hidden="1" x14ac:dyDescent="0.2">
      <c r="A340" s="15">
        <f t="shared" si="67"/>
        <v>0</v>
      </c>
      <c r="B340" s="169"/>
      <c r="C340" s="17"/>
      <c r="D340" s="128"/>
      <c r="E340" s="128" t="str">
        <f t="shared" si="62"/>
        <v>Por definir</v>
      </c>
      <c r="F340" s="129"/>
      <c r="G340" s="129"/>
      <c r="H340" s="129"/>
      <c r="I340" s="128"/>
      <c r="J340" s="130"/>
      <c r="K340" s="16">
        <v>0</v>
      </c>
      <c r="L340" s="131">
        <f t="shared" si="63"/>
        <v>0</v>
      </c>
      <c r="M340" s="131">
        <f t="shared" si="64"/>
        <v>0</v>
      </c>
      <c r="N340" s="132">
        <f t="shared" si="65"/>
        <v>0</v>
      </c>
      <c r="O340" s="133">
        <f t="shared" si="66"/>
        <v>0</v>
      </c>
      <c r="P340" s="163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3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4"/>
      <c r="AO340" s="4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4"/>
    </row>
    <row r="341" spans="1:64" hidden="1" x14ac:dyDescent="0.2">
      <c r="A341" s="15">
        <f t="shared" si="67"/>
        <v>0</v>
      </c>
      <c r="B341" s="169"/>
      <c r="C341" s="17"/>
      <c r="D341" s="128"/>
      <c r="E341" s="128" t="str">
        <f t="shared" si="62"/>
        <v>Por definir</v>
      </c>
      <c r="F341" s="129"/>
      <c r="G341" s="129"/>
      <c r="H341" s="129"/>
      <c r="I341" s="128"/>
      <c r="J341" s="130"/>
      <c r="K341" s="16">
        <v>0</v>
      </c>
      <c r="L341" s="131">
        <f t="shared" si="63"/>
        <v>0</v>
      </c>
      <c r="M341" s="131">
        <f t="shared" si="64"/>
        <v>0</v>
      </c>
      <c r="N341" s="132">
        <f t="shared" si="65"/>
        <v>0</v>
      </c>
      <c r="O341" s="133">
        <f t="shared" si="66"/>
        <v>0</v>
      </c>
      <c r="P341" s="163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3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4"/>
      <c r="AO341" s="4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4"/>
    </row>
    <row r="342" spans="1:64" hidden="1" x14ac:dyDescent="0.2">
      <c r="A342" s="15">
        <f t="shared" si="67"/>
        <v>0</v>
      </c>
      <c r="B342" s="169"/>
      <c r="C342" s="17"/>
      <c r="D342" s="128"/>
      <c r="E342" s="128" t="str">
        <f t="shared" si="62"/>
        <v>Por definir</v>
      </c>
      <c r="F342" s="129"/>
      <c r="G342" s="129"/>
      <c r="H342" s="129"/>
      <c r="I342" s="128"/>
      <c r="J342" s="130"/>
      <c r="K342" s="16">
        <v>0</v>
      </c>
      <c r="L342" s="131">
        <f t="shared" si="63"/>
        <v>0</v>
      </c>
      <c r="M342" s="131">
        <f t="shared" si="64"/>
        <v>0</v>
      </c>
      <c r="N342" s="132">
        <f t="shared" si="65"/>
        <v>0</v>
      </c>
      <c r="O342" s="133">
        <f t="shared" si="66"/>
        <v>0</v>
      </c>
      <c r="P342" s="163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3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4"/>
      <c r="AO342" s="4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4"/>
    </row>
    <row r="343" spans="1:64" hidden="1" x14ac:dyDescent="0.2">
      <c r="A343" s="15">
        <f t="shared" si="67"/>
        <v>0</v>
      </c>
      <c r="B343" s="169"/>
      <c r="C343" s="17"/>
      <c r="D343" s="128"/>
      <c r="E343" s="128" t="str">
        <f t="shared" si="62"/>
        <v>Por definir</v>
      </c>
      <c r="F343" s="129"/>
      <c r="G343" s="129"/>
      <c r="H343" s="129"/>
      <c r="I343" s="128"/>
      <c r="J343" s="130"/>
      <c r="K343" s="16">
        <v>0</v>
      </c>
      <c r="L343" s="131">
        <f t="shared" si="63"/>
        <v>0</v>
      </c>
      <c r="M343" s="131">
        <f t="shared" si="64"/>
        <v>0</v>
      </c>
      <c r="N343" s="132">
        <f t="shared" si="65"/>
        <v>0</v>
      </c>
      <c r="O343" s="133">
        <f t="shared" si="66"/>
        <v>0</v>
      </c>
      <c r="P343" s="163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3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4"/>
      <c r="AO343" s="4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4"/>
    </row>
    <row r="344" spans="1:64" hidden="1" x14ac:dyDescent="0.2">
      <c r="A344" s="15">
        <f t="shared" si="67"/>
        <v>0</v>
      </c>
      <c r="B344" s="169"/>
      <c r="C344" s="17"/>
      <c r="D344" s="128"/>
      <c r="E344" s="128" t="str">
        <f t="shared" si="62"/>
        <v>Por definir</v>
      </c>
      <c r="F344" s="129"/>
      <c r="G344" s="129"/>
      <c r="H344" s="129"/>
      <c r="I344" s="128"/>
      <c r="J344" s="130"/>
      <c r="K344" s="16">
        <v>0</v>
      </c>
      <c r="L344" s="131">
        <f t="shared" si="63"/>
        <v>0</v>
      </c>
      <c r="M344" s="131">
        <f t="shared" si="64"/>
        <v>0</v>
      </c>
      <c r="N344" s="132">
        <f t="shared" si="65"/>
        <v>0</v>
      </c>
      <c r="O344" s="133">
        <f t="shared" si="66"/>
        <v>0</v>
      </c>
      <c r="P344" s="163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3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4"/>
      <c r="AO344" s="4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4"/>
    </row>
    <row r="345" spans="1:64" hidden="1" x14ac:dyDescent="0.2">
      <c r="A345" s="15">
        <f t="shared" si="67"/>
        <v>0</v>
      </c>
      <c r="B345" s="169"/>
      <c r="C345" s="17"/>
      <c r="D345" s="128"/>
      <c r="E345" s="128" t="str">
        <f t="shared" si="62"/>
        <v>Por definir</v>
      </c>
      <c r="F345" s="129"/>
      <c r="G345" s="129"/>
      <c r="H345" s="129"/>
      <c r="I345" s="128"/>
      <c r="J345" s="130"/>
      <c r="K345" s="16">
        <v>0</v>
      </c>
      <c r="L345" s="131">
        <f t="shared" si="63"/>
        <v>0</v>
      </c>
      <c r="M345" s="131">
        <f t="shared" si="64"/>
        <v>0</v>
      </c>
      <c r="N345" s="132">
        <f t="shared" si="65"/>
        <v>0</v>
      </c>
      <c r="O345" s="133">
        <f t="shared" si="66"/>
        <v>0</v>
      </c>
      <c r="P345" s="163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3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4"/>
      <c r="AO345" s="4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4"/>
    </row>
    <row r="346" spans="1:64" hidden="1" x14ac:dyDescent="0.2">
      <c r="A346" s="15">
        <f t="shared" si="67"/>
        <v>0</v>
      </c>
      <c r="B346" s="169"/>
      <c r="C346" s="17"/>
      <c r="D346" s="128"/>
      <c r="E346" s="128" t="str">
        <f t="shared" si="62"/>
        <v>Por definir</v>
      </c>
      <c r="F346" s="129"/>
      <c r="G346" s="129"/>
      <c r="H346" s="129"/>
      <c r="I346" s="128"/>
      <c r="J346" s="130"/>
      <c r="K346" s="16">
        <v>0</v>
      </c>
      <c r="L346" s="131">
        <f t="shared" si="63"/>
        <v>0</v>
      </c>
      <c r="M346" s="131">
        <f t="shared" si="64"/>
        <v>0</v>
      </c>
      <c r="N346" s="132">
        <f t="shared" si="65"/>
        <v>0</v>
      </c>
      <c r="O346" s="133">
        <f t="shared" si="66"/>
        <v>0</v>
      </c>
      <c r="P346" s="163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3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4"/>
      <c r="AO346" s="4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4"/>
    </row>
    <row r="347" spans="1:64" hidden="1" x14ac:dyDescent="0.2">
      <c r="A347" s="15">
        <f t="shared" si="67"/>
        <v>0</v>
      </c>
      <c r="B347" s="169"/>
      <c r="C347" s="17"/>
      <c r="D347" s="128"/>
      <c r="E347" s="128" t="str">
        <f t="shared" si="62"/>
        <v>Por definir</v>
      </c>
      <c r="F347" s="129"/>
      <c r="G347" s="129"/>
      <c r="H347" s="129"/>
      <c r="I347" s="128"/>
      <c r="J347" s="130"/>
      <c r="K347" s="16">
        <v>0</v>
      </c>
      <c r="L347" s="131">
        <f t="shared" si="63"/>
        <v>0</v>
      </c>
      <c r="M347" s="131">
        <f t="shared" si="64"/>
        <v>0</v>
      </c>
      <c r="N347" s="132">
        <f t="shared" si="65"/>
        <v>0</v>
      </c>
      <c r="O347" s="133">
        <f t="shared" si="66"/>
        <v>0</v>
      </c>
      <c r="P347" s="163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3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4"/>
      <c r="AO347" s="4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4"/>
    </row>
    <row r="348" spans="1:64" hidden="1" x14ac:dyDescent="0.2">
      <c r="A348" s="15">
        <f t="shared" si="67"/>
        <v>0</v>
      </c>
      <c r="B348" s="169"/>
      <c r="C348" s="17"/>
      <c r="D348" s="128"/>
      <c r="E348" s="128" t="str">
        <f t="shared" ref="E348:E377" si="68">+IF(D348="Chile","30 días",IF(D348="Perú","30 días",IF(D348="Brasil","60 días",IF(D348="Rusia","Indeterminado","Por definir"))))</f>
        <v>Por definir</v>
      </c>
      <c r="F348" s="129"/>
      <c r="G348" s="129"/>
      <c r="H348" s="129"/>
      <c r="I348" s="128"/>
      <c r="J348" s="130"/>
      <c r="K348" s="16">
        <v>0</v>
      </c>
      <c r="L348" s="131">
        <f t="shared" ref="L348:L377" si="69">+SUM(P348:AA348)</f>
        <v>0</v>
      </c>
      <c r="M348" s="131">
        <f t="shared" ref="M348:M377" si="70">+SUM(P348:Z348)</f>
        <v>0</v>
      </c>
      <c r="N348" s="132">
        <f t="shared" ref="N348:N377" si="71">IFERROR(+M348/K348,0)</f>
        <v>0</v>
      </c>
      <c r="O348" s="133">
        <f t="shared" ref="O348:O377" si="72">+K348-M348</f>
        <v>0</v>
      </c>
      <c r="P348" s="163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3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4"/>
      <c r="AO348" s="4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4"/>
    </row>
    <row r="349" spans="1:64" hidden="1" x14ac:dyDescent="0.2">
      <c r="A349" s="15">
        <f t="shared" ref="A349:A377" si="73">+LEN(B349)</f>
        <v>0</v>
      </c>
      <c r="B349" s="169"/>
      <c r="C349" s="17"/>
      <c r="D349" s="128"/>
      <c r="E349" s="128" t="str">
        <f t="shared" si="68"/>
        <v>Por definir</v>
      </c>
      <c r="F349" s="129"/>
      <c r="G349" s="129"/>
      <c r="H349" s="129"/>
      <c r="I349" s="128"/>
      <c r="J349" s="130"/>
      <c r="K349" s="16">
        <v>0</v>
      </c>
      <c r="L349" s="131">
        <f t="shared" si="69"/>
        <v>0</v>
      </c>
      <c r="M349" s="131">
        <f t="shared" si="70"/>
        <v>0</v>
      </c>
      <c r="N349" s="132">
        <f t="shared" si="71"/>
        <v>0</v>
      </c>
      <c r="O349" s="133">
        <f t="shared" si="72"/>
        <v>0</v>
      </c>
      <c r="P349" s="163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3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4"/>
      <c r="AO349" s="4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4"/>
    </row>
    <row r="350" spans="1:64" hidden="1" x14ac:dyDescent="0.2">
      <c r="A350" s="15">
        <f t="shared" si="73"/>
        <v>0</v>
      </c>
      <c r="B350" s="169"/>
      <c r="C350" s="17"/>
      <c r="D350" s="128"/>
      <c r="E350" s="128" t="str">
        <f t="shared" si="68"/>
        <v>Por definir</v>
      </c>
      <c r="F350" s="129"/>
      <c r="G350" s="129"/>
      <c r="H350" s="129"/>
      <c r="I350" s="128"/>
      <c r="J350" s="130"/>
      <c r="K350" s="16">
        <v>0</v>
      </c>
      <c r="L350" s="131">
        <f t="shared" si="69"/>
        <v>0</v>
      </c>
      <c r="M350" s="131">
        <f t="shared" si="70"/>
        <v>0</v>
      </c>
      <c r="N350" s="132">
        <f t="shared" si="71"/>
        <v>0</v>
      </c>
      <c r="O350" s="133">
        <f t="shared" si="72"/>
        <v>0</v>
      </c>
      <c r="P350" s="163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3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4"/>
      <c r="AO350" s="4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4"/>
    </row>
    <row r="351" spans="1:64" hidden="1" x14ac:dyDescent="0.2">
      <c r="A351" s="15">
        <f t="shared" si="73"/>
        <v>0</v>
      </c>
      <c r="B351" s="169"/>
      <c r="C351" s="17"/>
      <c r="D351" s="128"/>
      <c r="E351" s="128" t="str">
        <f t="shared" si="68"/>
        <v>Por definir</v>
      </c>
      <c r="F351" s="129"/>
      <c r="G351" s="129"/>
      <c r="H351" s="129"/>
      <c r="I351" s="128"/>
      <c r="J351" s="130"/>
      <c r="K351" s="16">
        <v>0</v>
      </c>
      <c r="L351" s="131">
        <f t="shared" si="69"/>
        <v>0</v>
      </c>
      <c r="M351" s="131">
        <f t="shared" si="70"/>
        <v>0</v>
      </c>
      <c r="N351" s="132">
        <f t="shared" si="71"/>
        <v>0</v>
      </c>
      <c r="O351" s="133">
        <f t="shared" si="72"/>
        <v>0</v>
      </c>
      <c r="P351" s="163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3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4"/>
      <c r="AO351" s="4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4"/>
    </row>
    <row r="352" spans="1:64" hidden="1" x14ac:dyDescent="0.2">
      <c r="A352" s="15">
        <f t="shared" si="73"/>
        <v>0</v>
      </c>
      <c r="B352" s="169"/>
      <c r="C352" s="17"/>
      <c r="D352" s="128"/>
      <c r="E352" s="128" t="str">
        <f t="shared" si="68"/>
        <v>Por definir</v>
      </c>
      <c r="F352" s="129"/>
      <c r="G352" s="129"/>
      <c r="H352" s="129"/>
      <c r="I352" s="128"/>
      <c r="J352" s="130"/>
      <c r="K352" s="16">
        <v>0</v>
      </c>
      <c r="L352" s="131">
        <f t="shared" si="69"/>
        <v>0</v>
      </c>
      <c r="M352" s="131">
        <f t="shared" si="70"/>
        <v>0</v>
      </c>
      <c r="N352" s="132">
        <f t="shared" si="71"/>
        <v>0</v>
      </c>
      <c r="O352" s="133">
        <f t="shared" si="72"/>
        <v>0</v>
      </c>
      <c r="P352" s="163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3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4"/>
      <c r="AO352" s="4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4"/>
    </row>
    <row r="353" spans="1:64" hidden="1" x14ac:dyDescent="0.2">
      <c r="A353" s="15">
        <f t="shared" si="73"/>
        <v>0</v>
      </c>
      <c r="B353" s="169"/>
      <c r="C353" s="17"/>
      <c r="D353" s="128"/>
      <c r="E353" s="128" t="str">
        <f t="shared" si="68"/>
        <v>Por definir</v>
      </c>
      <c r="F353" s="129"/>
      <c r="G353" s="129"/>
      <c r="H353" s="129"/>
      <c r="I353" s="128"/>
      <c r="J353" s="130"/>
      <c r="K353" s="16">
        <v>0</v>
      </c>
      <c r="L353" s="131">
        <f t="shared" si="69"/>
        <v>0</v>
      </c>
      <c r="M353" s="131">
        <f t="shared" si="70"/>
        <v>0</v>
      </c>
      <c r="N353" s="132">
        <f t="shared" si="71"/>
        <v>0</v>
      </c>
      <c r="O353" s="133">
        <f t="shared" si="72"/>
        <v>0</v>
      </c>
      <c r="P353" s="163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3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4"/>
      <c r="AO353" s="4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4"/>
    </row>
    <row r="354" spans="1:64" hidden="1" x14ac:dyDescent="0.2">
      <c r="A354" s="15">
        <f t="shared" si="73"/>
        <v>0</v>
      </c>
      <c r="B354" s="169"/>
      <c r="C354" s="17"/>
      <c r="D354" s="128"/>
      <c r="E354" s="128" t="str">
        <f t="shared" si="68"/>
        <v>Por definir</v>
      </c>
      <c r="F354" s="129"/>
      <c r="G354" s="129"/>
      <c r="H354" s="129"/>
      <c r="I354" s="128"/>
      <c r="J354" s="130"/>
      <c r="K354" s="16">
        <v>0</v>
      </c>
      <c r="L354" s="131">
        <f t="shared" si="69"/>
        <v>0</v>
      </c>
      <c r="M354" s="131">
        <f t="shared" si="70"/>
        <v>0</v>
      </c>
      <c r="N354" s="132">
        <f t="shared" si="71"/>
        <v>0</v>
      </c>
      <c r="O354" s="133">
        <f t="shared" si="72"/>
        <v>0</v>
      </c>
      <c r="P354" s="163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3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4"/>
      <c r="AO354" s="4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4"/>
    </row>
    <row r="355" spans="1:64" hidden="1" x14ac:dyDescent="0.2">
      <c r="A355" s="15">
        <f t="shared" si="73"/>
        <v>0</v>
      </c>
      <c r="B355" s="169"/>
      <c r="C355" s="17"/>
      <c r="D355" s="128"/>
      <c r="E355" s="128" t="str">
        <f t="shared" si="68"/>
        <v>Por definir</v>
      </c>
      <c r="F355" s="129"/>
      <c r="G355" s="129"/>
      <c r="H355" s="129"/>
      <c r="I355" s="128"/>
      <c r="J355" s="130"/>
      <c r="K355" s="16">
        <v>0</v>
      </c>
      <c r="L355" s="131">
        <f t="shared" si="69"/>
        <v>0</v>
      </c>
      <c r="M355" s="131">
        <f t="shared" si="70"/>
        <v>0</v>
      </c>
      <c r="N355" s="132">
        <f t="shared" si="71"/>
        <v>0</v>
      </c>
      <c r="O355" s="133">
        <f t="shared" si="72"/>
        <v>0</v>
      </c>
      <c r="P355" s="163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3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4"/>
      <c r="AO355" s="4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4"/>
    </row>
    <row r="356" spans="1:64" hidden="1" x14ac:dyDescent="0.2">
      <c r="A356" s="15">
        <f t="shared" si="73"/>
        <v>0</v>
      </c>
      <c r="B356" s="169"/>
      <c r="C356" s="17"/>
      <c r="D356" s="128"/>
      <c r="E356" s="128" t="str">
        <f t="shared" si="68"/>
        <v>Por definir</v>
      </c>
      <c r="F356" s="129"/>
      <c r="G356" s="129"/>
      <c r="H356" s="129"/>
      <c r="I356" s="128"/>
      <c r="J356" s="130"/>
      <c r="K356" s="16">
        <v>0</v>
      </c>
      <c r="L356" s="131">
        <f t="shared" si="69"/>
        <v>0</v>
      </c>
      <c r="M356" s="131">
        <f t="shared" si="70"/>
        <v>0</v>
      </c>
      <c r="N356" s="132">
        <f t="shared" si="71"/>
        <v>0</v>
      </c>
      <c r="O356" s="133">
        <f t="shared" si="72"/>
        <v>0</v>
      </c>
      <c r="P356" s="163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3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4"/>
      <c r="AO356" s="4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4"/>
    </row>
    <row r="357" spans="1:64" hidden="1" x14ac:dyDescent="0.2">
      <c r="A357" s="15">
        <f t="shared" si="73"/>
        <v>0</v>
      </c>
      <c r="B357" s="169"/>
      <c r="C357" s="17"/>
      <c r="D357" s="128"/>
      <c r="E357" s="128" t="str">
        <f t="shared" si="68"/>
        <v>Por definir</v>
      </c>
      <c r="F357" s="129"/>
      <c r="G357" s="129"/>
      <c r="H357" s="129"/>
      <c r="I357" s="128"/>
      <c r="J357" s="130"/>
      <c r="K357" s="16">
        <v>0</v>
      </c>
      <c r="L357" s="131">
        <f t="shared" si="69"/>
        <v>0</v>
      </c>
      <c r="M357" s="131">
        <f t="shared" si="70"/>
        <v>0</v>
      </c>
      <c r="N357" s="132">
        <f t="shared" si="71"/>
        <v>0</v>
      </c>
      <c r="O357" s="133">
        <f t="shared" si="72"/>
        <v>0</v>
      </c>
      <c r="P357" s="163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3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4"/>
      <c r="AO357" s="4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4"/>
    </row>
    <row r="358" spans="1:64" hidden="1" x14ac:dyDescent="0.2">
      <c r="A358" s="15">
        <f t="shared" si="73"/>
        <v>0</v>
      </c>
      <c r="B358" s="169"/>
      <c r="C358" s="17"/>
      <c r="D358" s="128"/>
      <c r="E358" s="128" t="str">
        <f t="shared" si="68"/>
        <v>Por definir</v>
      </c>
      <c r="F358" s="129"/>
      <c r="G358" s="129"/>
      <c r="H358" s="129"/>
      <c r="I358" s="128"/>
      <c r="J358" s="130"/>
      <c r="K358" s="16">
        <v>0</v>
      </c>
      <c r="L358" s="131">
        <f t="shared" si="69"/>
        <v>0</v>
      </c>
      <c r="M358" s="131">
        <f t="shared" si="70"/>
        <v>0</v>
      </c>
      <c r="N358" s="132">
        <f t="shared" si="71"/>
        <v>0</v>
      </c>
      <c r="O358" s="133">
        <f t="shared" si="72"/>
        <v>0</v>
      </c>
      <c r="P358" s="163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3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4"/>
      <c r="AO358" s="4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4"/>
    </row>
    <row r="359" spans="1:64" hidden="1" x14ac:dyDescent="0.2">
      <c r="A359" s="15">
        <f t="shared" si="73"/>
        <v>0</v>
      </c>
      <c r="B359" s="169"/>
      <c r="C359" s="17"/>
      <c r="D359" s="128"/>
      <c r="E359" s="128" t="str">
        <f t="shared" si="68"/>
        <v>Por definir</v>
      </c>
      <c r="F359" s="129"/>
      <c r="G359" s="129"/>
      <c r="H359" s="129"/>
      <c r="I359" s="128"/>
      <c r="J359" s="130"/>
      <c r="K359" s="16">
        <v>0</v>
      </c>
      <c r="L359" s="131">
        <f t="shared" si="69"/>
        <v>0</v>
      </c>
      <c r="M359" s="131">
        <f t="shared" si="70"/>
        <v>0</v>
      </c>
      <c r="N359" s="132">
        <f t="shared" si="71"/>
        <v>0</v>
      </c>
      <c r="O359" s="133">
        <f t="shared" si="72"/>
        <v>0</v>
      </c>
      <c r="P359" s="163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3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4"/>
      <c r="AO359" s="4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4"/>
    </row>
    <row r="360" spans="1:64" hidden="1" x14ac:dyDescent="0.2">
      <c r="A360" s="15">
        <f t="shared" si="73"/>
        <v>0</v>
      </c>
      <c r="B360" s="169"/>
      <c r="C360" s="17"/>
      <c r="D360" s="128"/>
      <c r="E360" s="128" t="str">
        <f t="shared" si="68"/>
        <v>Por definir</v>
      </c>
      <c r="F360" s="129"/>
      <c r="G360" s="129"/>
      <c r="H360" s="129"/>
      <c r="I360" s="128"/>
      <c r="J360" s="130"/>
      <c r="K360" s="16">
        <v>0</v>
      </c>
      <c r="L360" s="131">
        <f t="shared" si="69"/>
        <v>0</v>
      </c>
      <c r="M360" s="131">
        <f t="shared" si="70"/>
        <v>0</v>
      </c>
      <c r="N360" s="132">
        <f t="shared" si="71"/>
        <v>0</v>
      </c>
      <c r="O360" s="133">
        <f t="shared" si="72"/>
        <v>0</v>
      </c>
      <c r="P360" s="163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3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4"/>
      <c r="AO360" s="4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4"/>
    </row>
    <row r="361" spans="1:64" hidden="1" x14ac:dyDescent="0.2">
      <c r="A361" s="15">
        <f t="shared" si="73"/>
        <v>0</v>
      </c>
      <c r="B361" s="169"/>
      <c r="C361" s="17"/>
      <c r="D361" s="128"/>
      <c r="E361" s="128" t="str">
        <f t="shared" si="68"/>
        <v>Por definir</v>
      </c>
      <c r="F361" s="129"/>
      <c r="G361" s="129"/>
      <c r="H361" s="129"/>
      <c r="I361" s="128"/>
      <c r="J361" s="130"/>
      <c r="K361" s="16">
        <v>0</v>
      </c>
      <c r="L361" s="131">
        <f t="shared" si="69"/>
        <v>0</v>
      </c>
      <c r="M361" s="131">
        <f t="shared" si="70"/>
        <v>0</v>
      </c>
      <c r="N361" s="132">
        <f t="shared" si="71"/>
        <v>0</v>
      </c>
      <c r="O361" s="133">
        <f t="shared" si="72"/>
        <v>0</v>
      </c>
      <c r="P361" s="163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3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4"/>
      <c r="AO361" s="4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4"/>
    </row>
    <row r="362" spans="1:64" hidden="1" x14ac:dyDescent="0.2">
      <c r="A362" s="15">
        <f t="shared" si="73"/>
        <v>0</v>
      </c>
      <c r="B362" s="169"/>
      <c r="C362" s="17"/>
      <c r="D362" s="128"/>
      <c r="E362" s="128" t="str">
        <f t="shared" si="68"/>
        <v>Por definir</v>
      </c>
      <c r="F362" s="129"/>
      <c r="G362" s="129"/>
      <c r="H362" s="129"/>
      <c r="I362" s="128"/>
      <c r="J362" s="130"/>
      <c r="K362" s="16">
        <v>0</v>
      </c>
      <c r="L362" s="131">
        <f t="shared" si="69"/>
        <v>0</v>
      </c>
      <c r="M362" s="131">
        <f t="shared" si="70"/>
        <v>0</v>
      </c>
      <c r="N362" s="132">
        <f t="shared" si="71"/>
        <v>0</v>
      </c>
      <c r="O362" s="133">
        <f t="shared" si="72"/>
        <v>0</v>
      </c>
      <c r="P362" s="163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3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4"/>
      <c r="AO362" s="4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4"/>
    </row>
    <row r="363" spans="1:64" hidden="1" x14ac:dyDescent="0.2">
      <c r="A363" s="15">
        <f t="shared" si="73"/>
        <v>0</v>
      </c>
      <c r="B363" s="169"/>
      <c r="C363" s="17"/>
      <c r="D363" s="128"/>
      <c r="E363" s="128" t="str">
        <f t="shared" si="68"/>
        <v>Por definir</v>
      </c>
      <c r="F363" s="129"/>
      <c r="G363" s="129"/>
      <c r="H363" s="129"/>
      <c r="I363" s="128"/>
      <c r="J363" s="130"/>
      <c r="K363" s="16">
        <v>0</v>
      </c>
      <c r="L363" s="131">
        <f t="shared" si="69"/>
        <v>0</v>
      </c>
      <c r="M363" s="131">
        <f t="shared" si="70"/>
        <v>0</v>
      </c>
      <c r="N363" s="132">
        <f t="shared" si="71"/>
        <v>0</v>
      </c>
      <c r="O363" s="133">
        <f t="shared" si="72"/>
        <v>0</v>
      </c>
      <c r="P363" s="163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3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4"/>
      <c r="AO363" s="4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4"/>
    </row>
    <row r="364" spans="1:64" hidden="1" x14ac:dyDescent="0.2">
      <c r="A364" s="15">
        <f t="shared" si="73"/>
        <v>0</v>
      </c>
      <c r="B364" s="169"/>
      <c r="C364" s="17"/>
      <c r="D364" s="128"/>
      <c r="E364" s="128" t="str">
        <f t="shared" si="68"/>
        <v>Por definir</v>
      </c>
      <c r="F364" s="129"/>
      <c r="G364" s="129"/>
      <c r="H364" s="129"/>
      <c r="I364" s="128"/>
      <c r="J364" s="130"/>
      <c r="K364" s="16">
        <v>0</v>
      </c>
      <c r="L364" s="131">
        <f t="shared" si="69"/>
        <v>0</v>
      </c>
      <c r="M364" s="131">
        <f t="shared" si="70"/>
        <v>0</v>
      </c>
      <c r="N364" s="132">
        <f t="shared" si="71"/>
        <v>0</v>
      </c>
      <c r="O364" s="133">
        <f t="shared" si="72"/>
        <v>0</v>
      </c>
      <c r="P364" s="163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3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4"/>
      <c r="AO364" s="4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4"/>
    </row>
    <row r="365" spans="1:64" hidden="1" x14ac:dyDescent="0.2">
      <c r="A365" s="15">
        <f t="shared" si="73"/>
        <v>0</v>
      </c>
      <c r="B365" s="169"/>
      <c r="C365" s="17"/>
      <c r="D365" s="128"/>
      <c r="E365" s="128" t="str">
        <f t="shared" si="68"/>
        <v>Por definir</v>
      </c>
      <c r="F365" s="129"/>
      <c r="G365" s="129"/>
      <c r="H365" s="129"/>
      <c r="I365" s="128"/>
      <c r="J365" s="130"/>
      <c r="K365" s="16">
        <v>0</v>
      </c>
      <c r="L365" s="131">
        <f t="shared" si="69"/>
        <v>0</v>
      </c>
      <c r="M365" s="131">
        <f t="shared" si="70"/>
        <v>0</v>
      </c>
      <c r="N365" s="132">
        <f t="shared" si="71"/>
        <v>0</v>
      </c>
      <c r="O365" s="133">
        <f t="shared" si="72"/>
        <v>0</v>
      </c>
      <c r="P365" s="163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3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4"/>
      <c r="AO365" s="4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4"/>
    </row>
    <row r="366" spans="1:64" hidden="1" x14ac:dyDescent="0.2">
      <c r="A366" s="15">
        <f t="shared" si="73"/>
        <v>0</v>
      </c>
      <c r="B366" s="169"/>
      <c r="C366" s="17"/>
      <c r="D366" s="128"/>
      <c r="E366" s="128" t="str">
        <f t="shared" si="68"/>
        <v>Por definir</v>
      </c>
      <c r="F366" s="129"/>
      <c r="G366" s="129"/>
      <c r="H366" s="129"/>
      <c r="I366" s="128"/>
      <c r="J366" s="130"/>
      <c r="K366" s="16">
        <v>0</v>
      </c>
      <c r="L366" s="131">
        <f t="shared" si="69"/>
        <v>0</v>
      </c>
      <c r="M366" s="131">
        <f t="shared" si="70"/>
        <v>0</v>
      </c>
      <c r="N366" s="132">
        <f t="shared" si="71"/>
        <v>0</v>
      </c>
      <c r="O366" s="133">
        <f t="shared" si="72"/>
        <v>0</v>
      </c>
      <c r="P366" s="163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3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4"/>
      <c r="AO366" s="4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4"/>
    </row>
    <row r="367" spans="1:64" hidden="1" x14ac:dyDescent="0.2">
      <c r="A367" s="15">
        <f t="shared" si="73"/>
        <v>0</v>
      </c>
      <c r="B367" s="169"/>
      <c r="C367" s="17"/>
      <c r="D367" s="128"/>
      <c r="E367" s="128" t="str">
        <f t="shared" si="68"/>
        <v>Por definir</v>
      </c>
      <c r="F367" s="129"/>
      <c r="G367" s="129"/>
      <c r="H367" s="129"/>
      <c r="I367" s="128"/>
      <c r="J367" s="130"/>
      <c r="K367" s="16">
        <v>0</v>
      </c>
      <c r="L367" s="131">
        <f t="shared" si="69"/>
        <v>0</v>
      </c>
      <c r="M367" s="131">
        <f t="shared" si="70"/>
        <v>0</v>
      </c>
      <c r="N367" s="132">
        <f t="shared" si="71"/>
        <v>0</v>
      </c>
      <c r="O367" s="133">
        <f t="shared" si="72"/>
        <v>0</v>
      </c>
      <c r="P367" s="163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3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4"/>
      <c r="AO367" s="4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4"/>
    </row>
    <row r="368" spans="1:64" hidden="1" x14ac:dyDescent="0.2">
      <c r="A368" s="15">
        <f t="shared" si="73"/>
        <v>0</v>
      </c>
      <c r="B368" s="169"/>
      <c r="C368" s="17"/>
      <c r="D368" s="128"/>
      <c r="E368" s="128" t="str">
        <f t="shared" si="68"/>
        <v>Por definir</v>
      </c>
      <c r="F368" s="129"/>
      <c r="G368" s="129"/>
      <c r="H368" s="129"/>
      <c r="I368" s="128"/>
      <c r="J368" s="130"/>
      <c r="K368" s="16">
        <v>0</v>
      </c>
      <c r="L368" s="131">
        <f t="shared" si="69"/>
        <v>0</v>
      </c>
      <c r="M368" s="131">
        <f t="shared" si="70"/>
        <v>0</v>
      </c>
      <c r="N368" s="132">
        <f t="shared" si="71"/>
        <v>0</v>
      </c>
      <c r="O368" s="133">
        <f t="shared" si="72"/>
        <v>0</v>
      </c>
      <c r="P368" s="163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3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4"/>
      <c r="AO368" s="4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4"/>
    </row>
    <row r="369" spans="1:64" hidden="1" x14ac:dyDescent="0.2">
      <c r="A369" s="15">
        <f t="shared" si="73"/>
        <v>0</v>
      </c>
      <c r="B369" s="169"/>
      <c r="C369" s="17"/>
      <c r="D369" s="128"/>
      <c r="E369" s="128" t="str">
        <f t="shared" si="68"/>
        <v>Por definir</v>
      </c>
      <c r="F369" s="129"/>
      <c r="G369" s="129"/>
      <c r="H369" s="129"/>
      <c r="I369" s="128"/>
      <c r="J369" s="130"/>
      <c r="K369" s="16">
        <v>0</v>
      </c>
      <c r="L369" s="131">
        <f t="shared" si="69"/>
        <v>0</v>
      </c>
      <c r="M369" s="131">
        <f t="shared" si="70"/>
        <v>0</v>
      </c>
      <c r="N369" s="132">
        <f t="shared" si="71"/>
        <v>0</v>
      </c>
      <c r="O369" s="133">
        <f t="shared" si="72"/>
        <v>0</v>
      </c>
      <c r="P369" s="163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3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4"/>
      <c r="AO369" s="4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4"/>
    </row>
    <row r="370" spans="1:64" hidden="1" x14ac:dyDescent="0.2">
      <c r="A370" s="15">
        <f t="shared" si="73"/>
        <v>0</v>
      </c>
      <c r="B370" s="169"/>
      <c r="C370" s="17"/>
      <c r="D370" s="128"/>
      <c r="E370" s="128" t="str">
        <f t="shared" si="68"/>
        <v>Por definir</v>
      </c>
      <c r="F370" s="129"/>
      <c r="G370" s="129"/>
      <c r="H370" s="129"/>
      <c r="I370" s="128"/>
      <c r="J370" s="130"/>
      <c r="K370" s="16">
        <v>0</v>
      </c>
      <c r="L370" s="131">
        <f t="shared" si="69"/>
        <v>0</v>
      </c>
      <c r="M370" s="131">
        <f t="shared" si="70"/>
        <v>0</v>
      </c>
      <c r="N370" s="132">
        <f t="shared" si="71"/>
        <v>0</v>
      </c>
      <c r="O370" s="133">
        <f t="shared" si="72"/>
        <v>0</v>
      </c>
      <c r="P370" s="163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3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4"/>
      <c r="AO370" s="4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4"/>
    </row>
    <row r="371" spans="1:64" hidden="1" x14ac:dyDescent="0.2">
      <c r="A371" s="15">
        <f t="shared" si="73"/>
        <v>0</v>
      </c>
      <c r="B371" s="169"/>
      <c r="C371" s="17"/>
      <c r="D371" s="128"/>
      <c r="E371" s="128" t="str">
        <f t="shared" si="68"/>
        <v>Por definir</v>
      </c>
      <c r="F371" s="129"/>
      <c r="G371" s="129"/>
      <c r="H371" s="129"/>
      <c r="I371" s="128"/>
      <c r="J371" s="130"/>
      <c r="K371" s="16">
        <v>0</v>
      </c>
      <c r="L371" s="131">
        <f t="shared" si="69"/>
        <v>0</v>
      </c>
      <c r="M371" s="131">
        <f t="shared" si="70"/>
        <v>0</v>
      </c>
      <c r="N371" s="132">
        <f t="shared" si="71"/>
        <v>0</v>
      </c>
      <c r="O371" s="133">
        <f t="shared" si="72"/>
        <v>0</v>
      </c>
      <c r="P371" s="163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3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4"/>
      <c r="AO371" s="4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4"/>
    </row>
    <row r="372" spans="1:64" hidden="1" x14ac:dyDescent="0.2">
      <c r="A372" s="15">
        <f t="shared" si="73"/>
        <v>0</v>
      </c>
      <c r="B372" s="169"/>
      <c r="C372" s="17"/>
      <c r="D372" s="128"/>
      <c r="E372" s="128" t="str">
        <f t="shared" si="68"/>
        <v>Por definir</v>
      </c>
      <c r="F372" s="129"/>
      <c r="G372" s="129"/>
      <c r="H372" s="129"/>
      <c r="I372" s="128"/>
      <c r="J372" s="130"/>
      <c r="K372" s="16">
        <v>0</v>
      </c>
      <c r="L372" s="131">
        <f t="shared" si="69"/>
        <v>0</v>
      </c>
      <c r="M372" s="131">
        <f t="shared" si="70"/>
        <v>0</v>
      </c>
      <c r="N372" s="132">
        <f t="shared" si="71"/>
        <v>0</v>
      </c>
      <c r="O372" s="133">
        <f t="shared" si="72"/>
        <v>0</v>
      </c>
      <c r="P372" s="163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3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4"/>
      <c r="AO372" s="4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4"/>
    </row>
    <row r="373" spans="1:64" hidden="1" x14ac:dyDescent="0.2">
      <c r="A373" s="15">
        <f t="shared" si="73"/>
        <v>0</v>
      </c>
      <c r="B373" s="169"/>
      <c r="C373" s="17"/>
      <c r="D373" s="128"/>
      <c r="E373" s="128" t="str">
        <f t="shared" si="68"/>
        <v>Por definir</v>
      </c>
      <c r="F373" s="129"/>
      <c r="G373" s="129"/>
      <c r="H373" s="129"/>
      <c r="I373" s="128"/>
      <c r="J373" s="130"/>
      <c r="K373" s="16">
        <v>0</v>
      </c>
      <c r="L373" s="131">
        <f t="shared" si="69"/>
        <v>0</v>
      </c>
      <c r="M373" s="131">
        <f t="shared" si="70"/>
        <v>0</v>
      </c>
      <c r="N373" s="132">
        <f t="shared" si="71"/>
        <v>0</v>
      </c>
      <c r="O373" s="133">
        <f t="shared" si="72"/>
        <v>0</v>
      </c>
      <c r="P373" s="163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3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4"/>
      <c r="AO373" s="4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4"/>
    </row>
    <row r="374" spans="1:64" hidden="1" x14ac:dyDescent="0.2">
      <c r="A374" s="15">
        <f t="shared" si="73"/>
        <v>0</v>
      </c>
      <c r="B374" s="169"/>
      <c r="C374" s="17"/>
      <c r="D374" s="128"/>
      <c r="E374" s="128" t="str">
        <f t="shared" si="68"/>
        <v>Por definir</v>
      </c>
      <c r="F374" s="129"/>
      <c r="G374" s="129"/>
      <c r="H374" s="129"/>
      <c r="I374" s="128"/>
      <c r="J374" s="130"/>
      <c r="K374" s="16">
        <v>0</v>
      </c>
      <c r="L374" s="131">
        <f t="shared" si="69"/>
        <v>0</v>
      </c>
      <c r="M374" s="131">
        <f t="shared" si="70"/>
        <v>0</v>
      </c>
      <c r="N374" s="132">
        <f t="shared" si="71"/>
        <v>0</v>
      </c>
      <c r="O374" s="133">
        <f t="shared" si="72"/>
        <v>0</v>
      </c>
      <c r="P374" s="163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3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4"/>
      <c r="AO374" s="4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4"/>
    </row>
    <row r="375" spans="1:64" hidden="1" x14ac:dyDescent="0.2">
      <c r="A375" s="15">
        <f t="shared" si="73"/>
        <v>0</v>
      </c>
      <c r="B375" s="169"/>
      <c r="C375" s="17"/>
      <c r="D375" s="128"/>
      <c r="E375" s="128" t="str">
        <f t="shared" si="68"/>
        <v>Por definir</v>
      </c>
      <c r="F375" s="129"/>
      <c r="G375" s="129"/>
      <c r="H375" s="129"/>
      <c r="I375" s="128"/>
      <c r="J375" s="130"/>
      <c r="K375" s="16">
        <v>0</v>
      </c>
      <c r="L375" s="131">
        <f t="shared" si="69"/>
        <v>0</v>
      </c>
      <c r="M375" s="131">
        <f t="shared" si="70"/>
        <v>0</v>
      </c>
      <c r="N375" s="132">
        <f t="shared" si="71"/>
        <v>0</v>
      </c>
      <c r="O375" s="133">
        <f t="shared" si="72"/>
        <v>0</v>
      </c>
      <c r="P375" s="163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3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4"/>
      <c r="AO375" s="4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4"/>
    </row>
    <row r="376" spans="1:64" hidden="1" x14ac:dyDescent="0.2">
      <c r="A376" s="15">
        <f t="shared" si="73"/>
        <v>0</v>
      </c>
      <c r="B376" s="169"/>
      <c r="C376" s="17"/>
      <c r="D376" s="128"/>
      <c r="E376" s="128" t="str">
        <f t="shared" si="68"/>
        <v>Por definir</v>
      </c>
      <c r="F376" s="129"/>
      <c r="G376" s="129"/>
      <c r="H376" s="129"/>
      <c r="I376" s="128"/>
      <c r="J376" s="130"/>
      <c r="K376" s="16">
        <v>0</v>
      </c>
      <c r="L376" s="131">
        <f t="shared" si="69"/>
        <v>0</v>
      </c>
      <c r="M376" s="131">
        <f t="shared" si="70"/>
        <v>0</v>
      </c>
      <c r="N376" s="132">
        <f t="shared" si="71"/>
        <v>0</v>
      </c>
      <c r="O376" s="133">
        <f t="shared" si="72"/>
        <v>0</v>
      </c>
      <c r="P376" s="163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3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4"/>
      <c r="AO376" s="4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4"/>
    </row>
    <row r="377" spans="1:64" ht="15" hidden="1" thickBot="1" x14ac:dyDescent="0.25">
      <c r="A377" s="15">
        <f t="shared" si="73"/>
        <v>0</v>
      </c>
      <c r="B377" s="171"/>
      <c r="C377" s="17"/>
      <c r="D377" s="128"/>
      <c r="E377" s="128" t="str">
        <f t="shared" si="68"/>
        <v>Por definir</v>
      </c>
      <c r="F377" s="129"/>
      <c r="G377" s="129"/>
      <c r="H377" s="129"/>
      <c r="I377" s="128"/>
      <c r="J377" s="130"/>
      <c r="K377" s="16">
        <v>0</v>
      </c>
      <c r="L377" s="131">
        <f t="shared" si="69"/>
        <v>0</v>
      </c>
      <c r="M377" s="131">
        <f t="shared" si="70"/>
        <v>0</v>
      </c>
      <c r="N377" s="132">
        <f t="shared" si="71"/>
        <v>0</v>
      </c>
      <c r="O377" s="133">
        <f t="shared" si="72"/>
        <v>0</v>
      </c>
      <c r="P377" s="165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5"/>
      <c r="AC377" s="166"/>
      <c r="AD377" s="166"/>
      <c r="AE377" s="166"/>
      <c r="AF377" s="166"/>
      <c r="AG377" s="166"/>
      <c r="AH377" s="166"/>
      <c r="AI377" s="166"/>
      <c r="AJ377" s="166"/>
      <c r="AK377" s="166"/>
      <c r="AL377" s="166"/>
      <c r="AM377" s="167"/>
      <c r="AO377" s="4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4"/>
    </row>
    <row r="379" spans="1:64" x14ac:dyDescent="0.2">
      <c r="AC379" s="37"/>
    </row>
    <row r="380" spans="1:64" x14ac:dyDescent="0.2">
      <c r="AC380" s="37"/>
    </row>
    <row r="381" spans="1:64" x14ac:dyDescent="0.2">
      <c r="AC381" s="31"/>
    </row>
    <row r="383" spans="1:64" x14ac:dyDescent="0.2">
      <c r="AA383" s="37"/>
    </row>
  </sheetData>
  <autoFilter ref="B27:AM377" xr:uid="{74AC6BA7-2B35-4CFD-8B7F-61A7A0CBDB5C}">
    <filterColumn colId="2">
      <filters>
        <filter val="Perú"/>
      </filters>
    </filterColumn>
    <filterColumn colId="8">
      <filters>
        <filter val="100%"/>
      </filters>
    </filterColumn>
    <sortState xmlns:xlrd2="http://schemas.microsoft.com/office/spreadsheetml/2017/richdata2" ref="B30:AM99">
      <sortCondition ref="H27:H377"/>
    </sortState>
  </autoFilter>
  <conditionalFormatting sqref="J28:J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6:AM26">
    <cfRule type="iconSet" priority="2">
      <iconSet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3094-EC59-4113-A3EC-C86813654E54}">
  <sheetPr>
    <tabColor rgb="FF00B0F0"/>
  </sheetPr>
  <dimension ref="A1:BE336"/>
  <sheetViews>
    <sheetView showGridLines="0" zoomScale="42" zoomScaleNormal="70" workbookViewId="0">
      <selection activeCell="E45" sqref="E45"/>
    </sheetView>
  </sheetViews>
  <sheetFormatPr baseColWidth="10" defaultColWidth="11.5" defaultRowHeight="14" outlineLevelCol="1" x14ac:dyDescent="0.2"/>
  <cols>
    <col min="1" max="1" width="11.5" style="15"/>
    <col min="2" max="2" width="26.1640625" style="15" bestFit="1" customWidth="1"/>
    <col min="3" max="3" width="59.33203125" style="15" customWidth="1"/>
    <col min="4" max="4" width="40.83203125" style="17" bestFit="1" customWidth="1"/>
    <col min="5" max="5" width="23.83203125" style="17" customWidth="1"/>
    <col min="6" max="6" width="78.5" style="175" bestFit="1" customWidth="1"/>
    <col min="7" max="7" width="19.33203125" style="15" customWidth="1"/>
    <col min="8" max="8" width="15.33203125" style="17" customWidth="1"/>
    <col min="9" max="9" width="23.33203125" style="17" customWidth="1" outlineLevel="1"/>
    <col min="10" max="10" width="14" style="21" customWidth="1" outlineLevel="1"/>
    <col min="11" max="11" width="16.33203125" style="15" customWidth="1" outlineLevel="1"/>
    <col min="12" max="16" width="16.5" style="15" customWidth="1" outlineLevel="1"/>
    <col min="17" max="23" width="14" style="15" customWidth="1" outlineLevel="1"/>
    <col min="24" max="24" width="14" style="15" customWidth="1"/>
    <col min="25" max="35" width="14" style="15" customWidth="1" outlineLevel="1"/>
    <col min="36" max="36" width="11.5" style="15" bestFit="1"/>
    <col min="37" max="38" width="2.5" style="15" customWidth="1"/>
    <col min="39" max="40" width="11.5" style="15" bestFit="1"/>
    <col min="41" max="41" width="20.5" style="15" customWidth="1"/>
    <col min="42" max="47" width="11.5" style="15" bestFit="1"/>
    <col min="48" max="49" width="16.33203125" style="15" customWidth="1"/>
    <col min="50" max="52" width="11.5" style="15" bestFit="1"/>
    <col min="53" max="53" width="23.33203125" style="15" customWidth="1"/>
    <col min="54" max="54" width="16.1640625" style="15" customWidth="1"/>
    <col min="55" max="55" width="4.6640625" style="15" customWidth="1"/>
    <col min="56" max="56" width="2.5" style="15" customWidth="1"/>
    <col min="57" max="57" width="11.5" style="15" bestFit="1"/>
    <col min="58" max="16384" width="11.5" style="15"/>
  </cols>
  <sheetData>
    <row r="1" spans="2:56" s="1" customFormat="1" x14ac:dyDescent="0.2">
      <c r="D1" s="2"/>
      <c r="E1" s="2"/>
      <c r="F1" s="172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K1" s="4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4"/>
    </row>
    <row r="2" spans="2:56" s="6" customFormat="1" x14ac:dyDescent="0.2">
      <c r="D2" s="7"/>
      <c r="E2" s="7"/>
      <c r="F2" s="220" t="s">
        <v>935</v>
      </c>
      <c r="G2" s="8"/>
      <c r="H2" s="9"/>
      <c r="I2" s="9"/>
      <c r="J2" s="9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K2" s="4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4"/>
    </row>
    <row r="3" spans="2:56" s="6" customFormat="1" x14ac:dyDescent="0.2">
      <c r="D3" s="7"/>
      <c r="E3" s="7"/>
      <c r="F3" s="173" t="s">
        <v>936</v>
      </c>
      <c r="G3" s="9"/>
      <c r="H3" s="9"/>
      <c r="I3" s="9"/>
      <c r="J3" s="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K3" s="4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4"/>
    </row>
    <row r="4" spans="2:56" s="11" customFormat="1" ht="15" thickBot="1" x14ac:dyDescent="0.25">
      <c r="D4" s="12"/>
      <c r="E4" s="12"/>
      <c r="F4" s="174"/>
      <c r="G4" s="13"/>
      <c r="H4" s="13"/>
      <c r="I4" s="13"/>
      <c r="J4" s="13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K4" s="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4"/>
    </row>
    <row r="5" spans="2:56" x14ac:dyDescent="0.2">
      <c r="D5" s="16"/>
      <c r="E5" s="16"/>
      <c r="G5" s="17"/>
      <c r="J5" s="17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K5" s="4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4"/>
    </row>
    <row r="6" spans="2:56" x14ac:dyDescent="0.2">
      <c r="D6" s="16"/>
      <c r="E6" s="16"/>
      <c r="F6" s="16"/>
      <c r="G6" s="16"/>
      <c r="H6" s="16"/>
      <c r="J6" s="17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21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K6" s="4"/>
      <c r="AL6" s="18"/>
      <c r="AM6" s="229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1"/>
      <c r="BC6" s="18"/>
      <c r="BD6" s="4"/>
    </row>
    <row r="7" spans="2:56" ht="22" x14ac:dyDescent="0.3">
      <c r="D7" s="16"/>
      <c r="E7" s="16"/>
      <c r="F7" s="16"/>
      <c r="G7" s="16"/>
      <c r="H7" s="16"/>
      <c r="J7" s="2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1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K7" s="4"/>
      <c r="AL7" s="18"/>
      <c r="AM7" s="232"/>
      <c r="AN7" s="233"/>
      <c r="AO7" s="233"/>
      <c r="AP7" s="233"/>
      <c r="AQ7" s="233"/>
      <c r="AR7" s="233"/>
      <c r="AS7" s="233"/>
      <c r="AT7" s="233"/>
      <c r="AU7" s="241" t="s">
        <v>1006</v>
      </c>
      <c r="AV7" s="233"/>
      <c r="AW7" s="233"/>
      <c r="AX7" s="233"/>
      <c r="AY7" s="233"/>
      <c r="AZ7" s="234"/>
      <c r="BA7" s="234"/>
      <c r="BB7" s="235"/>
      <c r="BC7" s="18"/>
      <c r="BD7" s="4"/>
    </row>
    <row r="8" spans="2:56" x14ac:dyDescent="0.2">
      <c r="B8" s="31"/>
      <c r="C8" s="31"/>
      <c r="F8" s="17"/>
      <c r="G8" s="17"/>
      <c r="J8" s="17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21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K8" s="4"/>
      <c r="AL8" s="18"/>
      <c r="AM8" s="232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4"/>
      <c r="BA8" s="234"/>
      <c r="BB8" s="235"/>
      <c r="BC8" s="18"/>
      <c r="BD8" s="4"/>
    </row>
    <row r="9" spans="2:56" ht="15" thickBot="1" x14ac:dyDescent="0.25">
      <c r="B9" s="31"/>
      <c r="C9" s="37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21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K9" s="4"/>
      <c r="AL9" s="18"/>
      <c r="AM9" s="232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4"/>
      <c r="BA9" s="234"/>
      <c r="BB9" s="235"/>
      <c r="BC9" s="18"/>
      <c r="BD9" s="4"/>
    </row>
    <row r="10" spans="2:56" s="42" customFormat="1" ht="29" thickBot="1" x14ac:dyDescent="0.25">
      <c r="D10" s="43" t="s">
        <v>661</v>
      </c>
      <c r="E10" s="43" t="s">
        <v>661</v>
      </c>
      <c r="F10" s="221" t="s">
        <v>662</v>
      </c>
      <c r="G10" s="44" t="s">
        <v>663</v>
      </c>
      <c r="H10" s="45" t="s">
        <v>664</v>
      </c>
      <c r="I10" s="46" t="s">
        <v>952</v>
      </c>
      <c r="J10" s="47"/>
      <c r="K10" s="34" t="s">
        <v>666</v>
      </c>
      <c r="L10" s="48">
        <v>44927</v>
      </c>
      <c r="M10" s="49">
        <v>44958</v>
      </c>
      <c r="N10" s="49">
        <v>44986</v>
      </c>
      <c r="O10" s="49">
        <v>45017</v>
      </c>
      <c r="P10" s="49">
        <v>45047</v>
      </c>
      <c r="Q10" s="49">
        <v>45078</v>
      </c>
      <c r="R10" s="49">
        <v>45108</v>
      </c>
      <c r="S10" s="49">
        <v>45139</v>
      </c>
      <c r="T10" s="49">
        <v>45170</v>
      </c>
      <c r="U10" s="49">
        <v>45200</v>
      </c>
      <c r="V10" s="49">
        <v>45231</v>
      </c>
      <c r="W10" s="49">
        <v>45261</v>
      </c>
      <c r="X10" s="48">
        <v>45292</v>
      </c>
      <c r="Y10" s="49">
        <v>45323</v>
      </c>
      <c r="Z10" s="49">
        <v>45352</v>
      </c>
      <c r="AA10" s="49">
        <v>45383</v>
      </c>
      <c r="AB10" s="49">
        <v>45413</v>
      </c>
      <c r="AC10" s="49">
        <v>45444</v>
      </c>
      <c r="AD10" s="49">
        <v>45474</v>
      </c>
      <c r="AE10" s="49">
        <v>45505</v>
      </c>
      <c r="AF10" s="49">
        <v>45536</v>
      </c>
      <c r="AG10" s="49">
        <v>45566</v>
      </c>
      <c r="AH10" s="49">
        <v>45597</v>
      </c>
      <c r="AI10" s="50">
        <v>45627</v>
      </c>
      <c r="AK10" s="51"/>
      <c r="AL10" s="52"/>
      <c r="AM10" s="236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/>
      <c r="AY10" s="234"/>
      <c r="AZ10" s="234"/>
      <c r="BA10" s="234"/>
      <c r="BB10" s="237"/>
      <c r="BC10" s="52"/>
      <c r="BD10" s="51"/>
    </row>
    <row r="11" spans="2:56" s="42" customFormat="1" ht="15" thickBot="1" x14ac:dyDescent="0.25">
      <c r="D11" s="59" t="s">
        <v>953</v>
      </c>
      <c r="E11" s="59" t="s">
        <v>953</v>
      </c>
      <c r="F11" s="222"/>
      <c r="G11" s="60" t="s">
        <v>940</v>
      </c>
      <c r="H11" s="61">
        <f>+$G$6</f>
        <v>0</v>
      </c>
      <c r="I11" s="61"/>
      <c r="J11" s="62"/>
      <c r="K11" s="63">
        <f>+SUM(K12:K14)</f>
        <v>3880170.5</v>
      </c>
      <c r="L11" s="66">
        <f t="shared" ref="L11:AC11" si="0">+SUM(L15:L19)</f>
        <v>0</v>
      </c>
      <c r="M11" s="67">
        <f t="shared" si="0"/>
        <v>0</v>
      </c>
      <c r="N11" s="67">
        <f t="shared" si="0"/>
        <v>0</v>
      </c>
      <c r="O11" s="67">
        <f t="shared" si="0"/>
        <v>0</v>
      </c>
      <c r="P11" s="67">
        <f t="shared" si="0"/>
        <v>0</v>
      </c>
      <c r="Q11" s="67">
        <f t="shared" si="0"/>
        <v>0</v>
      </c>
      <c r="R11" s="67">
        <f t="shared" si="0"/>
        <v>0</v>
      </c>
      <c r="S11" s="67">
        <f t="shared" si="0"/>
        <v>0</v>
      </c>
      <c r="T11" s="67">
        <f t="shared" si="0"/>
        <v>0</v>
      </c>
      <c r="U11" s="67">
        <f t="shared" si="0"/>
        <v>0</v>
      </c>
      <c r="V11" s="67">
        <f t="shared" si="0"/>
        <v>0</v>
      </c>
      <c r="W11" s="67">
        <f t="shared" si="0"/>
        <v>0</v>
      </c>
      <c r="X11" s="226">
        <f>+X13+X12+X14</f>
        <v>886424.16666666674</v>
      </c>
      <c r="Y11" s="227">
        <f>+SUM(Y15:Y19)</f>
        <v>0</v>
      </c>
      <c r="Z11" s="227">
        <f t="shared" si="0"/>
        <v>0</v>
      </c>
      <c r="AA11" s="227">
        <f t="shared" si="0"/>
        <v>0</v>
      </c>
      <c r="AB11" s="227">
        <f t="shared" si="0"/>
        <v>0</v>
      </c>
      <c r="AC11" s="227">
        <f t="shared" si="0"/>
        <v>0</v>
      </c>
      <c r="AD11" s="227">
        <f t="shared" ref="AD11:AI11" si="1">+SUM(AD15:AD19)</f>
        <v>0</v>
      </c>
      <c r="AE11" s="227">
        <f t="shared" si="1"/>
        <v>0</v>
      </c>
      <c r="AF11" s="227">
        <f t="shared" si="1"/>
        <v>0</v>
      </c>
      <c r="AG11" s="227">
        <f t="shared" si="1"/>
        <v>0</v>
      </c>
      <c r="AH11" s="227">
        <f t="shared" si="1"/>
        <v>0</v>
      </c>
      <c r="AI11" s="228">
        <f t="shared" si="1"/>
        <v>0</v>
      </c>
      <c r="AK11" s="51"/>
      <c r="AL11" s="52"/>
      <c r="AM11" s="236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  <c r="AZ11" s="234"/>
      <c r="BA11" s="234"/>
      <c r="BB11" s="237"/>
      <c r="BC11" s="52"/>
      <c r="BD11" s="51"/>
    </row>
    <row r="12" spans="2:56" s="42" customFormat="1" x14ac:dyDescent="0.2">
      <c r="D12" s="59" t="s">
        <v>954</v>
      </c>
      <c r="E12" s="59" t="s">
        <v>954</v>
      </c>
      <c r="F12" s="222" t="s">
        <v>743</v>
      </c>
      <c r="G12" s="60" t="str">
        <f>+F12</f>
        <v>Finalizado</v>
      </c>
      <c r="H12" s="61" t="s">
        <v>743</v>
      </c>
      <c r="I12" s="60" t="s">
        <v>743</v>
      </c>
      <c r="J12" s="62"/>
      <c r="K12" s="63">
        <f>+SUM(X12:AI12)</f>
        <v>317858</v>
      </c>
      <c r="L12" s="69">
        <f t="shared" ref="L12:W12" si="2">+IF($G$6="Finalizado",1*SUMIFS(L$28:L$1048576,$J$28:$J$1048576,"&gt;="&amp;$G$7,$H$28:$H$1048576,"Finalizado"))+IF($G$6="Todos",1*SUMIFS(L$28:L$1048576,$J$28:$J$1048576,"&gt;="&amp;$G$7,$H$28:$H$1048576,"Finalizado"),0)</f>
        <v>0</v>
      </c>
      <c r="M12" s="70">
        <f t="shared" si="2"/>
        <v>0</v>
      </c>
      <c r="N12" s="70">
        <f t="shared" si="2"/>
        <v>0</v>
      </c>
      <c r="O12" s="70">
        <f t="shared" si="2"/>
        <v>0</v>
      </c>
      <c r="P12" s="70">
        <f t="shared" si="2"/>
        <v>0</v>
      </c>
      <c r="Q12" s="70">
        <f t="shared" si="2"/>
        <v>0</v>
      </c>
      <c r="R12" s="70">
        <f t="shared" si="2"/>
        <v>0</v>
      </c>
      <c r="S12" s="70">
        <f t="shared" si="2"/>
        <v>0</v>
      </c>
      <c r="T12" s="70">
        <f t="shared" si="2"/>
        <v>0</v>
      </c>
      <c r="U12" s="70">
        <f t="shared" si="2"/>
        <v>0</v>
      </c>
      <c r="V12" s="70">
        <f t="shared" si="2"/>
        <v>0</v>
      </c>
      <c r="W12" s="70">
        <f t="shared" si="2"/>
        <v>0</v>
      </c>
      <c r="X12" s="69">
        <f>+X35+X36+X37+X41+X51+X50+X52</f>
        <v>307858</v>
      </c>
      <c r="Y12" s="70">
        <f>+Y35+Y36+Y37+Y41+Y51+Y50+Y52</f>
        <v>10000</v>
      </c>
      <c r="Z12" s="70">
        <f t="shared" ref="Z12:AC12" si="3">+Z35+Z36+Z37+Z41</f>
        <v>0</v>
      </c>
      <c r="AA12" s="70">
        <f t="shared" si="3"/>
        <v>0</v>
      </c>
      <c r="AB12" s="70">
        <f t="shared" si="3"/>
        <v>0</v>
      </c>
      <c r="AC12" s="70">
        <f t="shared" si="3"/>
        <v>0</v>
      </c>
      <c r="AD12" s="70">
        <f t="shared" ref="AD12:AI12" si="4">+AD35+AD36+AD37+AD41</f>
        <v>0</v>
      </c>
      <c r="AE12" s="70">
        <f t="shared" si="4"/>
        <v>0</v>
      </c>
      <c r="AF12" s="70">
        <f t="shared" si="4"/>
        <v>0</v>
      </c>
      <c r="AG12" s="70">
        <f t="shared" si="4"/>
        <v>0</v>
      </c>
      <c r="AH12" s="70">
        <f t="shared" si="4"/>
        <v>0</v>
      </c>
      <c r="AI12" s="71">
        <f t="shared" si="4"/>
        <v>0</v>
      </c>
      <c r="AK12" s="51"/>
      <c r="AL12" s="52"/>
      <c r="AM12" s="236"/>
      <c r="AN12" s="234"/>
      <c r="AO12" s="234"/>
      <c r="AP12" s="234"/>
      <c r="AQ12" s="234"/>
      <c r="AR12" s="234"/>
      <c r="AS12" s="234"/>
      <c r="AT12" s="234"/>
      <c r="AU12" s="234"/>
      <c r="AV12" s="234"/>
      <c r="AW12" s="234"/>
      <c r="AX12" s="234"/>
      <c r="AY12" s="234"/>
      <c r="AZ12" s="234"/>
      <c r="BA12" s="234"/>
      <c r="BB12" s="237"/>
      <c r="BC12" s="52"/>
      <c r="BD12" s="51"/>
    </row>
    <row r="13" spans="2:56" s="42" customFormat="1" x14ac:dyDescent="0.2">
      <c r="D13" s="72" t="s">
        <v>1007</v>
      </c>
      <c r="E13" s="72" t="s">
        <v>955</v>
      </c>
      <c r="F13" s="223" t="s">
        <v>678</v>
      </c>
      <c r="G13" s="73" t="str">
        <f>+F13</f>
        <v>En Ejecución</v>
      </c>
      <c r="H13" s="74" t="s">
        <v>678</v>
      </c>
      <c r="I13" s="73" t="s">
        <v>678</v>
      </c>
      <c r="J13" s="75"/>
      <c r="K13" s="76">
        <f>+SUM(X13:AI13)</f>
        <v>1347769.7333333334</v>
      </c>
      <c r="L13" s="69">
        <f t="shared" ref="L13:W13" si="5">+L11-L14-L12</f>
        <v>0</v>
      </c>
      <c r="M13" s="70">
        <f t="shared" si="5"/>
        <v>0</v>
      </c>
      <c r="N13" s="70">
        <f t="shared" si="5"/>
        <v>0</v>
      </c>
      <c r="O13" s="70">
        <f t="shared" si="5"/>
        <v>0</v>
      </c>
      <c r="P13" s="70">
        <f t="shared" si="5"/>
        <v>0</v>
      </c>
      <c r="Q13" s="70">
        <f t="shared" si="5"/>
        <v>0</v>
      </c>
      <c r="R13" s="70">
        <f t="shared" si="5"/>
        <v>0</v>
      </c>
      <c r="S13" s="70">
        <f t="shared" si="5"/>
        <v>0</v>
      </c>
      <c r="T13" s="70">
        <f t="shared" si="5"/>
        <v>0</v>
      </c>
      <c r="U13" s="70">
        <f t="shared" si="5"/>
        <v>0</v>
      </c>
      <c r="V13" s="70">
        <f t="shared" si="5"/>
        <v>0</v>
      </c>
      <c r="W13" s="70">
        <f t="shared" si="5"/>
        <v>0</v>
      </c>
      <c r="X13" s="69">
        <f>++X29+X31+X30+X32+X33+X34+X42+X44+X45+X46+X48+X49</f>
        <v>465991.16666666669</v>
      </c>
      <c r="Y13" s="70">
        <f>++Y29+Y31+Y30+Y32+Y33+Y34+Y42+Y44+Y45+Y46+Y48+Y49</f>
        <v>763152.56666666665</v>
      </c>
      <c r="Z13" s="70">
        <f>+Z31+Z46</f>
        <v>62256.5</v>
      </c>
      <c r="AA13" s="70">
        <f t="shared" ref="AA13:AI13" si="6">+AA31+AA46</f>
        <v>56369.5</v>
      </c>
      <c r="AB13" s="70">
        <f t="shared" si="6"/>
        <v>0</v>
      </c>
      <c r="AC13" s="70">
        <f t="shared" si="6"/>
        <v>0</v>
      </c>
      <c r="AD13" s="70">
        <f t="shared" si="6"/>
        <v>0</v>
      </c>
      <c r="AE13" s="70">
        <f t="shared" si="6"/>
        <v>0</v>
      </c>
      <c r="AF13" s="70">
        <f t="shared" si="6"/>
        <v>0</v>
      </c>
      <c r="AG13" s="70">
        <f t="shared" si="6"/>
        <v>0</v>
      </c>
      <c r="AH13" s="70">
        <f t="shared" si="6"/>
        <v>0</v>
      </c>
      <c r="AI13" s="71">
        <f t="shared" si="6"/>
        <v>0</v>
      </c>
      <c r="AK13" s="51"/>
      <c r="AL13" s="52"/>
      <c r="AM13" s="236"/>
      <c r="AN13" s="234"/>
      <c r="AO13" s="234"/>
      <c r="AP13" s="234"/>
      <c r="AQ13" s="234"/>
      <c r="AR13" s="234"/>
      <c r="AS13" s="234"/>
      <c r="AT13" s="234"/>
      <c r="AU13" s="234"/>
      <c r="AV13" s="234"/>
      <c r="AW13" s="234"/>
      <c r="AX13" s="234"/>
      <c r="AY13" s="234"/>
      <c r="AZ13" s="234"/>
      <c r="BA13" s="234"/>
      <c r="BB13" s="237"/>
      <c r="BC13" s="52"/>
      <c r="BD13" s="51"/>
    </row>
    <row r="14" spans="2:56" s="42" customFormat="1" ht="15" thickBot="1" x14ac:dyDescent="0.25">
      <c r="D14" s="78" t="s">
        <v>1008</v>
      </c>
      <c r="E14" s="78" t="s">
        <v>956</v>
      </c>
      <c r="F14" s="224" t="s">
        <v>678</v>
      </c>
      <c r="G14" s="79" t="str">
        <f>+F14</f>
        <v>En Ejecución</v>
      </c>
      <c r="H14" s="80" t="s">
        <v>678</v>
      </c>
      <c r="I14" s="79" t="s">
        <v>957</v>
      </c>
      <c r="J14" s="81"/>
      <c r="K14" s="82">
        <f>+SUM(X14:AI14)</f>
        <v>2214542.7666666666</v>
      </c>
      <c r="L14" s="66">
        <f t="shared" ref="L14:W14" si="7">+IF($G$6="Pipeline",1*SUMIFS(L$28:L$1048576,$J$28:$J$1048576,"&gt;="&amp;$G$7,$H$28:$H$1048576,$G$6),0)+IF($G$6="Todos",1*SUMIFS(L$28:L$1048576,$J$28:$J$1048576,"&gt;="&amp;$G$7,$H$28:$H$1048576,"Pipeline"))</f>
        <v>0</v>
      </c>
      <c r="M14" s="67">
        <f t="shared" si="7"/>
        <v>0</v>
      </c>
      <c r="N14" s="67">
        <f t="shared" si="7"/>
        <v>0</v>
      </c>
      <c r="O14" s="67">
        <f t="shared" si="7"/>
        <v>0</v>
      </c>
      <c r="P14" s="67">
        <f t="shared" si="7"/>
        <v>0</v>
      </c>
      <c r="Q14" s="67">
        <f t="shared" si="7"/>
        <v>0</v>
      </c>
      <c r="R14" s="67">
        <f t="shared" si="7"/>
        <v>0</v>
      </c>
      <c r="S14" s="67">
        <f t="shared" si="7"/>
        <v>0</v>
      </c>
      <c r="T14" s="67">
        <f t="shared" si="7"/>
        <v>0</v>
      </c>
      <c r="U14" s="67">
        <f t="shared" si="7"/>
        <v>0</v>
      </c>
      <c r="V14" s="67">
        <f t="shared" si="7"/>
        <v>0</v>
      </c>
      <c r="W14" s="67">
        <f t="shared" si="7"/>
        <v>0</v>
      </c>
      <c r="X14" s="66">
        <f>+X28+X39+X40+X43</f>
        <v>112575</v>
      </c>
      <c r="Y14" s="67">
        <f>+Y28+Y39+Y40+Y43</f>
        <v>132239</v>
      </c>
      <c r="Z14" s="67">
        <f>+Z28+Z29+Z30+Z32+Z34+Z39+Z40+Z42+Z43+Z44+Z48+Z49</f>
        <v>648511.7333333334</v>
      </c>
      <c r="AA14" s="67">
        <f>+AA28+AA29+AA30+AA31+AA32+AA39+AA42+AA44+AA43+AA49</f>
        <v>596826.44166666665</v>
      </c>
      <c r="AB14" s="67">
        <f>+AB28+AB29+AB30+AB31+AB32+AB39+AB42+AB44+AB43+AB49</f>
        <v>434669.19166666665</v>
      </c>
      <c r="AC14" s="67">
        <f>+AC28+AC29+AC30+AC31+AC32+AC39+AC42+AC44+AC43+AC49</f>
        <v>289721.40000000002</v>
      </c>
      <c r="AD14" s="67">
        <f t="shared" ref="AD14:AI14" si="8">+AD28+AD29+AD30+AD31+AD32+AD39+AD42+AD44+AD43+AD49</f>
        <v>0</v>
      </c>
      <c r="AE14" s="67">
        <f t="shared" si="8"/>
        <v>0</v>
      </c>
      <c r="AF14" s="67">
        <f t="shared" si="8"/>
        <v>0</v>
      </c>
      <c r="AG14" s="67">
        <f t="shared" si="8"/>
        <v>0</v>
      </c>
      <c r="AH14" s="67">
        <f t="shared" si="8"/>
        <v>0</v>
      </c>
      <c r="AI14" s="68">
        <f t="shared" si="8"/>
        <v>0</v>
      </c>
      <c r="AK14" s="51"/>
      <c r="AL14" s="52"/>
      <c r="AM14" s="236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7"/>
      <c r="BC14" s="52"/>
      <c r="BD14" s="51"/>
    </row>
    <row r="15" spans="2:56" s="42" customFormat="1" ht="15" x14ac:dyDescent="0.2">
      <c r="D15"/>
      <c r="E15"/>
      <c r="F15" s="217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 s="218"/>
      <c r="Y15"/>
      <c r="Z15"/>
      <c r="AA15"/>
      <c r="AB15"/>
      <c r="AC15"/>
      <c r="AD15"/>
      <c r="AE15"/>
      <c r="AF15"/>
      <c r="AG15"/>
      <c r="AH15"/>
      <c r="AI15"/>
      <c r="AJ15"/>
      <c r="AK15" s="51"/>
      <c r="AL15" s="52"/>
      <c r="AM15" s="236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4"/>
      <c r="AY15" s="234"/>
      <c r="AZ15" s="233"/>
      <c r="BA15" s="233"/>
      <c r="BB15" s="237"/>
      <c r="BC15" s="52"/>
      <c r="BD15" s="51"/>
    </row>
    <row r="16" spans="2:56" s="42" customFormat="1" ht="15" x14ac:dyDescent="0.2">
      <c r="D16"/>
      <c r="E16"/>
      <c r="F16" s="217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 s="51"/>
      <c r="AL16" s="52"/>
      <c r="AM16" s="236"/>
      <c r="AN16" s="234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34"/>
      <c r="AZ16" s="233"/>
      <c r="BA16" s="233"/>
      <c r="BB16" s="235"/>
      <c r="BC16" s="52"/>
      <c r="BD16" s="51"/>
    </row>
    <row r="17" spans="1:57" s="42" customFormat="1" ht="15" x14ac:dyDescent="0.2">
      <c r="D17"/>
      <c r="E17"/>
      <c r="F17" s="2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 s="51"/>
      <c r="AL17" s="52"/>
      <c r="AM17" s="236"/>
      <c r="AN17" s="234"/>
      <c r="AO17" s="234"/>
      <c r="AP17" s="234"/>
      <c r="AQ17" s="234"/>
      <c r="AR17" s="234"/>
      <c r="AS17" s="234"/>
      <c r="AT17" s="234"/>
      <c r="AU17" s="234"/>
      <c r="AV17" s="234"/>
      <c r="AW17" s="234"/>
      <c r="AX17" s="234"/>
      <c r="AY17" s="234"/>
      <c r="AZ17" s="233"/>
      <c r="BA17" s="233"/>
      <c r="BB17" s="237"/>
      <c r="BC17" s="52"/>
      <c r="BD17" s="51"/>
    </row>
    <row r="18" spans="1:57" s="42" customFormat="1" ht="15" x14ac:dyDescent="0.2">
      <c r="D18"/>
      <c r="E18"/>
      <c r="F18" s="217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s="51"/>
      <c r="AL18" s="52"/>
      <c r="AM18" s="236"/>
      <c r="AN18" s="234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34"/>
      <c r="AZ18" s="233"/>
      <c r="BA18" s="233"/>
      <c r="BB18" s="237"/>
      <c r="BC18" s="52"/>
      <c r="BD18" s="51"/>
    </row>
    <row r="19" spans="1:57" s="42" customFormat="1" ht="15" x14ac:dyDescent="0.2">
      <c r="D19"/>
      <c r="E19"/>
      <c r="F19" s="217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s="51"/>
      <c r="AL19" s="52"/>
      <c r="AM19" s="236"/>
      <c r="AN19" s="234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  <c r="AZ19" s="233"/>
      <c r="BA19" s="233"/>
      <c r="BB19" s="235"/>
      <c r="BC19" s="52"/>
      <c r="BD19" s="51"/>
    </row>
    <row r="20" spans="1:57" s="42" customFormat="1" ht="15" x14ac:dyDescent="0.2">
      <c r="D20"/>
      <c r="E20"/>
      <c r="F20" s="217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 s="51"/>
      <c r="AL20" s="52"/>
      <c r="AM20" s="236"/>
      <c r="AN20" s="234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34"/>
      <c r="AZ20" s="233"/>
      <c r="BA20" s="233"/>
      <c r="BB20" s="237"/>
      <c r="BC20" s="52"/>
      <c r="BD20" s="51"/>
    </row>
    <row r="21" spans="1:57" s="42" customFormat="1" ht="15" x14ac:dyDescent="0.2">
      <c r="D21"/>
      <c r="E21"/>
      <c r="F21" s="217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 s="51"/>
      <c r="AL21" s="52"/>
      <c r="AM21" s="236"/>
      <c r="AN21" s="234"/>
      <c r="AO21" s="234"/>
      <c r="AP21" s="234"/>
      <c r="AQ21" s="234"/>
      <c r="AR21" s="234"/>
      <c r="AS21" s="234"/>
      <c r="AT21" s="234"/>
      <c r="AU21" s="234"/>
      <c r="AV21" s="234"/>
      <c r="AW21" s="234"/>
      <c r="AX21" s="234"/>
      <c r="AY21" s="234"/>
      <c r="AZ21" s="233"/>
      <c r="BA21" s="233"/>
      <c r="BB21" s="237"/>
      <c r="BC21" s="52"/>
      <c r="BD21" s="51"/>
    </row>
    <row r="22" spans="1:57" s="42" customFormat="1" x14ac:dyDescent="0.2">
      <c r="D22" s="115"/>
      <c r="E22" s="115"/>
      <c r="F22" s="176"/>
      <c r="G22" s="115"/>
      <c r="H22" s="115"/>
      <c r="I22" s="115"/>
      <c r="J22" s="180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K22" s="51"/>
      <c r="AL22" s="52"/>
      <c r="AM22" s="236"/>
      <c r="AN22" s="234"/>
      <c r="AO22" s="234"/>
      <c r="AP22" s="234"/>
      <c r="AQ22" s="234"/>
      <c r="AR22" s="234"/>
      <c r="AS22" s="234"/>
      <c r="AT22" s="234"/>
      <c r="AU22" s="234"/>
      <c r="AV22" s="234"/>
      <c r="AW22" s="234"/>
      <c r="AX22" s="234"/>
      <c r="AY22" s="234"/>
      <c r="AZ22" s="233"/>
      <c r="BA22" s="233"/>
      <c r="BB22" s="235"/>
      <c r="BC22" s="52"/>
      <c r="BD22" s="51"/>
    </row>
    <row r="23" spans="1:57" s="42" customFormat="1" x14ac:dyDescent="0.2">
      <c r="D23" s="115"/>
      <c r="E23" s="115"/>
      <c r="F23" s="176"/>
      <c r="G23" s="115"/>
      <c r="H23" s="115"/>
      <c r="I23" s="115"/>
      <c r="J23" s="180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K23" s="51"/>
      <c r="AL23" s="52"/>
      <c r="AM23" s="236"/>
      <c r="AN23" s="234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  <c r="AZ23" s="233"/>
      <c r="BA23" s="233"/>
      <c r="BB23" s="237"/>
      <c r="BC23" s="52"/>
      <c r="BD23" s="51"/>
    </row>
    <row r="24" spans="1:57" s="42" customFormat="1" x14ac:dyDescent="0.2">
      <c r="D24" s="115"/>
      <c r="E24" s="115"/>
      <c r="F24" s="176"/>
      <c r="G24" s="115"/>
      <c r="H24" s="115"/>
      <c r="I24" s="115"/>
      <c r="J24" s="180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K24" s="51"/>
      <c r="AL24" s="52"/>
      <c r="AM24" s="236"/>
      <c r="AN24" s="234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34"/>
      <c r="AZ24" s="233"/>
      <c r="BA24" s="233"/>
      <c r="BB24" s="237"/>
      <c r="BC24" s="52"/>
      <c r="BD24" s="51"/>
    </row>
    <row r="25" spans="1:57" s="42" customFormat="1" x14ac:dyDescent="0.2">
      <c r="D25" s="115"/>
      <c r="E25" s="115"/>
      <c r="F25" s="176"/>
      <c r="G25" s="115"/>
      <c r="H25" s="115"/>
      <c r="I25" s="115"/>
      <c r="J25" s="180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K25" s="51"/>
      <c r="AL25" s="52"/>
      <c r="AM25" s="236"/>
      <c r="AN25" s="234"/>
      <c r="AO25" s="234"/>
      <c r="AP25" s="234"/>
      <c r="AQ25" s="234"/>
      <c r="AR25" s="234"/>
      <c r="AS25" s="234"/>
      <c r="AT25" s="234"/>
      <c r="AU25" s="234"/>
      <c r="AV25" s="234"/>
      <c r="AW25" s="234"/>
      <c r="AX25" s="234"/>
      <c r="AY25" s="234"/>
      <c r="AZ25" s="233"/>
      <c r="BA25" s="233"/>
      <c r="BB25" s="235"/>
      <c r="BC25" s="52"/>
      <c r="BD25" s="51"/>
    </row>
    <row r="26" spans="1:57" ht="15" thickBot="1" x14ac:dyDescent="0.25">
      <c r="J26" s="17"/>
      <c r="L26" s="17">
        <v>1</v>
      </c>
      <c r="M26" s="17">
        <v>1</v>
      </c>
      <c r="N26" s="17">
        <v>1</v>
      </c>
      <c r="O26" s="17">
        <v>1</v>
      </c>
      <c r="P26" s="17">
        <v>1</v>
      </c>
      <c r="Q26" s="17">
        <v>1</v>
      </c>
      <c r="R26" s="17">
        <v>1</v>
      </c>
      <c r="S26" s="17">
        <v>1</v>
      </c>
      <c r="T26" s="17">
        <v>1</v>
      </c>
      <c r="U26" s="17">
        <v>1</v>
      </c>
      <c r="V26" s="17">
        <v>1</v>
      </c>
      <c r="W26" s="17">
        <v>-1</v>
      </c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K26" s="4"/>
      <c r="AL26" s="18"/>
      <c r="AM26" s="232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5"/>
      <c r="BC26" s="18"/>
      <c r="BD26" s="4"/>
    </row>
    <row r="27" spans="1:57" s="42" customFormat="1" ht="29" thickBot="1" x14ac:dyDescent="0.25">
      <c r="B27" s="47" t="s">
        <v>734</v>
      </c>
      <c r="C27" s="44" t="s">
        <v>660</v>
      </c>
      <c r="D27" s="43" t="s">
        <v>661</v>
      </c>
      <c r="E27" s="47" t="s">
        <v>964</v>
      </c>
      <c r="F27" s="225" t="s">
        <v>662</v>
      </c>
      <c r="G27" s="44" t="s">
        <v>663</v>
      </c>
      <c r="H27" s="45" t="s">
        <v>664</v>
      </c>
      <c r="I27" s="46" t="s">
        <v>1009</v>
      </c>
      <c r="J27" s="47" t="s">
        <v>665</v>
      </c>
      <c r="K27" s="34" t="s">
        <v>666</v>
      </c>
      <c r="L27" s="48">
        <v>44927</v>
      </c>
      <c r="M27" s="49">
        <v>44958</v>
      </c>
      <c r="N27" s="49">
        <v>44986</v>
      </c>
      <c r="O27" s="49">
        <v>45017</v>
      </c>
      <c r="P27" s="49">
        <v>45047</v>
      </c>
      <c r="Q27" s="49">
        <v>45078</v>
      </c>
      <c r="R27" s="49">
        <v>45108</v>
      </c>
      <c r="S27" s="49">
        <v>45139</v>
      </c>
      <c r="T27" s="49">
        <v>45170</v>
      </c>
      <c r="U27" s="49">
        <v>45200</v>
      </c>
      <c r="V27" s="49">
        <v>45231</v>
      </c>
      <c r="W27" s="49">
        <v>45261</v>
      </c>
      <c r="X27" s="48">
        <v>45292</v>
      </c>
      <c r="Y27" s="49">
        <v>45323</v>
      </c>
      <c r="Z27" s="49">
        <v>45352</v>
      </c>
      <c r="AA27" s="49">
        <v>45383</v>
      </c>
      <c r="AB27" s="49">
        <v>45413</v>
      </c>
      <c r="AC27" s="49">
        <v>45444</v>
      </c>
      <c r="AD27" s="49">
        <v>45474</v>
      </c>
      <c r="AE27" s="49">
        <v>45505</v>
      </c>
      <c r="AF27" s="49">
        <v>45536</v>
      </c>
      <c r="AG27" s="49">
        <v>45566</v>
      </c>
      <c r="AH27" s="49">
        <v>45597</v>
      </c>
      <c r="AI27" s="50">
        <v>45627</v>
      </c>
      <c r="AK27" s="51"/>
      <c r="AL27" s="52"/>
      <c r="AM27" s="236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233"/>
      <c r="BA27" s="233"/>
      <c r="BB27" s="235"/>
      <c r="BC27" s="52"/>
      <c r="BD27" s="51"/>
    </row>
    <row r="28" spans="1:57" x14ac:dyDescent="0.2">
      <c r="A28" s="15">
        <f t="shared" ref="A28:A91" si="9">+LEN(B28)</f>
        <v>21</v>
      </c>
      <c r="B28" s="169" t="s">
        <v>674</v>
      </c>
      <c r="C28" s="168" t="s">
        <v>675</v>
      </c>
      <c r="D28" s="128" t="s">
        <v>46</v>
      </c>
      <c r="E28" s="169" t="str">
        <f t="shared" ref="E28:E91" si="10">+IF(D28="Chile","30 días",IF(D28="Perú","30 días",IF(D28="Brasil","60 días",IF(D28="Rusia","Indeterminado","Por definir"))))</f>
        <v>30 días</v>
      </c>
      <c r="F28" s="219" t="s">
        <v>676</v>
      </c>
      <c r="G28" s="129" t="s">
        <v>677</v>
      </c>
      <c r="H28" s="129" t="s">
        <v>678</v>
      </c>
      <c r="I28" s="128" t="s">
        <v>744</v>
      </c>
      <c r="J28" s="130">
        <v>1</v>
      </c>
      <c r="K28" s="16">
        <f t="shared" ref="K28:K91" si="11">+SUM(X28:AI28)</f>
        <v>160000</v>
      </c>
      <c r="L28" s="134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95"/>
      <c r="X28" s="186">
        <v>32000</v>
      </c>
      <c r="Y28" s="158">
        <v>32000</v>
      </c>
      <c r="Z28" s="158">
        <v>32000</v>
      </c>
      <c r="AA28" s="158">
        <v>32000</v>
      </c>
      <c r="AB28" s="158">
        <v>32000</v>
      </c>
      <c r="AC28" s="158">
        <v>0</v>
      </c>
      <c r="AD28" s="158">
        <v>0</v>
      </c>
      <c r="AE28" s="158">
        <v>0</v>
      </c>
      <c r="AF28" s="158">
        <v>0</v>
      </c>
      <c r="AG28" s="158">
        <v>0</v>
      </c>
      <c r="AH28" s="158">
        <v>0</v>
      </c>
      <c r="AI28" s="185">
        <v>0</v>
      </c>
      <c r="AK28" s="4"/>
      <c r="AL28" s="18"/>
      <c r="AM28" s="232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5"/>
      <c r="BC28" s="18"/>
      <c r="BD28" s="4"/>
    </row>
    <row r="29" spans="1:57" x14ac:dyDescent="0.2">
      <c r="A29" s="15">
        <f t="shared" si="9"/>
        <v>21</v>
      </c>
      <c r="B29" s="169" t="s">
        <v>679</v>
      </c>
      <c r="C29" s="168" t="s">
        <v>680</v>
      </c>
      <c r="D29" s="128" t="s">
        <v>46</v>
      </c>
      <c r="E29" s="169" t="str">
        <f t="shared" si="10"/>
        <v>30 días</v>
      </c>
      <c r="F29" s="219" t="s">
        <v>680</v>
      </c>
      <c r="G29" s="129" t="s">
        <v>681</v>
      </c>
      <c r="H29" s="129" t="s">
        <v>678</v>
      </c>
      <c r="I29" s="128" t="s">
        <v>744</v>
      </c>
      <c r="J29" s="130">
        <v>1</v>
      </c>
      <c r="K29" s="16">
        <f t="shared" si="11"/>
        <v>917313.00000000012</v>
      </c>
      <c r="L29" s="134"/>
      <c r="M29" s="136"/>
      <c r="N29" s="136"/>
      <c r="O29" s="136"/>
      <c r="P29" s="136"/>
      <c r="Q29" s="136"/>
      <c r="R29" s="136"/>
      <c r="S29" s="136"/>
      <c r="T29" s="136"/>
      <c r="U29" s="136"/>
      <c r="V29" s="182"/>
      <c r="W29" s="177"/>
      <c r="X29" s="186">
        <v>100441</v>
      </c>
      <c r="Y29" s="189">
        <v>163374.39999999999</v>
      </c>
      <c r="Z29" s="187">
        <v>163374.39999999999</v>
      </c>
      <c r="AA29" s="187">
        <v>163374.39999999999</v>
      </c>
      <c r="AB29" s="187">
        <v>163374.39999999999</v>
      </c>
      <c r="AC29" s="187">
        <v>163374.39999999999</v>
      </c>
      <c r="AD29" s="187">
        <v>0</v>
      </c>
      <c r="AE29" s="158">
        <v>0</v>
      </c>
      <c r="AF29" s="158">
        <v>0</v>
      </c>
      <c r="AG29" s="158">
        <v>0</v>
      </c>
      <c r="AH29" s="158">
        <v>0</v>
      </c>
      <c r="AI29" s="185">
        <v>0</v>
      </c>
      <c r="AK29" s="4"/>
      <c r="AL29" s="18"/>
      <c r="AM29" s="232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5"/>
      <c r="BC29" s="18"/>
      <c r="BD29" s="4"/>
    </row>
    <row r="30" spans="1:57" x14ac:dyDescent="0.2">
      <c r="A30" s="15">
        <f t="shared" si="9"/>
        <v>21</v>
      </c>
      <c r="B30" s="169" t="s">
        <v>682</v>
      </c>
      <c r="C30" s="168" t="s">
        <v>683</v>
      </c>
      <c r="D30" s="128" t="s">
        <v>45</v>
      </c>
      <c r="E30" s="169" t="str">
        <f t="shared" si="10"/>
        <v>60 días</v>
      </c>
      <c r="F30" s="219" t="s">
        <v>330</v>
      </c>
      <c r="G30" s="129" t="s">
        <v>195</v>
      </c>
      <c r="H30" s="129" t="s">
        <v>678</v>
      </c>
      <c r="I30" s="128" t="s">
        <v>744</v>
      </c>
      <c r="J30" s="130">
        <v>1</v>
      </c>
      <c r="K30" s="16">
        <f t="shared" si="11"/>
        <v>321939</v>
      </c>
      <c r="L30" s="134"/>
      <c r="M30" s="136"/>
      <c r="N30" s="136"/>
      <c r="O30" s="136"/>
      <c r="P30" s="136"/>
      <c r="Q30" s="143"/>
      <c r="R30" s="143"/>
      <c r="S30" s="143"/>
      <c r="T30" s="143"/>
      <c r="U30" s="136"/>
      <c r="V30" s="182"/>
      <c r="W30" s="177"/>
      <c r="X30" s="186">
        <v>23474</v>
      </c>
      <c r="Y30" s="189">
        <v>103264</v>
      </c>
      <c r="Z30" s="139">
        <v>97600.5</v>
      </c>
      <c r="AA30" s="139">
        <v>73200.375</v>
      </c>
      <c r="AB30" s="139">
        <v>24400.125</v>
      </c>
      <c r="AC30" s="139">
        <v>0</v>
      </c>
      <c r="AD30" s="158">
        <v>0</v>
      </c>
      <c r="AE30" s="158">
        <v>0</v>
      </c>
      <c r="AF30" s="158">
        <v>0</v>
      </c>
      <c r="AG30" s="158">
        <v>0</v>
      </c>
      <c r="AH30" s="158">
        <v>0</v>
      </c>
      <c r="AI30" s="185">
        <v>0</v>
      </c>
      <c r="AK30" s="4"/>
      <c r="AL30" s="18"/>
      <c r="AM30" s="232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5"/>
      <c r="BC30" s="18"/>
      <c r="BD30" s="4"/>
    </row>
    <row r="31" spans="1:57" ht="15" x14ac:dyDescent="0.2">
      <c r="A31" s="15">
        <f t="shared" si="9"/>
        <v>21</v>
      </c>
      <c r="B31" s="169" t="s">
        <v>684</v>
      </c>
      <c r="C31" s="168" t="s">
        <v>685</v>
      </c>
      <c r="D31" s="128" t="s">
        <v>45</v>
      </c>
      <c r="E31" s="169" t="str">
        <f t="shared" si="10"/>
        <v>60 días</v>
      </c>
      <c r="F31" s="219" t="s">
        <v>686</v>
      </c>
      <c r="G31" s="129" t="s">
        <v>687</v>
      </c>
      <c r="H31" s="129" t="s">
        <v>678</v>
      </c>
      <c r="I31" s="128" t="s">
        <v>744</v>
      </c>
      <c r="J31" s="130">
        <v>1</v>
      </c>
      <c r="K31" s="16">
        <f t="shared" si="11"/>
        <v>191965</v>
      </c>
      <c r="L31" s="134"/>
      <c r="M31" s="136"/>
      <c r="N31" s="136"/>
      <c r="O31" s="136"/>
      <c r="P31" s="136"/>
      <c r="Q31" s="136"/>
      <c r="R31" s="136"/>
      <c r="S31" s="136"/>
      <c r="T31" s="136"/>
      <c r="U31" s="136"/>
      <c r="V31" s="182"/>
      <c r="W31" s="177"/>
      <c r="X31" s="186">
        <v>30506</v>
      </c>
      <c r="Y31" s="189">
        <v>48720</v>
      </c>
      <c r="Z31" s="189">
        <v>56369.5</v>
      </c>
      <c r="AA31" s="158">
        <v>56369.5</v>
      </c>
      <c r="AB31" s="158">
        <v>0</v>
      </c>
      <c r="AC31" s="158">
        <v>0</v>
      </c>
      <c r="AD31" s="158">
        <v>0</v>
      </c>
      <c r="AE31" s="158">
        <v>0</v>
      </c>
      <c r="AF31" s="158">
        <v>0</v>
      </c>
      <c r="AG31" s="158">
        <v>0</v>
      </c>
      <c r="AH31" s="158">
        <v>0</v>
      </c>
      <c r="AI31" s="185">
        <v>0</v>
      </c>
      <c r="AJ31"/>
      <c r="AK31" s="4"/>
      <c r="AL31" s="18"/>
      <c r="AM31" s="232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5"/>
      <c r="BC31" s="18"/>
      <c r="BD31" s="4"/>
    </row>
    <row r="32" spans="1:57" ht="15" x14ac:dyDescent="0.2">
      <c r="A32" s="15">
        <f t="shared" si="9"/>
        <v>21</v>
      </c>
      <c r="B32" s="169" t="s">
        <v>688</v>
      </c>
      <c r="C32" s="168" t="s">
        <v>689</v>
      </c>
      <c r="D32" s="128" t="s">
        <v>45</v>
      </c>
      <c r="E32" s="169" t="str">
        <f t="shared" si="10"/>
        <v>60 días</v>
      </c>
      <c r="F32" s="219" t="s">
        <v>690</v>
      </c>
      <c r="G32" s="129" t="s">
        <v>195</v>
      </c>
      <c r="H32" s="129" t="s">
        <v>678</v>
      </c>
      <c r="I32" s="128" t="s">
        <v>744</v>
      </c>
      <c r="J32" s="130">
        <v>1</v>
      </c>
      <c r="K32" s="16">
        <f t="shared" si="11"/>
        <v>247719.99999999997</v>
      </c>
      <c r="L32" s="134"/>
      <c r="M32" s="136"/>
      <c r="N32" s="136"/>
      <c r="O32" s="136"/>
      <c r="P32" s="136"/>
      <c r="Q32" s="136"/>
      <c r="R32" s="136"/>
      <c r="S32" s="136"/>
      <c r="T32" s="136"/>
      <c r="U32" s="136"/>
      <c r="V32" s="182"/>
      <c r="W32" s="177"/>
      <c r="X32" s="186">
        <v>39226</v>
      </c>
      <c r="Y32" s="189">
        <v>92851</v>
      </c>
      <c r="Z32" s="158">
        <v>38547.666666666664</v>
      </c>
      <c r="AA32" s="158">
        <v>38547.666666666664</v>
      </c>
      <c r="AB32" s="158">
        <v>38547.666666666664</v>
      </c>
      <c r="AC32" s="158">
        <v>0</v>
      </c>
      <c r="AD32" s="158">
        <v>0</v>
      </c>
      <c r="AE32" s="158">
        <v>0</v>
      </c>
      <c r="AF32" s="158">
        <v>0</v>
      </c>
      <c r="AG32" s="158">
        <v>0</v>
      </c>
      <c r="AH32" s="158">
        <v>0</v>
      </c>
      <c r="AI32" s="185">
        <v>0</v>
      </c>
      <c r="AK32" s="4"/>
      <c r="AL32" s="18"/>
      <c r="AM32" s="232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5"/>
      <c r="BC32" s="18"/>
      <c r="BD32" s="4"/>
      <c r="BE32"/>
    </row>
    <row r="33" spans="1:57" x14ac:dyDescent="0.2">
      <c r="A33" s="15">
        <f t="shared" si="9"/>
        <v>21</v>
      </c>
      <c r="B33" s="169" t="s">
        <v>691</v>
      </c>
      <c r="C33" s="168" t="s">
        <v>692</v>
      </c>
      <c r="D33" s="128" t="s">
        <v>43</v>
      </c>
      <c r="E33" s="169" t="str">
        <f t="shared" si="10"/>
        <v>30 días</v>
      </c>
      <c r="F33" s="219" t="s">
        <v>693</v>
      </c>
      <c r="G33" s="129" t="s">
        <v>168</v>
      </c>
      <c r="H33" s="129" t="s">
        <v>678</v>
      </c>
      <c r="I33" s="128" t="s">
        <v>744</v>
      </c>
      <c r="J33" s="130">
        <v>1</v>
      </c>
      <c r="K33" s="16">
        <f t="shared" si="11"/>
        <v>186696</v>
      </c>
      <c r="L33" s="134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77"/>
      <c r="X33" s="186">
        <v>105098</v>
      </c>
      <c r="Y33" s="189">
        <v>81598</v>
      </c>
      <c r="Z33" s="158">
        <v>0</v>
      </c>
      <c r="AA33" s="158">
        <v>0</v>
      </c>
      <c r="AB33" s="158">
        <v>0</v>
      </c>
      <c r="AC33" s="158">
        <v>0</v>
      </c>
      <c r="AD33" s="158">
        <v>0</v>
      </c>
      <c r="AE33" s="158">
        <v>0</v>
      </c>
      <c r="AF33" s="158">
        <v>0</v>
      </c>
      <c r="AG33" s="158">
        <v>0</v>
      </c>
      <c r="AH33" s="158">
        <v>0</v>
      </c>
      <c r="AI33" s="185">
        <v>0</v>
      </c>
      <c r="AK33" s="4"/>
      <c r="AL33" s="18"/>
      <c r="AM33" s="232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5"/>
      <c r="BC33" s="18"/>
      <c r="BD33" s="4"/>
    </row>
    <row r="34" spans="1:57" x14ac:dyDescent="0.2">
      <c r="A34" s="15">
        <f t="shared" si="9"/>
        <v>21</v>
      </c>
      <c r="B34" s="169" t="s">
        <v>694</v>
      </c>
      <c r="C34" s="168" t="s">
        <v>695</v>
      </c>
      <c r="D34" s="128" t="s">
        <v>43</v>
      </c>
      <c r="E34" s="169" t="str">
        <f t="shared" si="10"/>
        <v>30 días</v>
      </c>
      <c r="F34" s="219" t="s">
        <v>696</v>
      </c>
      <c r="G34" s="129" t="s">
        <v>249</v>
      </c>
      <c r="H34" s="129" t="s">
        <v>678</v>
      </c>
      <c r="I34" s="128" t="s">
        <v>744</v>
      </c>
      <c r="J34" s="130">
        <v>1</v>
      </c>
      <c r="K34" s="16">
        <f t="shared" si="11"/>
        <v>120000</v>
      </c>
      <c r="L34" s="134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96"/>
      <c r="X34" s="186">
        <v>30000</v>
      </c>
      <c r="Y34" s="189">
        <v>50000</v>
      </c>
      <c r="Z34" s="158">
        <v>40000</v>
      </c>
      <c r="AA34" s="158">
        <v>0</v>
      </c>
      <c r="AB34" s="158">
        <v>0</v>
      </c>
      <c r="AC34" s="158">
        <v>0</v>
      </c>
      <c r="AD34" s="158">
        <v>0</v>
      </c>
      <c r="AE34" s="158">
        <v>0</v>
      </c>
      <c r="AF34" s="158">
        <v>0</v>
      </c>
      <c r="AG34" s="158">
        <v>0</v>
      </c>
      <c r="AH34" s="158">
        <v>0</v>
      </c>
      <c r="AI34" s="185">
        <v>0</v>
      </c>
      <c r="AK34" s="4"/>
      <c r="AL34" s="18"/>
      <c r="AM34" s="232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5"/>
      <c r="BC34" s="18"/>
      <c r="BD34" s="4"/>
    </row>
    <row r="35" spans="1:57" x14ac:dyDescent="0.2">
      <c r="A35" s="15">
        <f t="shared" si="9"/>
        <v>21</v>
      </c>
      <c r="B35" s="169" t="s">
        <v>806</v>
      </c>
      <c r="C35" s="168" t="s">
        <v>807</v>
      </c>
      <c r="D35" s="128" t="s">
        <v>43</v>
      </c>
      <c r="E35" s="169" t="str">
        <f t="shared" si="10"/>
        <v>30 días</v>
      </c>
      <c r="F35" s="219" t="s">
        <v>808</v>
      </c>
      <c r="G35" s="129" t="s">
        <v>249</v>
      </c>
      <c r="H35" s="129" t="s">
        <v>678</v>
      </c>
      <c r="I35" s="128" t="s">
        <v>744</v>
      </c>
      <c r="J35" s="130">
        <v>1</v>
      </c>
      <c r="K35" s="16">
        <f t="shared" si="11"/>
        <v>19139</v>
      </c>
      <c r="L35" s="134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95"/>
      <c r="X35" s="198">
        <v>19139</v>
      </c>
      <c r="Y35" s="158">
        <v>0</v>
      </c>
      <c r="Z35" s="158">
        <v>0</v>
      </c>
      <c r="AA35" s="158">
        <v>0</v>
      </c>
      <c r="AB35" s="158">
        <v>0</v>
      </c>
      <c r="AC35" s="158">
        <v>0</v>
      </c>
      <c r="AD35" s="158">
        <v>0</v>
      </c>
      <c r="AE35" s="158">
        <v>0</v>
      </c>
      <c r="AF35" s="158">
        <v>0</v>
      </c>
      <c r="AG35" s="158">
        <v>0</v>
      </c>
      <c r="AH35" s="158">
        <v>0</v>
      </c>
      <c r="AI35" s="185">
        <v>0</v>
      </c>
      <c r="AK35" s="4"/>
      <c r="AL35" s="18"/>
      <c r="AM35" s="232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5"/>
      <c r="BC35" s="18"/>
      <c r="BD35" s="4"/>
    </row>
    <row r="36" spans="1:57" x14ac:dyDescent="0.2">
      <c r="A36" s="15">
        <f t="shared" si="9"/>
        <v>21</v>
      </c>
      <c r="B36" s="169" t="s">
        <v>809</v>
      </c>
      <c r="C36" s="168" t="s">
        <v>810</v>
      </c>
      <c r="D36" s="128" t="s">
        <v>43</v>
      </c>
      <c r="E36" s="169" t="str">
        <f t="shared" si="10"/>
        <v>30 días</v>
      </c>
      <c r="F36" s="219" t="s">
        <v>811</v>
      </c>
      <c r="G36" s="129" t="s">
        <v>249</v>
      </c>
      <c r="H36" s="129" t="s">
        <v>678</v>
      </c>
      <c r="I36" s="128"/>
      <c r="J36" s="130">
        <v>1</v>
      </c>
      <c r="K36" s="16">
        <f t="shared" si="11"/>
        <v>17202</v>
      </c>
      <c r="L36" s="134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95"/>
      <c r="X36" s="198">
        <v>17202</v>
      </c>
      <c r="Y36" s="158">
        <v>0</v>
      </c>
      <c r="Z36" s="158">
        <v>0</v>
      </c>
      <c r="AA36" s="158">
        <v>0</v>
      </c>
      <c r="AB36" s="158">
        <v>0</v>
      </c>
      <c r="AC36" s="158">
        <v>0</v>
      </c>
      <c r="AD36" s="158">
        <v>0</v>
      </c>
      <c r="AE36" s="158">
        <v>0</v>
      </c>
      <c r="AF36" s="158">
        <v>0</v>
      </c>
      <c r="AG36" s="158">
        <v>0</v>
      </c>
      <c r="AH36" s="158">
        <v>0</v>
      </c>
      <c r="AI36" s="185">
        <v>0</v>
      </c>
      <c r="AK36" s="4"/>
      <c r="AL36" s="18"/>
      <c r="AM36" s="232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5"/>
      <c r="BC36" s="18"/>
      <c r="BD36" s="4"/>
    </row>
    <row r="37" spans="1:57" x14ac:dyDescent="0.2">
      <c r="A37" s="15">
        <f t="shared" si="9"/>
        <v>21</v>
      </c>
      <c r="B37" s="169" t="s">
        <v>812</v>
      </c>
      <c r="C37" s="168" t="s">
        <v>813</v>
      </c>
      <c r="D37" s="128" t="s">
        <v>43</v>
      </c>
      <c r="E37" s="169" t="str">
        <f t="shared" si="10"/>
        <v>30 días</v>
      </c>
      <c r="F37" s="219" t="s">
        <v>813</v>
      </c>
      <c r="G37" s="129" t="s">
        <v>143</v>
      </c>
      <c r="H37" s="129" t="s">
        <v>678</v>
      </c>
      <c r="I37" s="128"/>
      <c r="J37" s="130">
        <v>1</v>
      </c>
      <c r="K37" s="16">
        <f t="shared" si="11"/>
        <v>78129</v>
      </c>
      <c r="L37" s="134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77"/>
      <c r="X37" s="198">
        <v>78129</v>
      </c>
      <c r="Y37" s="188">
        <v>0</v>
      </c>
      <c r="Z37" s="188">
        <v>0</v>
      </c>
      <c r="AA37" s="158">
        <v>0</v>
      </c>
      <c r="AB37" s="158">
        <v>0</v>
      </c>
      <c r="AC37" s="158">
        <v>0</v>
      </c>
      <c r="AD37" s="158">
        <v>0</v>
      </c>
      <c r="AE37" s="158">
        <v>0</v>
      </c>
      <c r="AF37" s="158">
        <v>0</v>
      </c>
      <c r="AG37" s="158">
        <v>0</v>
      </c>
      <c r="AH37" s="158">
        <v>0</v>
      </c>
      <c r="AI37" s="185">
        <v>0</v>
      </c>
      <c r="AK37" s="4"/>
      <c r="AL37" s="18"/>
      <c r="AM37" s="232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5"/>
      <c r="BC37" s="18"/>
      <c r="BD37" s="4"/>
    </row>
    <row r="38" spans="1:57" x14ac:dyDescent="0.2">
      <c r="A38" s="15">
        <f t="shared" si="9"/>
        <v>21</v>
      </c>
      <c r="B38" s="170" t="s">
        <v>814</v>
      </c>
      <c r="C38" s="168" t="s">
        <v>813</v>
      </c>
      <c r="D38" s="155" t="s">
        <v>43</v>
      </c>
      <c r="E38" s="169" t="str">
        <f t="shared" si="10"/>
        <v>30 días</v>
      </c>
      <c r="F38" s="219" t="s">
        <v>815</v>
      </c>
      <c r="G38" s="156" t="s">
        <v>143</v>
      </c>
      <c r="H38" s="156" t="s">
        <v>678</v>
      </c>
      <c r="I38" s="128"/>
      <c r="J38" s="130">
        <v>1</v>
      </c>
      <c r="K38" s="16">
        <f t="shared" si="11"/>
        <v>0</v>
      </c>
      <c r="L38" s="134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61"/>
      <c r="X38" s="198">
        <v>0</v>
      </c>
      <c r="Y38" s="158">
        <v>0</v>
      </c>
      <c r="Z38" s="158">
        <v>0</v>
      </c>
      <c r="AA38" s="158">
        <v>0</v>
      </c>
      <c r="AB38" s="158">
        <v>0</v>
      </c>
      <c r="AC38" s="158">
        <v>0</v>
      </c>
      <c r="AD38" s="158">
        <v>0</v>
      </c>
      <c r="AE38" s="158">
        <v>0</v>
      </c>
      <c r="AF38" s="158">
        <v>0</v>
      </c>
      <c r="AG38" s="158">
        <v>0</v>
      </c>
      <c r="AH38" s="158">
        <v>0</v>
      </c>
      <c r="AI38" s="185">
        <v>0</v>
      </c>
      <c r="AK38" s="4"/>
      <c r="AL38" s="18"/>
      <c r="AM38" s="232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5"/>
      <c r="BC38" s="18"/>
      <c r="BD38" s="4"/>
    </row>
    <row r="39" spans="1:57" x14ac:dyDescent="0.2">
      <c r="A39" s="15">
        <f t="shared" si="9"/>
        <v>21</v>
      </c>
      <c r="B39" s="169" t="s">
        <v>697</v>
      </c>
      <c r="C39" s="168" t="s">
        <v>698</v>
      </c>
      <c r="D39" s="128" t="s">
        <v>43</v>
      </c>
      <c r="E39" s="169" t="str">
        <f t="shared" si="10"/>
        <v>30 días</v>
      </c>
      <c r="F39" s="219" t="s">
        <v>699</v>
      </c>
      <c r="G39" s="129" t="s">
        <v>700</v>
      </c>
      <c r="H39" s="129" t="s">
        <v>678</v>
      </c>
      <c r="I39" s="128"/>
      <c r="J39" s="130">
        <v>1</v>
      </c>
      <c r="K39" s="16">
        <f t="shared" si="11"/>
        <v>114390</v>
      </c>
      <c r="L39" s="134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96"/>
      <c r="X39" s="186">
        <v>19065</v>
      </c>
      <c r="Y39" s="158">
        <v>19065</v>
      </c>
      <c r="Z39" s="158">
        <v>19065</v>
      </c>
      <c r="AA39" s="158">
        <v>19065</v>
      </c>
      <c r="AB39" s="158">
        <v>19065</v>
      </c>
      <c r="AC39" s="158">
        <v>19065</v>
      </c>
      <c r="AD39" s="158">
        <v>0</v>
      </c>
      <c r="AE39" s="158">
        <v>0</v>
      </c>
      <c r="AF39" s="158">
        <v>0</v>
      </c>
      <c r="AG39" s="158">
        <v>0</v>
      </c>
      <c r="AH39" s="158">
        <v>0</v>
      </c>
      <c r="AI39" s="185">
        <v>0</v>
      </c>
      <c r="AK39" s="4"/>
      <c r="AL39" s="18"/>
      <c r="AM39" s="232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5"/>
      <c r="BC39" s="18"/>
      <c r="BD39" s="4"/>
    </row>
    <row r="40" spans="1:57" x14ac:dyDescent="0.2">
      <c r="A40" s="15">
        <f t="shared" si="9"/>
        <v>21</v>
      </c>
      <c r="B40" s="169" t="s">
        <v>701</v>
      </c>
      <c r="C40" s="168" t="s">
        <v>702</v>
      </c>
      <c r="D40" s="128" t="s">
        <v>46</v>
      </c>
      <c r="E40" s="169" t="str">
        <f t="shared" si="10"/>
        <v>30 días</v>
      </c>
      <c r="F40" s="219" t="s">
        <v>703</v>
      </c>
      <c r="G40" s="129" t="s">
        <v>308</v>
      </c>
      <c r="H40" s="129" t="s">
        <v>678</v>
      </c>
      <c r="I40" s="128"/>
      <c r="J40" s="130">
        <v>1</v>
      </c>
      <c r="K40" s="16">
        <f t="shared" si="11"/>
        <v>47960</v>
      </c>
      <c r="L40" s="134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95"/>
      <c r="X40" s="186">
        <v>11510</v>
      </c>
      <c r="Y40" s="158">
        <v>31174</v>
      </c>
      <c r="Z40" s="158">
        <v>5276</v>
      </c>
      <c r="AA40" s="158">
        <v>0</v>
      </c>
      <c r="AB40" s="158">
        <v>0</v>
      </c>
      <c r="AC40" s="158">
        <v>0</v>
      </c>
      <c r="AD40" s="158">
        <v>0</v>
      </c>
      <c r="AE40" s="158">
        <v>0</v>
      </c>
      <c r="AF40" s="158">
        <v>0</v>
      </c>
      <c r="AG40" s="158">
        <v>0</v>
      </c>
      <c r="AH40" s="158">
        <v>0</v>
      </c>
      <c r="AI40" s="185">
        <v>0</v>
      </c>
      <c r="AK40" s="4"/>
      <c r="AL40" s="18"/>
      <c r="AM40" s="232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5"/>
      <c r="BC40" s="18"/>
      <c r="BD40" s="4"/>
    </row>
    <row r="41" spans="1:57" x14ac:dyDescent="0.2">
      <c r="A41" s="15">
        <f t="shared" si="9"/>
        <v>21</v>
      </c>
      <c r="B41" s="169" t="s">
        <v>816</v>
      </c>
      <c r="C41" s="168" t="s">
        <v>817</v>
      </c>
      <c r="D41" s="128" t="s">
        <v>46</v>
      </c>
      <c r="E41" s="169" t="str">
        <f t="shared" si="10"/>
        <v>30 días</v>
      </c>
      <c r="F41" s="219" t="s">
        <v>818</v>
      </c>
      <c r="G41" s="129" t="s">
        <v>175</v>
      </c>
      <c r="H41" s="129" t="s">
        <v>678</v>
      </c>
      <c r="I41" s="128" t="s">
        <v>744</v>
      </c>
      <c r="J41" s="130">
        <v>1</v>
      </c>
      <c r="K41" s="16">
        <f t="shared" si="11"/>
        <v>65088</v>
      </c>
      <c r="L41" s="134"/>
      <c r="M41" s="136"/>
      <c r="N41" s="136"/>
      <c r="O41" s="136"/>
      <c r="P41" s="136"/>
      <c r="Q41" s="136"/>
      <c r="R41" s="136"/>
      <c r="S41" s="136"/>
      <c r="T41" s="136"/>
      <c r="U41" s="136"/>
      <c r="V41" s="182"/>
      <c r="W41" s="195"/>
      <c r="X41" s="198">
        <v>65088</v>
      </c>
      <c r="Y41" s="158">
        <v>0</v>
      </c>
      <c r="Z41" s="158">
        <v>0</v>
      </c>
      <c r="AA41" s="158">
        <v>0</v>
      </c>
      <c r="AB41" s="158">
        <v>0</v>
      </c>
      <c r="AC41" s="158">
        <v>0</v>
      </c>
      <c r="AD41" s="158">
        <v>0</v>
      </c>
      <c r="AE41" s="158">
        <v>0</v>
      </c>
      <c r="AF41" s="158">
        <v>0</v>
      </c>
      <c r="AG41" s="158">
        <v>0</v>
      </c>
      <c r="AH41" s="158">
        <v>0</v>
      </c>
      <c r="AI41" s="185">
        <v>0</v>
      </c>
      <c r="AK41" s="4"/>
      <c r="AL41" s="18"/>
      <c r="AM41" s="232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5"/>
      <c r="BC41" s="18"/>
      <c r="BD41" s="4"/>
    </row>
    <row r="42" spans="1:57" x14ac:dyDescent="0.2">
      <c r="A42" s="15">
        <f t="shared" si="9"/>
        <v>21</v>
      </c>
      <c r="B42" s="169" t="s">
        <v>704</v>
      </c>
      <c r="C42" s="168" t="s">
        <v>705</v>
      </c>
      <c r="D42" s="128" t="s">
        <v>43</v>
      </c>
      <c r="E42" s="169" t="str">
        <f t="shared" si="10"/>
        <v>30 días</v>
      </c>
      <c r="F42" s="219" t="s">
        <v>706</v>
      </c>
      <c r="G42" s="129" t="s">
        <v>249</v>
      </c>
      <c r="H42" s="129" t="s">
        <v>678</v>
      </c>
      <c r="I42" s="128" t="s">
        <v>744</v>
      </c>
      <c r="J42" s="130">
        <v>1</v>
      </c>
      <c r="K42" s="16">
        <f t="shared" si="11"/>
        <v>77950</v>
      </c>
      <c r="L42" s="134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96"/>
      <c r="X42" s="186">
        <v>19487.5</v>
      </c>
      <c r="Y42" s="189">
        <v>19487.5</v>
      </c>
      <c r="Z42" s="158">
        <v>19487.5</v>
      </c>
      <c r="AA42" s="158">
        <v>19487.5</v>
      </c>
      <c r="AB42" s="158">
        <v>0</v>
      </c>
      <c r="AC42" s="158">
        <v>0</v>
      </c>
      <c r="AD42" s="158">
        <v>0</v>
      </c>
      <c r="AE42" s="158">
        <v>0</v>
      </c>
      <c r="AF42" s="158">
        <v>0</v>
      </c>
      <c r="AG42" s="158">
        <v>0</v>
      </c>
      <c r="AH42" s="158">
        <v>0</v>
      </c>
      <c r="AI42" s="185">
        <v>0</v>
      </c>
      <c r="AK42" s="4"/>
      <c r="AL42" s="18"/>
      <c r="AM42" s="232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5"/>
      <c r="BC42" s="18"/>
      <c r="BD42" s="4"/>
    </row>
    <row r="43" spans="1:57" x14ac:dyDescent="0.2">
      <c r="A43" s="15">
        <f t="shared" si="9"/>
        <v>21</v>
      </c>
      <c r="B43" s="169" t="s">
        <v>707</v>
      </c>
      <c r="C43" s="168" t="s">
        <v>708</v>
      </c>
      <c r="D43" s="128" t="s">
        <v>43</v>
      </c>
      <c r="E43" s="169" t="str">
        <f t="shared" si="10"/>
        <v>30 días</v>
      </c>
      <c r="F43" s="219" t="s">
        <v>709</v>
      </c>
      <c r="G43" s="129" t="s">
        <v>143</v>
      </c>
      <c r="H43" s="129" t="s">
        <v>678</v>
      </c>
      <c r="I43" s="128" t="s">
        <v>744</v>
      </c>
      <c r="J43" s="130">
        <v>1</v>
      </c>
      <c r="K43" s="16">
        <f t="shared" si="11"/>
        <v>250000</v>
      </c>
      <c r="L43" s="134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96"/>
      <c r="X43" s="186">
        <v>50000</v>
      </c>
      <c r="Y43" s="158">
        <v>50000</v>
      </c>
      <c r="Z43" s="158">
        <v>50000</v>
      </c>
      <c r="AA43" s="158">
        <v>50000</v>
      </c>
      <c r="AB43" s="158">
        <v>50000</v>
      </c>
      <c r="AC43" s="158">
        <v>0</v>
      </c>
      <c r="AD43" s="158">
        <v>0</v>
      </c>
      <c r="AE43" s="158">
        <v>0</v>
      </c>
      <c r="AF43" s="158">
        <v>0</v>
      </c>
      <c r="AG43" s="158">
        <v>0</v>
      </c>
      <c r="AH43" s="158">
        <v>0</v>
      </c>
      <c r="AI43" s="185">
        <v>0</v>
      </c>
      <c r="AK43" s="4"/>
      <c r="AL43" s="18"/>
      <c r="AM43" s="232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5"/>
      <c r="BC43" s="18"/>
      <c r="BD43" s="4"/>
    </row>
    <row r="44" spans="1:57" x14ac:dyDescent="0.2">
      <c r="A44" s="15">
        <f t="shared" si="9"/>
        <v>21</v>
      </c>
      <c r="B44" s="169" t="s">
        <v>710</v>
      </c>
      <c r="C44" s="168" t="s">
        <v>711</v>
      </c>
      <c r="D44" s="128" t="s">
        <v>43</v>
      </c>
      <c r="E44" s="169" t="str">
        <f t="shared" si="10"/>
        <v>30 días</v>
      </c>
      <c r="F44" s="219" t="s">
        <v>712</v>
      </c>
      <c r="G44" s="129" t="s">
        <v>249</v>
      </c>
      <c r="H44" s="129" t="s">
        <v>678</v>
      </c>
      <c r="I44" s="128" t="s">
        <v>744</v>
      </c>
      <c r="J44" s="130">
        <v>1</v>
      </c>
      <c r="K44" s="16">
        <f t="shared" si="11"/>
        <v>150000</v>
      </c>
      <c r="L44" s="134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96"/>
      <c r="X44" s="186">
        <v>37500</v>
      </c>
      <c r="Y44" s="189">
        <v>37500</v>
      </c>
      <c r="Z44" s="158">
        <v>37500</v>
      </c>
      <c r="AA44" s="158">
        <v>37500</v>
      </c>
      <c r="AB44" s="158">
        <v>0</v>
      </c>
      <c r="AC44" s="158">
        <v>0</v>
      </c>
      <c r="AD44" s="158">
        <v>0</v>
      </c>
      <c r="AE44" s="158">
        <v>0</v>
      </c>
      <c r="AF44" s="158">
        <v>0</v>
      </c>
      <c r="AG44" s="158">
        <v>0</v>
      </c>
      <c r="AH44" s="158">
        <v>0</v>
      </c>
      <c r="AI44" s="185">
        <v>0</v>
      </c>
      <c r="AK44" s="4"/>
      <c r="AL44" s="18"/>
      <c r="AM44" s="232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5"/>
      <c r="BC44" s="18"/>
      <c r="BD44" s="4"/>
    </row>
    <row r="45" spans="1:57" ht="15" x14ac:dyDescent="0.2">
      <c r="A45" s="15">
        <f t="shared" si="9"/>
        <v>21</v>
      </c>
      <c r="B45" s="169" t="s">
        <v>821</v>
      </c>
      <c r="C45" s="168" t="s">
        <v>822</v>
      </c>
      <c r="D45" s="128" t="s">
        <v>43</v>
      </c>
      <c r="E45" s="169" t="str">
        <f t="shared" si="10"/>
        <v>30 días</v>
      </c>
      <c r="F45" s="219" t="s">
        <v>823</v>
      </c>
      <c r="G45" s="129" t="s">
        <v>143</v>
      </c>
      <c r="H45" s="129" t="s">
        <v>678</v>
      </c>
      <c r="I45" s="128" t="s">
        <v>744</v>
      </c>
      <c r="J45" s="130">
        <v>1</v>
      </c>
      <c r="K45" s="16">
        <f t="shared" si="11"/>
        <v>18800</v>
      </c>
      <c r="L45" s="134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96"/>
      <c r="X45" s="186">
        <v>9400</v>
      </c>
      <c r="Y45" s="189">
        <v>9400</v>
      </c>
      <c r="Z45" s="158">
        <v>0</v>
      </c>
      <c r="AA45" s="158">
        <v>0</v>
      </c>
      <c r="AB45" s="158">
        <v>0</v>
      </c>
      <c r="AC45" s="158">
        <v>0</v>
      </c>
      <c r="AD45" s="158">
        <v>0</v>
      </c>
      <c r="AE45" s="158">
        <v>0</v>
      </c>
      <c r="AF45" s="158">
        <v>0</v>
      </c>
      <c r="AG45" s="158">
        <v>0</v>
      </c>
      <c r="AH45" s="158">
        <v>0</v>
      </c>
      <c r="AI45" s="185">
        <v>0</v>
      </c>
      <c r="AK45" s="4"/>
      <c r="AL45" s="18"/>
      <c r="AM45" s="232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5"/>
      <c r="BC45" s="18"/>
      <c r="BD45" s="4"/>
      <c r="BE45"/>
    </row>
    <row r="46" spans="1:57" x14ac:dyDescent="0.2">
      <c r="A46" s="15">
        <f t="shared" si="9"/>
        <v>21</v>
      </c>
      <c r="B46" s="169" t="s">
        <v>837</v>
      </c>
      <c r="C46" s="168" t="s">
        <v>838</v>
      </c>
      <c r="D46" s="128" t="s">
        <v>46</v>
      </c>
      <c r="E46" s="169" t="str">
        <f t="shared" si="10"/>
        <v>30 días</v>
      </c>
      <c r="F46" s="219" t="s">
        <v>839</v>
      </c>
      <c r="G46" s="129" t="s">
        <v>175</v>
      </c>
      <c r="H46" s="129" t="s">
        <v>678</v>
      </c>
      <c r="I46" s="128" t="s">
        <v>744</v>
      </c>
      <c r="J46" s="130">
        <v>1</v>
      </c>
      <c r="K46" s="16">
        <f t="shared" si="11"/>
        <v>49664</v>
      </c>
      <c r="L46" s="134"/>
      <c r="M46" s="136"/>
      <c r="N46" s="136"/>
      <c r="O46" s="136"/>
      <c r="P46" s="136"/>
      <c r="Q46" s="136"/>
      <c r="R46" s="136"/>
      <c r="S46" s="136"/>
      <c r="T46" s="136"/>
      <c r="U46" s="136"/>
      <c r="V46" s="182"/>
      <c r="W46" s="195"/>
      <c r="X46" s="186">
        <v>32480</v>
      </c>
      <c r="Y46" s="189">
        <v>11297</v>
      </c>
      <c r="Z46" s="189">
        <v>5887</v>
      </c>
      <c r="AA46" s="158">
        <v>0</v>
      </c>
      <c r="AB46" s="158">
        <v>0</v>
      </c>
      <c r="AC46" s="158">
        <v>0</v>
      </c>
      <c r="AD46" s="158">
        <v>0</v>
      </c>
      <c r="AE46" s="158">
        <v>0</v>
      </c>
      <c r="AF46" s="158">
        <v>0</v>
      </c>
      <c r="AG46" s="158">
        <v>0</v>
      </c>
      <c r="AH46" s="158">
        <v>0</v>
      </c>
      <c r="AI46" s="185">
        <v>0</v>
      </c>
      <c r="AK46" s="4"/>
      <c r="AL46" s="18"/>
      <c r="AM46" s="232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5"/>
      <c r="BC46" s="18"/>
      <c r="BD46" s="4"/>
    </row>
    <row r="47" spans="1:57" x14ac:dyDescent="0.2">
      <c r="A47" s="15">
        <f t="shared" si="9"/>
        <v>21</v>
      </c>
      <c r="B47" s="169" t="s">
        <v>840</v>
      </c>
      <c r="C47" s="168" t="s">
        <v>841</v>
      </c>
      <c r="D47" s="128" t="s">
        <v>46</v>
      </c>
      <c r="E47" s="169" t="str">
        <f t="shared" si="10"/>
        <v>30 días</v>
      </c>
      <c r="F47" s="219" t="s">
        <v>842</v>
      </c>
      <c r="G47" s="129" t="s">
        <v>799</v>
      </c>
      <c r="H47" s="129" t="s">
        <v>678</v>
      </c>
      <c r="I47" s="128" t="s">
        <v>744</v>
      </c>
      <c r="J47" s="130">
        <v>1</v>
      </c>
      <c r="K47" s="16">
        <f t="shared" si="11"/>
        <v>0</v>
      </c>
      <c r="L47" s="134"/>
      <c r="M47" s="136"/>
      <c r="N47" s="136"/>
      <c r="O47" s="136"/>
      <c r="P47" s="136"/>
      <c r="Q47" s="136"/>
      <c r="R47" s="136"/>
      <c r="S47" s="136"/>
      <c r="T47" s="136"/>
      <c r="U47" s="136"/>
      <c r="V47" s="182"/>
      <c r="W47" s="195"/>
      <c r="X47" s="184">
        <v>0</v>
      </c>
      <c r="Y47" s="158">
        <v>0</v>
      </c>
      <c r="Z47" s="158">
        <v>0</v>
      </c>
      <c r="AA47" s="158">
        <v>0</v>
      </c>
      <c r="AB47" s="158">
        <v>0</v>
      </c>
      <c r="AC47" s="158">
        <v>0</v>
      </c>
      <c r="AD47" s="158">
        <v>0</v>
      </c>
      <c r="AE47" s="158">
        <v>0</v>
      </c>
      <c r="AF47" s="158">
        <v>0</v>
      </c>
      <c r="AG47" s="158">
        <v>0</v>
      </c>
      <c r="AH47" s="158">
        <v>0</v>
      </c>
      <c r="AI47" s="185">
        <v>0</v>
      </c>
      <c r="AK47" s="4"/>
      <c r="AL47" s="18"/>
      <c r="AM47" s="238"/>
      <c r="AN47" s="239"/>
      <c r="AO47" s="239"/>
      <c r="AP47" s="239"/>
      <c r="AQ47" s="239"/>
      <c r="AR47" s="239"/>
      <c r="AS47" s="239"/>
      <c r="AT47" s="239"/>
      <c r="AU47" s="239"/>
      <c r="AV47" s="239"/>
      <c r="AW47" s="239"/>
      <c r="AX47" s="239"/>
      <c r="AY47" s="239"/>
      <c r="AZ47" s="239"/>
      <c r="BA47" s="239"/>
      <c r="BB47" s="240"/>
      <c r="BC47" s="18"/>
      <c r="BD47" s="4"/>
    </row>
    <row r="48" spans="1:57" x14ac:dyDescent="0.2">
      <c r="A48" s="15">
        <f t="shared" si="9"/>
        <v>21</v>
      </c>
      <c r="B48" s="169" t="s">
        <v>716</v>
      </c>
      <c r="C48" s="168" t="s">
        <v>717</v>
      </c>
      <c r="D48" s="128" t="s">
        <v>46</v>
      </c>
      <c r="E48" s="169" t="str">
        <f t="shared" si="10"/>
        <v>30 días</v>
      </c>
      <c r="F48" s="219" t="s">
        <v>717</v>
      </c>
      <c r="G48" s="129" t="s">
        <v>626</v>
      </c>
      <c r="H48" s="129" t="s">
        <v>678</v>
      </c>
      <c r="I48" s="128" t="s">
        <v>744</v>
      </c>
      <c r="J48" s="130">
        <v>1</v>
      </c>
      <c r="K48" s="16">
        <f t="shared" si="11"/>
        <v>115136</v>
      </c>
      <c r="L48" s="134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96"/>
      <c r="X48" s="186">
        <v>38378.666666666664</v>
      </c>
      <c r="Y48" s="189">
        <v>38378.666666666664</v>
      </c>
      <c r="Z48" s="158">
        <v>38378.666666666664</v>
      </c>
      <c r="AA48" s="158">
        <v>0</v>
      </c>
      <c r="AB48" s="158">
        <v>0</v>
      </c>
      <c r="AC48" s="158">
        <v>0</v>
      </c>
      <c r="AD48" s="158">
        <v>0</v>
      </c>
      <c r="AE48" s="158">
        <v>0</v>
      </c>
      <c r="AF48" s="158">
        <v>0</v>
      </c>
      <c r="AG48" s="158">
        <v>0</v>
      </c>
      <c r="AH48" s="158">
        <v>0</v>
      </c>
      <c r="AI48" s="185">
        <v>0</v>
      </c>
      <c r="AK48" s="4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4"/>
    </row>
    <row r="49" spans="1:57" x14ac:dyDescent="0.2">
      <c r="A49" s="15">
        <f t="shared" si="9"/>
        <v>21</v>
      </c>
      <c r="B49" s="169" t="s">
        <v>966</v>
      </c>
      <c r="C49" s="168" t="s">
        <v>844</v>
      </c>
      <c r="D49" s="128" t="s">
        <v>44</v>
      </c>
      <c r="E49" s="169" t="str">
        <f t="shared" si="10"/>
        <v>Por definir</v>
      </c>
      <c r="F49" s="219" t="s">
        <v>846</v>
      </c>
      <c r="G49" s="129" t="s">
        <v>113</v>
      </c>
      <c r="H49" s="129" t="s">
        <v>678</v>
      </c>
      <c r="I49" s="128" t="s">
        <v>744</v>
      </c>
      <c r="J49" s="130">
        <v>1</v>
      </c>
      <c r="K49" s="16">
        <f t="shared" si="11"/>
        <v>536410</v>
      </c>
      <c r="L49" s="134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96"/>
      <c r="X49" s="184">
        <v>0</v>
      </c>
      <c r="Y49" s="189">
        <v>107282</v>
      </c>
      <c r="Z49" s="158">
        <v>107282</v>
      </c>
      <c r="AA49" s="158">
        <v>107282</v>
      </c>
      <c r="AB49" s="158">
        <v>107282</v>
      </c>
      <c r="AC49" s="158">
        <v>107282</v>
      </c>
      <c r="AD49" s="158">
        <v>0</v>
      </c>
      <c r="AE49" s="158">
        <v>0</v>
      </c>
      <c r="AF49" s="158">
        <v>0</v>
      </c>
      <c r="AG49" s="158">
        <v>0</v>
      </c>
      <c r="AH49" s="158">
        <v>0</v>
      </c>
      <c r="AI49" s="185">
        <v>0</v>
      </c>
      <c r="AK49" s="4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4"/>
    </row>
    <row r="50" spans="1:57" x14ac:dyDescent="0.2">
      <c r="A50" s="15">
        <f t="shared" si="9"/>
        <v>21</v>
      </c>
      <c r="B50" s="169" t="s">
        <v>973</v>
      </c>
      <c r="C50" s="17" t="s">
        <v>144</v>
      </c>
      <c r="D50" s="128" t="s">
        <v>43</v>
      </c>
      <c r="E50" s="169" t="str">
        <f t="shared" si="10"/>
        <v>30 días</v>
      </c>
      <c r="F50" s="219" t="s">
        <v>144</v>
      </c>
      <c r="G50" s="129" t="s">
        <v>143</v>
      </c>
      <c r="H50" s="129" t="s">
        <v>743</v>
      </c>
      <c r="I50" s="128" t="s">
        <v>744</v>
      </c>
      <c r="J50" s="130">
        <v>1</v>
      </c>
      <c r="K50" s="16">
        <f t="shared" si="11"/>
        <v>40000</v>
      </c>
      <c r="L50" s="134"/>
      <c r="M50" s="136"/>
      <c r="N50" s="136"/>
      <c r="O50" s="136"/>
      <c r="P50" s="136"/>
      <c r="Q50" s="136"/>
      <c r="R50" s="136"/>
      <c r="S50" s="136"/>
      <c r="T50" s="143"/>
      <c r="U50" s="136"/>
      <c r="V50" s="136"/>
      <c r="W50" s="177"/>
      <c r="X50" s="198">
        <v>30000</v>
      </c>
      <c r="Y50" s="212">
        <v>10000</v>
      </c>
      <c r="Z50" s="139">
        <v>0</v>
      </c>
      <c r="AA50" s="139">
        <v>0</v>
      </c>
      <c r="AB50" s="139">
        <v>0</v>
      </c>
      <c r="AC50" s="139">
        <v>0</v>
      </c>
      <c r="AD50" s="139">
        <v>0</v>
      </c>
      <c r="AE50" s="139">
        <f>+'PBI_Flujo Caja (+Pipeline) 2023'!AI71</f>
        <v>0</v>
      </c>
      <c r="AF50" s="139">
        <f>+'PBI_Flujo Caja (+Pipeline) 2023'!AJ71</f>
        <v>0</v>
      </c>
      <c r="AG50" s="139">
        <f>+'PBI_Flujo Caja (+Pipeline) 2023'!AK71</f>
        <v>0</v>
      </c>
      <c r="AH50" s="139">
        <f>+'PBI_Flujo Caja (+Pipeline) 2023'!AL71</f>
        <v>0</v>
      </c>
      <c r="AI50" s="185">
        <f>+'PBI_Flujo Caja (+Pipeline) 2023'!AM71</f>
        <v>0</v>
      </c>
      <c r="AK50" s="4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4"/>
    </row>
    <row r="51" spans="1:57" ht="15" x14ac:dyDescent="0.2">
      <c r="A51" s="15">
        <f t="shared" si="9"/>
        <v>21</v>
      </c>
      <c r="B51" s="169" t="s">
        <v>974</v>
      </c>
      <c r="C51" s="17" t="s">
        <v>278</v>
      </c>
      <c r="D51" s="128" t="s">
        <v>43</v>
      </c>
      <c r="E51" s="169" t="str">
        <f t="shared" si="10"/>
        <v>30 días</v>
      </c>
      <c r="F51" s="219" t="s">
        <v>975</v>
      </c>
      <c r="G51" s="129" t="s">
        <v>143</v>
      </c>
      <c r="H51" s="129" t="s">
        <v>743</v>
      </c>
      <c r="I51" s="128" t="s">
        <v>744</v>
      </c>
      <c r="J51" s="130">
        <v>1</v>
      </c>
      <c r="K51" s="16">
        <f t="shared" si="11"/>
        <v>83300</v>
      </c>
      <c r="L51" s="134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61"/>
      <c r="X51" s="198">
        <v>83300</v>
      </c>
      <c r="Y51" s="149">
        <v>0</v>
      </c>
      <c r="Z51" s="158">
        <v>0</v>
      </c>
      <c r="AA51" s="158">
        <v>0</v>
      </c>
      <c r="AB51" s="158">
        <v>0</v>
      </c>
      <c r="AC51" s="158">
        <v>0</v>
      </c>
      <c r="AD51" s="158">
        <v>0</v>
      </c>
      <c r="AE51" s="158">
        <v>0</v>
      </c>
      <c r="AF51" s="158">
        <v>0</v>
      </c>
      <c r="AG51" s="158">
        <v>0</v>
      </c>
      <c r="AH51" s="158">
        <v>0</v>
      </c>
      <c r="AI51" s="185">
        <v>0</v>
      </c>
      <c r="AK51" s="4"/>
      <c r="AL51" s="18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8"/>
      <c r="BD51" s="4"/>
      <c r="BE51"/>
    </row>
    <row r="52" spans="1:57" x14ac:dyDescent="0.2">
      <c r="A52" s="15">
        <f t="shared" si="9"/>
        <v>21</v>
      </c>
      <c r="B52" s="169" t="s">
        <v>847</v>
      </c>
      <c r="C52" s="17" t="s">
        <v>848</v>
      </c>
      <c r="D52" s="128" t="s">
        <v>46</v>
      </c>
      <c r="E52" s="169" t="str">
        <f t="shared" si="10"/>
        <v>30 días</v>
      </c>
      <c r="F52" s="219" t="s">
        <v>848</v>
      </c>
      <c r="G52" s="129" t="s">
        <v>175</v>
      </c>
      <c r="H52" s="129" t="s">
        <v>743</v>
      </c>
      <c r="I52" s="128" t="s">
        <v>744</v>
      </c>
      <c r="J52" s="130">
        <v>1</v>
      </c>
      <c r="K52" s="16">
        <f t="shared" si="11"/>
        <v>15000</v>
      </c>
      <c r="L52" s="134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83"/>
      <c r="X52" s="198">
        <v>15000</v>
      </c>
      <c r="Y52" s="149">
        <v>0</v>
      </c>
      <c r="Z52" s="158">
        <v>0</v>
      </c>
      <c r="AA52" s="158">
        <v>0</v>
      </c>
      <c r="AB52" s="158">
        <v>0</v>
      </c>
      <c r="AC52" s="158">
        <v>0</v>
      </c>
      <c r="AD52" s="158">
        <v>0</v>
      </c>
      <c r="AE52" s="158">
        <v>0</v>
      </c>
      <c r="AF52" s="158">
        <v>0</v>
      </c>
      <c r="AG52" s="158">
        <v>0</v>
      </c>
      <c r="AH52" s="158">
        <v>0</v>
      </c>
      <c r="AI52" s="185">
        <v>0</v>
      </c>
      <c r="AK52" s="4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4"/>
    </row>
    <row r="53" spans="1:57" x14ac:dyDescent="0.2">
      <c r="A53" s="15">
        <f t="shared" si="9"/>
        <v>21</v>
      </c>
      <c r="B53" s="169" t="s">
        <v>713</v>
      </c>
      <c r="C53" s="17" t="s">
        <v>967</v>
      </c>
      <c r="D53" s="128" t="s">
        <v>43</v>
      </c>
      <c r="E53" s="169" t="str">
        <f t="shared" si="10"/>
        <v>30 días</v>
      </c>
      <c r="F53" s="219" t="s">
        <v>715</v>
      </c>
      <c r="G53" s="129" t="s">
        <v>143</v>
      </c>
      <c r="H53" s="129" t="s">
        <v>678</v>
      </c>
      <c r="I53" s="128" t="s">
        <v>744</v>
      </c>
      <c r="J53" s="130">
        <v>1</v>
      </c>
      <c r="K53" s="16">
        <f t="shared" si="11"/>
        <v>350000</v>
      </c>
      <c r="L53" s="134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59"/>
      <c r="X53" s="197">
        <v>0</v>
      </c>
      <c r="Y53" s="149">
        <v>0</v>
      </c>
      <c r="Z53" s="158">
        <v>70000</v>
      </c>
      <c r="AA53" s="158">
        <v>70000</v>
      </c>
      <c r="AB53" s="158">
        <v>70000</v>
      </c>
      <c r="AC53" s="158">
        <v>70000</v>
      </c>
      <c r="AD53" s="158">
        <v>70000</v>
      </c>
      <c r="AE53" s="158">
        <v>0</v>
      </c>
      <c r="AF53" s="158">
        <v>0</v>
      </c>
      <c r="AG53" s="158">
        <v>0</v>
      </c>
      <c r="AH53" s="158">
        <v>0</v>
      </c>
      <c r="AI53" s="185">
        <v>0</v>
      </c>
      <c r="AK53" s="4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4"/>
    </row>
    <row r="54" spans="1:57" x14ac:dyDescent="0.2">
      <c r="A54" s="15">
        <f t="shared" si="9"/>
        <v>21</v>
      </c>
      <c r="B54" s="169" t="s">
        <v>968</v>
      </c>
      <c r="C54" s="17" t="s">
        <v>969</v>
      </c>
      <c r="D54" s="128" t="s">
        <v>43</v>
      </c>
      <c r="E54" s="169" t="str">
        <f t="shared" si="10"/>
        <v>30 días</v>
      </c>
      <c r="F54" s="219" t="s">
        <v>969</v>
      </c>
      <c r="G54" s="129" t="s">
        <v>168</v>
      </c>
      <c r="H54" s="129" t="s">
        <v>678</v>
      </c>
      <c r="I54" s="128" t="s">
        <v>744</v>
      </c>
      <c r="J54" s="130">
        <v>1</v>
      </c>
      <c r="K54" s="16">
        <f t="shared" si="11"/>
        <v>170000</v>
      </c>
      <c r="L54" s="134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61"/>
      <c r="X54" s="197">
        <v>0</v>
      </c>
      <c r="Y54" s="149">
        <v>0</v>
      </c>
      <c r="Z54" s="139">
        <v>42500</v>
      </c>
      <c r="AA54" s="139">
        <v>42500</v>
      </c>
      <c r="AB54" s="139">
        <v>42500</v>
      </c>
      <c r="AC54" s="139">
        <v>42500</v>
      </c>
      <c r="AD54" s="139">
        <v>0</v>
      </c>
      <c r="AE54" s="139">
        <f>+'PBI_Flujo Caja (+Pipeline) 2023'!AI51</f>
        <v>0</v>
      </c>
      <c r="AF54" s="139">
        <f>+'PBI_Flujo Caja (+Pipeline) 2023'!AJ51</f>
        <v>0</v>
      </c>
      <c r="AG54" s="139">
        <f>+'PBI_Flujo Caja (+Pipeline) 2023'!AK51</f>
        <v>0</v>
      </c>
      <c r="AH54" s="139">
        <f>+'PBI_Flujo Caja (+Pipeline) 2023'!AL51</f>
        <v>0</v>
      </c>
      <c r="AI54" s="185">
        <f>+'PBI_Flujo Caja (+Pipeline) 2023'!AM51</f>
        <v>0</v>
      </c>
      <c r="AK54" s="4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4"/>
    </row>
    <row r="55" spans="1:57" x14ac:dyDescent="0.2">
      <c r="A55" s="15">
        <f t="shared" si="9"/>
        <v>0</v>
      </c>
      <c r="B55" s="169"/>
      <c r="C55" s="17" t="s">
        <v>349</v>
      </c>
      <c r="D55" s="128" t="s">
        <v>45</v>
      </c>
      <c r="E55" s="169" t="str">
        <f t="shared" si="10"/>
        <v>60 días</v>
      </c>
      <c r="F55" s="175" t="s">
        <v>349</v>
      </c>
      <c r="G55" s="129" t="s">
        <v>195</v>
      </c>
      <c r="H55" s="129" t="s">
        <v>957</v>
      </c>
      <c r="I55" s="128"/>
      <c r="J55" s="130"/>
      <c r="K55" s="16">
        <f t="shared" si="11"/>
        <v>0</v>
      </c>
      <c r="L55" s="163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90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91"/>
      <c r="AK55" s="4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4"/>
    </row>
    <row r="56" spans="1:57" x14ac:dyDescent="0.2">
      <c r="A56" s="15">
        <f t="shared" si="9"/>
        <v>0</v>
      </c>
      <c r="B56" s="169"/>
      <c r="C56" s="17" t="s">
        <v>1010</v>
      </c>
      <c r="D56" s="128" t="s">
        <v>45</v>
      </c>
      <c r="E56" s="169" t="str">
        <f t="shared" si="10"/>
        <v>60 días</v>
      </c>
      <c r="F56" s="175" t="s">
        <v>1010</v>
      </c>
      <c r="G56" s="129" t="s">
        <v>195</v>
      </c>
      <c r="H56" s="129" t="s">
        <v>957</v>
      </c>
      <c r="I56" s="128"/>
      <c r="J56" s="130"/>
      <c r="K56" s="16">
        <f t="shared" si="11"/>
        <v>0</v>
      </c>
      <c r="L56" s="163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90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91"/>
      <c r="AK56" s="4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4"/>
    </row>
    <row r="57" spans="1:57" x14ac:dyDescent="0.2">
      <c r="A57" s="15">
        <f t="shared" si="9"/>
        <v>0</v>
      </c>
      <c r="B57" s="169"/>
      <c r="C57" s="17" t="s">
        <v>1011</v>
      </c>
      <c r="D57" s="128" t="s">
        <v>45</v>
      </c>
      <c r="E57" s="169" t="str">
        <f t="shared" si="10"/>
        <v>60 días</v>
      </c>
      <c r="F57" s="175" t="s">
        <v>1011</v>
      </c>
      <c r="G57" s="129" t="s">
        <v>213</v>
      </c>
      <c r="H57" s="129" t="s">
        <v>957</v>
      </c>
      <c r="I57" s="128"/>
      <c r="J57" s="130"/>
      <c r="K57" s="16">
        <f t="shared" si="11"/>
        <v>0</v>
      </c>
      <c r="L57" s="163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90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91"/>
      <c r="AK57" s="4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4"/>
    </row>
    <row r="58" spans="1:57" x14ac:dyDescent="0.2">
      <c r="A58" s="15">
        <f t="shared" si="9"/>
        <v>0</v>
      </c>
      <c r="B58" s="169"/>
      <c r="C58" s="17" t="s">
        <v>1012</v>
      </c>
      <c r="D58" s="128" t="s">
        <v>45</v>
      </c>
      <c r="E58" s="169" t="str">
        <f t="shared" si="10"/>
        <v>60 días</v>
      </c>
      <c r="F58" s="175" t="s">
        <v>1012</v>
      </c>
      <c r="G58" s="129" t="s">
        <v>1013</v>
      </c>
      <c r="H58" s="129" t="s">
        <v>957</v>
      </c>
      <c r="I58" s="128"/>
      <c r="J58" s="130"/>
      <c r="K58" s="16">
        <f t="shared" si="11"/>
        <v>0</v>
      </c>
      <c r="L58" s="163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90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91"/>
      <c r="AK58" s="4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4"/>
    </row>
    <row r="59" spans="1:57" x14ac:dyDescent="0.2">
      <c r="A59" s="15">
        <f t="shared" si="9"/>
        <v>0</v>
      </c>
      <c r="B59" s="169"/>
      <c r="C59" s="17" t="s">
        <v>1014</v>
      </c>
      <c r="D59" s="128" t="s">
        <v>43</v>
      </c>
      <c r="E59" s="169" t="str">
        <f t="shared" si="10"/>
        <v>30 días</v>
      </c>
      <c r="F59" s="175" t="s">
        <v>1014</v>
      </c>
      <c r="G59" s="129" t="s">
        <v>934</v>
      </c>
      <c r="H59" s="129" t="s">
        <v>957</v>
      </c>
      <c r="I59" s="128"/>
      <c r="J59" s="130"/>
      <c r="K59" s="16">
        <f t="shared" si="11"/>
        <v>0</v>
      </c>
      <c r="L59" s="163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90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91"/>
      <c r="AK59" s="4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4"/>
    </row>
    <row r="60" spans="1:57" x14ac:dyDescent="0.2">
      <c r="A60" s="15">
        <f t="shared" si="9"/>
        <v>0</v>
      </c>
      <c r="B60" s="169"/>
      <c r="C60" s="17" t="s">
        <v>1015</v>
      </c>
      <c r="D60" s="128" t="s">
        <v>43</v>
      </c>
      <c r="E60" s="169" t="str">
        <f t="shared" si="10"/>
        <v>30 días</v>
      </c>
      <c r="F60" s="175" t="s">
        <v>1015</v>
      </c>
      <c r="G60" s="129" t="s">
        <v>1016</v>
      </c>
      <c r="H60" s="129" t="s">
        <v>957</v>
      </c>
      <c r="I60" s="128"/>
      <c r="J60" s="130"/>
      <c r="K60" s="16">
        <f t="shared" si="11"/>
        <v>0</v>
      </c>
      <c r="L60" s="163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90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91"/>
      <c r="AK60" s="4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4"/>
    </row>
    <row r="61" spans="1:57" x14ac:dyDescent="0.2">
      <c r="A61" s="15">
        <f t="shared" si="9"/>
        <v>0</v>
      </c>
      <c r="B61" s="169"/>
      <c r="C61" s="17" t="s">
        <v>1017</v>
      </c>
      <c r="D61" s="128" t="s">
        <v>43</v>
      </c>
      <c r="E61" s="169" t="str">
        <f t="shared" si="10"/>
        <v>30 días</v>
      </c>
      <c r="F61" s="175" t="s">
        <v>1017</v>
      </c>
      <c r="G61" s="129" t="s">
        <v>1018</v>
      </c>
      <c r="H61" s="129" t="s">
        <v>957</v>
      </c>
      <c r="I61" s="128"/>
      <c r="J61" s="130"/>
      <c r="K61" s="16">
        <f t="shared" si="11"/>
        <v>0</v>
      </c>
      <c r="L61" s="163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90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91"/>
      <c r="AK61" s="4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4"/>
    </row>
    <row r="62" spans="1:57" x14ac:dyDescent="0.2">
      <c r="A62" s="15">
        <f t="shared" si="9"/>
        <v>0</v>
      </c>
      <c r="B62" s="169"/>
      <c r="C62" s="17" t="s">
        <v>1019</v>
      </c>
      <c r="D62" s="128" t="s">
        <v>43</v>
      </c>
      <c r="E62" s="169" t="str">
        <f t="shared" si="10"/>
        <v>30 días</v>
      </c>
      <c r="F62" s="175" t="s">
        <v>1019</v>
      </c>
      <c r="G62" s="129" t="s">
        <v>1020</v>
      </c>
      <c r="H62" s="129" t="s">
        <v>957</v>
      </c>
      <c r="I62" s="128"/>
      <c r="J62" s="130"/>
      <c r="K62" s="16">
        <f t="shared" si="11"/>
        <v>0</v>
      </c>
      <c r="L62" s="163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90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91"/>
      <c r="AK62" s="4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4"/>
    </row>
    <row r="63" spans="1:57" x14ac:dyDescent="0.2">
      <c r="A63" s="15">
        <f t="shared" si="9"/>
        <v>0</v>
      </c>
      <c r="B63" s="169"/>
      <c r="C63" s="17" t="s">
        <v>1021</v>
      </c>
      <c r="D63" s="128" t="s">
        <v>43</v>
      </c>
      <c r="E63" s="169" t="str">
        <f t="shared" si="10"/>
        <v>30 días</v>
      </c>
      <c r="F63" s="175" t="s">
        <v>1021</v>
      </c>
      <c r="G63" s="129" t="s">
        <v>1020</v>
      </c>
      <c r="H63" s="129" t="s">
        <v>957</v>
      </c>
      <c r="I63" s="128"/>
      <c r="J63" s="130"/>
      <c r="K63" s="16">
        <f t="shared" si="11"/>
        <v>0</v>
      </c>
      <c r="L63" s="163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90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91"/>
      <c r="AK63" s="4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4"/>
    </row>
    <row r="64" spans="1:57" x14ac:dyDescent="0.2">
      <c r="A64" s="15">
        <f t="shared" si="9"/>
        <v>0</v>
      </c>
      <c r="B64" s="169"/>
      <c r="C64" s="17" t="s">
        <v>1022</v>
      </c>
      <c r="D64" s="128" t="s">
        <v>43</v>
      </c>
      <c r="E64" s="169" t="str">
        <f t="shared" si="10"/>
        <v>30 días</v>
      </c>
      <c r="F64" s="175" t="s">
        <v>1022</v>
      </c>
      <c r="G64" s="129" t="s">
        <v>1023</v>
      </c>
      <c r="H64" s="129" t="s">
        <v>957</v>
      </c>
      <c r="I64" s="128"/>
      <c r="J64" s="130"/>
      <c r="K64" s="16">
        <f t="shared" si="11"/>
        <v>0</v>
      </c>
      <c r="L64" s="163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90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91"/>
      <c r="AK64" s="4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4"/>
    </row>
    <row r="65" spans="1:56" x14ac:dyDescent="0.2">
      <c r="A65" s="15">
        <f t="shared" si="9"/>
        <v>0</v>
      </c>
      <c r="B65" s="169"/>
      <c r="C65" s="17" t="s">
        <v>1024</v>
      </c>
      <c r="D65" s="128" t="s">
        <v>43</v>
      </c>
      <c r="E65" s="169" t="str">
        <f t="shared" si="10"/>
        <v>30 días</v>
      </c>
      <c r="F65" s="175" t="s">
        <v>1024</v>
      </c>
      <c r="G65" s="129" t="s">
        <v>1018</v>
      </c>
      <c r="H65" s="129" t="s">
        <v>957</v>
      </c>
      <c r="I65" s="128"/>
      <c r="J65" s="130"/>
      <c r="K65" s="16">
        <f t="shared" si="11"/>
        <v>0</v>
      </c>
      <c r="L65" s="163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90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91"/>
      <c r="AK65" s="4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4"/>
    </row>
    <row r="66" spans="1:56" x14ac:dyDescent="0.2">
      <c r="A66" s="15">
        <f t="shared" si="9"/>
        <v>0</v>
      </c>
      <c r="B66" s="169"/>
      <c r="C66" s="17" t="s">
        <v>1025</v>
      </c>
      <c r="D66" s="128" t="s">
        <v>43</v>
      </c>
      <c r="E66" s="169" t="str">
        <f t="shared" si="10"/>
        <v>30 días</v>
      </c>
      <c r="F66" s="175" t="s">
        <v>1025</v>
      </c>
      <c r="G66" s="129" t="s">
        <v>1026</v>
      </c>
      <c r="H66" s="129" t="s">
        <v>957</v>
      </c>
      <c r="I66" s="128"/>
      <c r="J66" s="130"/>
      <c r="K66" s="16">
        <f t="shared" si="11"/>
        <v>0</v>
      </c>
      <c r="L66" s="163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90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91"/>
      <c r="AK66" s="4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4"/>
    </row>
    <row r="67" spans="1:56" x14ac:dyDescent="0.2">
      <c r="A67" s="15">
        <f t="shared" si="9"/>
        <v>0</v>
      </c>
      <c r="B67" s="169"/>
      <c r="C67" s="17" t="s">
        <v>1027</v>
      </c>
      <c r="D67" s="128" t="s">
        <v>43</v>
      </c>
      <c r="E67" s="169" t="str">
        <f t="shared" si="10"/>
        <v>30 días</v>
      </c>
      <c r="F67" s="175" t="s">
        <v>1027</v>
      </c>
      <c r="G67" s="129" t="s">
        <v>1028</v>
      </c>
      <c r="H67" s="129" t="s">
        <v>957</v>
      </c>
      <c r="I67" s="128"/>
      <c r="J67" s="130"/>
      <c r="K67" s="16">
        <f t="shared" si="11"/>
        <v>0</v>
      </c>
      <c r="L67" s="163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90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91"/>
      <c r="AK67" s="4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4"/>
    </row>
    <row r="68" spans="1:56" x14ac:dyDescent="0.2">
      <c r="A68" s="15">
        <f t="shared" si="9"/>
        <v>0</v>
      </c>
      <c r="B68" s="169"/>
      <c r="C68" s="17" t="s">
        <v>1029</v>
      </c>
      <c r="D68" s="128" t="s">
        <v>43</v>
      </c>
      <c r="E68" s="169" t="str">
        <f t="shared" si="10"/>
        <v>30 días</v>
      </c>
      <c r="F68" s="175" t="s">
        <v>1029</v>
      </c>
      <c r="G68" s="129" t="s">
        <v>1030</v>
      </c>
      <c r="H68" s="129" t="s">
        <v>957</v>
      </c>
      <c r="I68" s="128"/>
      <c r="J68" s="130"/>
      <c r="K68" s="16">
        <f t="shared" si="11"/>
        <v>0</v>
      </c>
      <c r="L68" s="163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90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91"/>
      <c r="AK68" s="4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4"/>
    </row>
    <row r="69" spans="1:56" x14ac:dyDescent="0.2">
      <c r="A69" s="15">
        <f t="shared" si="9"/>
        <v>0</v>
      </c>
      <c r="B69" s="169"/>
      <c r="C69" s="17" t="s">
        <v>1031</v>
      </c>
      <c r="D69" s="128" t="s">
        <v>43</v>
      </c>
      <c r="E69" s="169" t="str">
        <f t="shared" si="10"/>
        <v>30 días</v>
      </c>
      <c r="F69" s="175" t="s">
        <v>1031</v>
      </c>
      <c r="G69" s="129" t="s">
        <v>1032</v>
      </c>
      <c r="H69" s="129" t="s">
        <v>957</v>
      </c>
      <c r="I69" s="128"/>
      <c r="J69" s="130"/>
      <c r="K69" s="16">
        <f t="shared" si="11"/>
        <v>0</v>
      </c>
      <c r="L69" s="163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90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91"/>
      <c r="AK69" s="4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4"/>
    </row>
    <row r="70" spans="1:56" x14ac:dyDescent="0.2">
      <c r="A70" s="15">
        <f t="shared" si="9"/>
        <v>0</v>
      </c>
      <c r="B70" s="169"/>
      <c r="C70" s="17" t="s">
        <v>1033</v>
      </c>
      <c r="D70" s="128" t="s">
        <v>43</v>
      </c>
      <c r="E70" s="169" t="str">
        <f t="shared" si="10"/>
        <v>30 días</v>
      </c>
      <c r="F70" s="175" t="s">
        <v>1033</v>
      </c>
      <c r="G70" s="129" t="s">
        <v>1034</v>
      </c>
      <c r="H70" s="129" t="s">
        <v>957</v>
      </c>
      <c r="I70" s="128"/>
      <c r="J70" s="130"/>
      <c r="K70" s="16">
        <f t="shared" si="11"/>
        <v>0</v>
      </c>
      <c r="L70" s="163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90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91"/>
      <c r="AK70" s="4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4"/>
    </row>
    <row r="71" spans="1:56" x14ac:dyDescent="0.2">
      <c r="A71" s="15">
        <f t="shared" si="9"/>
        <v>0</v>
      </c>
      <c r="B71" s="169"/>
      <c r="C71" s="17" t="s">
        <v>998</v>
      </c>
      <c r="D71" s="128" t="s">
        <v>43</v>
      </c>
      <c r="E71" s="169" t="str">
        <f t="shared" si="10"/>
        <v>30 días</v>
      </c>
      <c r="F71" s="175" t="s">
        <v>998</v>
      </c>
      <c r="G71" s="129" t="s">
        <v>999</v>
      </c>
      <c r="H71" s="129" t="s">
        <v>957</v>
      </c>
      <c r="I71" s="128"/>
      <c r="J71" s="130"/>
      <c r="K71" s="16">
        <f t="shared" si="11"/>
        <v>0</v>
      </c>
      <c r="L71" s="163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90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91"/>
      <c r="AK71" s="4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4"/>
    </row>
    <row r="72" spans="1:56" x14ac:dyDescent="0.2">
      <c r="A72" s="15">
        <f t="shared" si="9"/>
        <v>0</v>
      </c>
      <c r="B72" s="169"/>
      <c r="C72" s="17" t="s">
        <v>1035</v>
      </c>
      <c r="D72" s="128" t="s">
        <v>43</v>
      </c>
      <c r="E72" s="169" t="str">
        <f t="shared" si="10"/>
        <v>30 días</v>
      </c>
      <c r="F72" s="175" t="s">
        <v>1035</v>
      </c>
      <c r="G72" s="129" t="s">
        <v>1036</v>
      </c>
      <c r="H72" s="129" t="s">
        <v>957</v>
      </c>
      <c r="I72" s="128"/>
      <c r="J72" s="130"/>
      <c r="K72" s="16">
        <f t="shared" si="11"/>
        <v>0</v>
      </c>
      <c r="L72" s="163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90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91"/>
      <c r="AK72" s="4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4"/>
    </row>
    <row r="73" spans="1:56" x14ac:dyDescent="0.2">
      <c r="A73" s="15">
        <f t="shared" si="9"/>
        <v>0</v>
      </c>
      <c r="B73" s="169"/>
      <c r="C73" s="17" t="s">
        <v>1037</v>
      </c>
      <c r="D73" s="128" t="s">
        <v>43</v>
      </c>
      <c r="E73" s="169" t="str">
        <f t="shared" si="10"/>
        <v>30 días</v>
      </c>
      <c r="F73" s="175" t="s">
        <v>1037</v>
      </c>
      <c r="G73" s="129" t="s">
        <v>1037</v>
      </c>
      <c r="H73" s="129" t="s">
        <v>957</v>
      </c>
      <c r="I73" s="128"/>
      <c r="J73" s="130"/>
      <c r="K73" s="16">
        <f t="shared" si="11"/>
        <v>0</v>
      </c>
      <c r="L73" s="163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90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91"/>
      <c r="AK73" s="4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4"/>
    </row>
    <row r="74" spans="1:56" x14ac:dyDescent="0.2">
      <c r="A74" s="15">
        <f t="shared" si="9"/>
        <v>0</v>
      </c>
      <c r="B74" s="169"/>
      <c r="C74" s="17" t="s">
        <v>1038</v>
      </c>
      <c r="D74" s="128" t="s">
        <v>43</v>
      </c>
      <c r="E74" s="169" t="str">
        <f t="shared" si="10"/>
        <v>30 días</v>
      </c>
      <c r="F74" s="175" t="s">
        <v>1038</v>
      </c>
      <c r="G74" s="129" t="s">
        <v>1039</v>
      </c>
      <c r="H74" s="129" t="s">
        <v>957</v>
      </c>
      <c r="I74" s="128"/>
      <c r="J74" s="130"/>
      <c r="K74" s="16">
        <f t="shared" si="11"/>
        <v>0</v>
      </c>
      <c r="L74" s="163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90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91"/>
      <c r="AK74" s="4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4"/>
    </row>
    <row r="75" spans="1:56" x14ac:dyDescent="0.2">
      <c r="A75" s="15">
        <f t="shared" si="9"/>
        <v>0</v>
      </c>
      <c r="B75" s="169"/>
      <c r="C75" s="17" t="s">
        <v>1040</v>
      </c>
      <c r="D75" s="128" t="s">
        <v>43</v>
      </c>
      <c r="E75" s="169" t="str">
        <f t="shared" si="10"/>
        <v>30 días</v>
      </c>
      <c r="F75" s="175" t="s">
        <v>1040</v>
      </c>
      <c r="G75" s="129" t="s">
        <v>244</v>
      </c>
      <c r="H75" s="129" t="s">
        <v>957</v>
      </c>
      <c r="I75" s="128"/>
      <c r="J75" s="130"/>
      <c r="K75" s="16">
        <f t="shared" si="11"/>
        <v>0</v>
      </c>
      <c r="L75" s="163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90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91"/>
      <c r="AK75" s="4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4"/>
    </row>
    <row r="76" spans="1:56" x14ac:dyDescent="0.2">
      <c r="A76" s="15">
        <f t="shared" si="9"/>
        <v>0</v>
      </c>
      <c r="B76" s="169"/>
      <c r="C76" s="17" t="s">
        <v>1041</v>
      </c>
      <c r="D76" s="128" t="s">
        <v>43</v>
      </c>
      <c r="E76" s="169" t="str">
        <f t="shared" si="10"/>
        <v>30 días</v>
      </c>
      <c r="F76" s="175" t="s">
        <v>1041</v>
      </c>
      <c r="G76" s="129" t="s">
        <v>1041</v>
      </c>
      <c r="H76" s="129" t="s">
        <v>957</v>
      </c>
      <c r="I76" s="128"/>
      <c r="J76" s="130"/>
      <c r="K76" s="16">
        <f t="shared" si="11"/>
        <v>0</v>
      </c>
      <c r="L76" s="163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90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91"/>
      <c r="AK76" s="4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4"/>
    </row>
    <row r="77" spans="1:56" x14ac:dyDescent="0.2">
      <c r="A77" s="15">
        <f t="shared" si="9"/>
        <v>0</v>
      </c>
      <c r="B77" s="169"/>
      <c r="C77" s="17" t="s">
        <v>1042</v>
      </c>
      <c r="D77" s="128" t="s">
        <v>43</v>
      </c>
      <c r="E77" s="169" t="str">
        <f t="shared" si="10"/>
        <v>30 días</v>
      </c>
      <c r="F77" s="175" t="s">
        <v>1042</v>
      </c>
      <c r="G77" s="129" t="s">
        <v>650</v>
      </c>
      <c r="H77" s="129" t="s">
        <v>957</v>
      </c>
      <c r="I77" s="128"/>
      <c r="J77" s="130"/>
      <c r="K77" s="16">
        <f t="shared" si="11"/>
        <v>0</v>
      </c>
      <c r="L77" s="163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90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91"/>
      <c r="AK77" s="4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4"/>
    </row>
    <row r="78" spans="1:56" x14ac:dyDescent="0.2">
      <c r="A78" s="15">
        <f t="shared" si="9"/>
        <v>0</v>
      </c>
      <c r="B78" s="169"/>
      <c r="C78" s="17" t="s">
        <v>164</v>
      </c>
      <c r="D78" s="128" t="s">
        <v>43</v>
      </c>
      <c r="E78" s="169" t="str">
        <f t="shared" si="10"/>
        <v>30 días</v>
      </c>
      <c r="F78" s="175" t="s">
        <v>164</v>
      </c>
      <c r="G78" s="129" t="s">
        <v>934</v>
      </c>
      <c r="H78" s="129" t="s">
        <v>957</v>
      </c>
      <c r="I78" s="128"/>
      <c r="J78" s="130"/>
      <c r="K78" s="16">
        <f t="shared" si="11"/>
        <v>0</v>
      </c>
      <c r="L78" s="163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90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91"/>
      <c r="AK78" s="4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4"/>
    </row>
    <row r="79" spans="1:56" x14ac:dyDescent="0.2">
      <c r="A79" s="15">
        <f t="shared" si="9"/>
        <v>0</v>
      </c>
      <c r="B79" s="169"/>
      <c r="C79" s="17" t="s">
        <v>1043</v>
      </c>
      <c r="D79" s="128" t="s">
        <v>43</v>
      </c>
      <c r="E79" s="169" t="str">
        <f t="shared" si="10"/>
        <v>30 días</v>
      </c>
      <c r="F79" s="175" t="s">
        <v>1043</v>
      </c>
      <c r="G79" s="129" t="s">
        <v>934</v>
      </c>
      <c r="H79" s="129" t="s">
        <v>957</v>
      </c>
      <c r="I79" s="128"/>
      <c r="J79" s="130"/>
      <c r="K79" s="16">
        <f t="shared" si="11"/>
        <v>0</v>
      </c>
      <c r="L79" s="163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90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91"/>
      <c r="AK79" s="4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4"/>
    </row>
    <row r="80" spans="1:56" x14ac:dyDescent="0.2">
      <c r="A80" s="15">
        <f t="shared" si="9"/>
        <v>0</v>
      </c>
      <c r="B80" s="169"/>
      <c r="C80" s="17" t="s">
        <v>1044</v>
      </c>
      <c r="D80" s="128" t="s">
        <v>46</v>
      </c>
      <c r="E80" s="169" t="str">
        <f t="shared" si="10"/>
        <v>30 días</v>
      </c>
      <c r="F80" s="175" t="s">
        <v>1044</v>
      </c>
      <c r="G80" s="129" t="s">
        <v>210</v>
      </c>
      <c r="H80" s="129" t="s">
        <v>957</v>
      </c>
      <c r="I80" s="128"/>
      <c r="J80" s="130"/>
      <c r="K80" s="16">
        <f t="shared" si="11"/>
        <v>0</v>
      </c>
      <c r="L80" s="163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90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91"/>
      <c r="AK80" s="4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4"/>
    </row>
    <row r="81" spans="1:56" x14ac:dyDescent="0.2">
      <c r="A81" s="15">
        <f t="shared" si="9"/>
        <v>0</v>
      </c>
      <c r="B81" s="169"/>
      <c r="C81" s="17" t="s">
        <v>1045</v>
      </c>
      <c r="D81" s="128" t="s">
        <v>43</v>
      </c>
      <c r="E81" s="169" t="str">
        <f t="shared" si="10"/>
        <v>30 días</v>
      </c>
      <c r="F81" s="175" t="s">
        <v>1045</v>
      </c>
      <c r="G81" s="129" t="s">
        <v>1046</v>
      </c>
      <c r="H81" s="129" t="s">
        <v>957</v>
      </c>
      <c r="I81" s="128"/>
      <c r="J81" s="130"/>
      <c r="K81" s="16">
        <f t="shared" si="11"/>
        <v>0</v>
      </c>
      <c r="L81" s="163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90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91"/>
      <c r="AK81" s="4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4"/>
    </row>
    <row r="82" spans="1:56" x14ac:dyDescent="0.2">
      <c r="A82" s="15">
        <f t="shared" si="9"/>
        <v>0</v>
      </c>
      <c r="B82" s="169"/>
      <c r="C82" s="17" t="s">
        <v>1047</v>
      </c>
      <c r="D82" s="128" t="s">
        <v>43</v>
      </c>
      <c r="E82" s="169" t="str">
        <f t="shared" si="10"/>
        <v>30 días</v>
      </c>
      <c r="F82" s="175" t="s">
        <v>1047</v>
      </c>
      <c r="G82" s="129" t="s">
        <v>1046</v>
      </c>
      <c r="H82" s="129" t="s">
        <v>957</v>
      </c>
      <c r="I82" s="128"/>
      <c r="J82" s="130"/>
      <c r="K82" s="16">
        <f t="shared" si="11"/>
        <v>0</v>
      </c>
      <c r="L82" s="163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90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91"/>
      <c r="AK82" s="4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4"/>
    </row>
    <row r="83" spans="1:56" x14ac:dyDescent="0.2">
      <c r="A83" s="15">
        <f t="shared" si="9"/>
        <v>0</v>
      </c>
      <c r="B83" s="169"/>
      <c r="C83" s="17" t="s">
        <v>1048</v>
      </c>
      <c r="D83" s="128" t="s">
        <v>43</v>
      </c>
      <c r="E83" s="169" t="str">
        <f t="shared" si="10"/>
        <v>30 días</v>
      </c>
      <c r="F83" s="175" t="s">
        <v>1048</v>
      </c>
      <c r="G83" s="129" t="s">
        <v>1049</v>
      </c>
      <c r="H83" s="129" t="s">
        <v>957</v>
      </c>
      <c r="I83" s="128"/>
      <c r="J83" s="130"/>
      <c r="K83" s="16">
        <f t="shared" si="11"/>
        <v>0</v>
      </c>
      <c r="L83" s="163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90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91"/>
      <c r="AK83" s="4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4"/>
    </row>
    <row r="84" spans="1:56" x14ac:dyDescent="0.2">
      <c r="A84" s="15">
        <f t="shared" si="9"/>
        <v>0</v>
      </c>
      <c r="B84" s="169"/>
      <c r="C84" s="17" t="s">
        <v>219</v>
      </c>
      <c r="D84" s="128" t="s">
        <v>43</v>
      </c>
      <c r="E84" s="169" t="str">
        <f t="shared" si="10"/>
        <v>30 días</v>
      </c>
      <c r="F84" s="175" t="s">
        <v>219</v>
      </c>
      <c r="G84" s="129" t="s">
        <v>1050</v>
      </c>
      <c r="H84" s="129" t="s">
        <v>957</v>
      </c>
      <c r="I84" s="128"/>
      <c r="J84" s="130"/>
      <c r="K84" s="16">
        <f t="shared" si="11"/>
        <v>0</v>
      </c>
      <c r="L84" s="16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90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91"/>
      <c r="AK84" s="4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4"/>
    </row>
    <row r="85" spans="1:56" x14ac:dyDescent="0.2">
      <c r="A85" s="15">
        <f t="shared" si="9"/>
        <v>0</v>
      </c>
      <c r="B85" s="169"/>
      <c r="C85" s="17" t="s">
        <v>1051</v>
      </c>
      <c r="D85" s="128" t="s">
        <v>43</v>
      </c>
      <c r="E85" s="169" t="str">
        <f t="shared" si="10"/>
        <v>30 días</v>
      </c>
      <c r="F85" s="175" t="s">
        <v>1051</v>
      </c>
      <c r="G85" s="129" t="s">
        <v>232</v>
      </c>
      <c r="H85" s="129" t="s">
        <v>957</v>
      </c>
      <c r="I85" s="128"/>
      <c r="J85" s="130"/>
      <c r="K85" s="16">
        <f t="shared" si="11"/>
        <v>0</v>
      </c>
      <c r="L85" s="163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90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91"/>
      <c r="AK85" s="4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4"/>
    </row>
    <row r="86" spans="1:56" x14ac:dyDescent="0.2">
      <c r="A86" s="15">
        <f t="shared" si="9"/>
        <v>0</v>
      </c>
      <c r="B86" s="169"/>
      <c r="C86" s="17" t="s">
        <v>1052</v>
      </c>
      <c r="D86" s="128" t="s">
        <v>43</v>
      </c>
      <c r="E86" s="169" t="str">
        <f t="shared" si="10"/>
        <v>30 días</v>
      </c>
      <c r="F86" s="175" t="s">
        <v>1052</v>
      </c>
      <c r="G86" s="129" t="s">
        <v>280</v>
      </c>
      <c r="H86" s="129" t="s">
        <v>957</v>
      </c>
      <c r="I86" s="128"/>
      <c r="J86" s="130"/>
      <c r="K86" s="16">
        <f t="shared" si="11"/>
        <v>0</v>
      </c>
      <c r="L86" s="163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90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91"/>
      <c r="AK86" s="4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4"/>
    </row>
    <row r="87" spans="1:56" x14ac:dyDescent="0.2">
      <c r="A87" s="15">
        <f t="shared" si="9"/>
        <v>0</v>
      </c>
      <c r="B87" s="169"/>
      <c r="C87" s="17" t="s">
        <v>1053</v>
      </c>
      <c r="D87" s="128" t="s">
        <v>43</v>
      </c>
      <c r="E87" s="169" t="str">
        <f t="shared" si="10"/>
        <v>30 días</v>
      </c>
      <c r="F87" s="175" t="s">
        <v>1053</v>
      </c>
      <c r="G87" s="129" t="s">
        <v>1054</v>
      </c>
      <c r="H87" s="129" t="s">
        <v>957</v>
      </c>
      <c r="I87" s="128"/>
      <c r="J87" s="130"/>
      <c r="K87" s="16">
        <f t="shared" si="11"/>
        <v>0</v>
      </c>
      <c r="L87" s="16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90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91"/>
      <c r="AK87" s="4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4"/>
    </row>
    <row r="88" spans="1:56" x14ac:dyDescent="0.2">
      <c r="A88" s="15">
        <f t="shared" si="9"/>
        <v>0</v>
      </c>
      <c r="B88" s="169"/>
      <c r="C88" s="17" t="s">
        <v>1055</v>
      </c>
      <c r="D88" s="128" t="s">
        <v>43</v>
      </c>
      <c r="E88" s="169" t="str">
        <f t="shared" si="10"/>
        <v>30 días</v>
      </c>
      <c r="F88" s="175" t="s">
        <v>1055</v>
      </c>
      <c r="G88" s="129" t="s">
        <v>1056</v>
      </c>
      <c r="H88" s="129" t="s">
        <v>957</v>
      </c>
      <c r="I88" s="128"/>
      <c r="J88" s="130"/>
      <c r="K88" s="16">
        <f t="shared" si="11"/>
        <v>0</v>
      </c>
      <c r="L88" s="163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90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91"/>
      <c r="AK88" s="4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4"/>
    </row>
    <row r="89" spans="1:56" x14ac:dyDescent="0.2">
      <c r="A89" s="15">
        <f t="shared" si="9"/>
        <v>0</v>
      </c>
      <c r="B89" s="169"/>
      <c r="C89" s="17" t="s">
        <v>1055</v>
      </c>
      <c r="D89" s="128" t="s">
        <v>43</v>
      </c>
      <c r="E89" s="169" t="str">
        <f t="shared" si="10"/>
        <v>30 días</v>
      </c>
      <c r="F89" s="175" t="s">
        <v>1055</v>
      </c>
      <c r="G89" s="129" t="s">
        <v>1057</v>
      </c>
      <c r="H89" s="129" t="s">
        <v>957</v>
      </c>
      <c r="I89" s="128"/>
      <c r="J89" s="130"/>
      <c r="K89" s="16">
        <f t="shared" si="11"/>
        <v>0</v>
      </c>
      <c r="L89" s="163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90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91"/>
      <c r="AK89" s="4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4"/>
    </row>
    <row r="90" spans="1:56" x14ac:dyDescent="0.2">
      <c r="A90" s="15">
        <f t="shared" si="9"/>
        <v>0</v>
      </c>
      <c r="B90" s="169"/>
      <c r="C90" s="17" t="s">
        <v>1058</v>
      </c>
      <c r="D90" s="128" t="s">
        <v>43</v>
      </c>
      <c r="E90" s="169" t="str">
        <f t="shared" si="10"/>
        <v>30 días</v>
      </c>
      <c r="F90" s="175" t="s">
        <v>1058</v>
      </c>
      <c r="G90" s="129" t="s">
        <v>1059</v>
      </c>
      <c r="H90" s="129" t="s">
        <v>957</v>
      </c>
      <c r="I90" s="128"/>
      <c r="J90" s="130"/>
      <c r="K90" s="16">
        <f t="shared" si="11"/>
        <v>0</v>
      </c>
      <c r="L90" s="163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90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91"/>
      <c r="AK90" s="4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4"/>
    </row>
    <row r="91" spans="1:56" x14ac:dyDescent="0.2">
      <c r="A91" s="15">
        <f t="shared" si="9"/>
        <v>0</v>
      </c>
      <c r="B91" s="169"/>
      <c r="C91" s="17" t="s">
        <v>1060</v>
      </c>
      <c r="D91" s="128" t="s">
        <v>43</v>
      </c>
      <c r="E91" s="169" t="str">
        <f t="shared" si="10"/>
        <v>30 días</v>
      </c>
      <c r="F91" s="175" t="s">
        <v>1060</v>
      </c>
      <c r="G91" s="129" t="s">
        <v>1046</v>
      </c>
      <c r="H91" s="129" t="s">
        <v>957</v>
      </c>
      <c r="I91" s="128"/>
      <c r="J91" s="130"/>
      <c r="K91" s="16">
        <f t="shared" si="11"/>
        <v>0</v>
      </c>
      <c r="L91" s="163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90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91"/>
      <c r="AK91" s="4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4"/>
    </row>
    <row r="92" spans="1:56" x14ac:dyDescent="0.2">
      <c r="A92" s="15">
        <f t="shared" ref="A92:A155" si="12">+LEN(B92)</f>
        <v>0</v>
      </c>
      <c r="B92" s="169"/>
      <c r="C92" s="17" t="s">
        <v>1061</v>
      </c>
      <c r="D92" s="128" t="s">
        <v>46</v>
      </c>
      <c r="E92" s="169" t="str">
        <f t="shared" ref="E92:E155" si="13">+IF(D92="Chile","30 días",IF(D92="Perú","30 días",IF(D92="Brasil","60 días",IF(D92="Rusia","Indeterminado","Por definir"))))</f>
        <v>30 días</v>
      </c>
      <c r="F92" s="175" t="s">
        <v>1061</v>
      </c>
      <c r="G92" s="129" t="s">
        <v>211</v>
      </c>
      <c r="H92" s="129" t="s">
        <v>957</v>
      </c>
      <c r="I92" s="128"/>
      <c r="J92" s="130"/>
      <c r="K92" s="16">
        <f t="shared" ref="K92:K155" si="14">+SUM(X92:AI92)</f>
        <v>0</v>
      </c>
      <c r="L92" s="163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90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91"/>
      <c r="AK92" s="4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4"/>
    </row>
    <row r="93" spans="1:56" x14ac:dyDescent="0.2">
      <c r="A93" s="15">
        <f t="shared" si="12"/>
        <v>0</v>
      </c>
      <c r="B93" s="169"/>
      <c r="C93" s="17" t="s">
        <v>1060</v>
      </c>
      <c r="D93" s="128" t="s">
        <v>45</v>
      </c>
      <c r="E93" s="169" t="str">
        <f t="shared" si="13"/>
        <v>60 días</v>
      </c>
      <c r="F93" s="175" t="s">
        <v>1060</v>
      </c>
      <c r="G93" s="129" t="s">
        <v>330</v>
      </c>
      <c r="H93" s="129" t="s">
        <v>957</v>
      </c>
      <c r="I93" s="128"/>
      <c r="J93" s="130"/>
      <c r="K93" s="16">
        <f t="shared" si="14"/>
        <v>0</v>
      </c>
      <c r="L93" s="163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90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91"/>
      <c r="AK93" s="4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4"/>
    </row>
    <row r="94" spans="1:56" x14ac:dyDescent="0.2">
      <c r="A94" s="15">
        <f t="shared" si="12"/>
        <v>0</v>
      </c>
      <c r="B94" s="169"/>
      <c r="C94" s="17" t="s">
        <v>1062</v>
      </c>
      <c r="D94" s="128" t="s">
        <v>46</v>
      </c>
      <c r="E94" s="169" t="str">
        <f t="shared" si="13"/>
        <v>30 días</v>
      </c>
      <c r="F94" s="175" t="s">
        <v>1062</v>
      </c>
      <c r="G94" s="129" t="s">
        <v>1063</v>
      </c>
      <c r="H94" s="129" t="s">
        <v>957</v>
      </c>
      <c r="I94" s="128"/>
      <c r="J94" s="130"/>
      <c r="K94" s="16">
        <f t="shared" si="14"/>
        <v>0</v>
      </c>
      <c r="L94" s="163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90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91"/>
      <c r="AK94" s="4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4"/>
    </row>
    <row r="95" spans="1:56" x14ac:dyDescent="0.2">
      <c r="A95" s="15">
        <f t="shared" si="12"/>
        <v>0</v>
      </c>
      <c r="B95" s="169"/>
      <c r="C95" s="17" t="s">
        <v>1062</v>
      </c>
      <c r="D95" s="128" t="s">
        <v>46</v>
      </c>
      <c r="E95" s="169" t="str">
        <f t="shared" si="13"/>
        <v>30 días</v>
      </c>
      <c r="F95" s="175" t="s">
        <v>1062</v>
      </c>
      <c r="G95" s="129" t="s">
        <v>143</v>
      </c>
      <c r="H95" s="129" t="s">
        <v>957</v>
      </c>
      <c r="I95" s="128"/>
      <c r="J95" s="130"/>
      <c r="K95" s="16">
        <f t="shared" si="14"/>
        <v>0</v>
      </c>
      <c r="L95" s="163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90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91"/>
      <c r="AK95" s="4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4"/>
    </row>
    <row r="96" spans="1:56" x14ac:dyDescent="0.2">
      <c r="A96" s="15">
        <f t="shared" si="12"/>
        <v>0</v>
      </c>
      <c r="B96" s="169"/>
      <c r="C96" s="17" t="s">
        <v>1064</v>
      </c>
      <c r="D96" s="128" t="s">
        <v>46</v>
      </c>
      <c r="E96" s="169" t="str">
        <f t="shared" si="13"/>
        <v>30 días</v>
      </c>
      <c r="F96" s="175" t="s">
        <v>1064</v>
      </c>
      <c r="G96" s="129" t="s">
        <v>1063</v>
      </c>
      <c r="H96" s="129" t="s">
        <v>957</v>
      </c>
      <c r="I96" s="128"/>
      <c r="J96" s="130"/>
      <c r="K96" s="16">
        <f t="shared" si="14"/>
        <v>0</v>
      </c>
      <c r="L96" s="163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90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91"/>
      <c r="AK96" s="4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4"/>
    </row>
    <row r="97" spans="1:56" x14ac:dyDescent="0.2">
      <c r="A97" s="15">
        <f t="shared" si="12"/>
        <v>0</v>
      </c>
      <c r="B97" s="169"/>
      <c r="C97" s="17" t="s">
        <v>1065</v>
      </c>
      <c r="D97" s="128" t="s">
        <v>46</v>
      </c>
      <c r="E97" s="169" t="str">
        <f t="shared" si="13"/>
        <v>30 días</v>
      </c>
      <c r="F97" s="175" t="s">
        <v>1065</v>
      </c>
      <c r="G97" s="129" t="s">
        <v>268</v>
      </c>
      <c r="H97" s="129" t="s">
        <v>957</v>
      </c>
      <c r="I97" s="128"/>
      <c r="J97" s="130"/>
      <c r="K97" s="16">
        <f t="shared" si="14"/>
        <v>0</v>
      </c>
      <c r="L97" s="163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90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91"/>
      <c r="AK97" s="4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4"/>
    </row>
    <row r="98" spans="1:56" x14ac:dyDescent="0.2">
      <c r="A98" s="15">
        <f t="shared" si="12"/>
        <v>0</v>
      </c>
      <c r="B98" s="169"/>
      <c r="C98" s="17" t="s">
        <v>1066</v>
      </c>
      <c r="D98" s="128" t="s">
        <v>46</v>
      </c>
      <c r="E98" s="169" t="str">
        <f t="shared" si="13"/>
        <v>30 días</v>
      </c>
      <c r="F98" s="175" t="s">
        <v>1066</v>
      </c>
      <c r="G98" s="129" t="s">
        <v>1067</v>
      </c>
      <c r="H98" s="129" t="s">
        <v>957</v>
      </c>
      <c r="I98" s="128"/>
      <c r="J98" s="130"/>
      <c r="K98" s="16">
        <f t="shared" si="14"/>
        <v>0</v>
      </c>
      <c r="L98" s="163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90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91"/>
      <c r="AK98" s="4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4"/>
    </row>
    <row r="99" spans="1:56" x14ac:dyDescent="0.2">
      <c r="A99" s="15">
        <f t="shared" si="12"/>
        <v>0</v>
      </c>
      <c r="B99" s="169"/>
      <c r="C99" s="17" t="s">
        <v>1068</v>
      </c>
      <c r="D99" s="128" t="s">
        <v>46</v>
      </c>
      <c r="E99" s="169" t="str">
        <f t="shared" si="13"/>
        <v>30 días</v>
      </c>
      <c r="F99" s="175" t="s">
        <v>1068</v>
      </c>
      <c r="G99" s="129" t="s">
        <v>1067</v>
      </c>
      <c r="H99" s="129" t="s">
        <v>957</v>
      </c>
      <c r="I99" s="128"/>
      <c r="J99" s="130"/>
      <c r="K99" s="16">
        <f t="shared" si="14"/>
        <v>0</v>
      </c>
      <c r="L99" s="163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90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91"/>
      <c r="AK99" s="4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4"/>
    </row>
    <row r="100" spans="1:56" x14ac:dyDescent="0.2">
      <c r="A100" s="15">
        <f t="shared" si="12"/>
        <v>0</v>
      </c>
      <c r="B100" s="169"/>
      <c r="C100" s="17" t="s">
        <v>1069</v>
      </c>
      <c r="D100" s="128" t="s">
        <v>46</v>
      </c>
      <c r="E100" s="169" t="str">
        <f t="shared" si="13"/>
        <v>30 días</v>
      </c>
      <c r="F100" s="175" t="s">
        <v>1069</v>
      </c>
      <c r="G100" s="129" t="s">
        <v>1067</v>
      </c>
      <c r="H100" s="129" t="s">
        <v>957</v>
      </c>
      <c r="I100" s="128"/>
      <c r="J100" s="130"/>
      <c r="K100" s="16">
        <f t="shared" si="14"/>
        <v>0</v>
      </c>
      <c r="L100" s="163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90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91"/>
      <c r="AK100" s="4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4"/>
    </row>
    <row r="101" spans="1:56" x14ac:dyDescent="0.2">
      <c r="A101" s="15">
        <f t="shared" si="12"/>
        <v>0</v>
      </c>
      <c r="B101" s="169"/>
      <c r="C101" s="17" t="s">
        <v>1070</v>
      </c>
      <c r="D101" s="128" t="s">
        <v>46</v>
      </c>
      <c r="E101" s="169" t="str">
        <f t="shared" si="13"/>
        <v>30 días</v>
      </c>
      <c r="F101" s="175" t="s">
        <v>1070</v>
      </c>
      <c r="G101" s="129" t="s">
        <v>1067</v>
      </c>
      <c r="H101" s="129" t="s">
        <v>957</v>
      </c>
      <c r="I101" s="128"/>
      <c r="J101" s="130"/>
      <c r="K101" s="16">
        <f t="shared" si="14"/>
        <v>0</v>
      </c>
      <c r="L101" s="163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90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91"/>
      <c r="AK101" s="4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4"/>
    </row>
    <row r="102" spans="1:56" x14ac:dyDescent="0.2">
      <c r="A102" s="15">
        <f t="shared" si="12"/>
        <v>0</v>
      </c>
      <c r="B102" s="169"/>
      <c r="C102" s="17" t="s">
        <v>1071</v>
      </c>
      <c r="D102" s="128" t="s">
        <v>46</v>
      </c>
      <c r="E102" s="169" t="str">
        <f t="shared" si="13"/>
        <v>30 días</v>
      </c>
      <c r="F102" s="175" t="s">
        <v>1071</v>
      </c>
      <c r="G102" s="129" t="s">
        <v>246</v>
      </c>
      <c r="H102" s="129" t="s">
        <v>957</v>
      </c>
      <c r="I102" s="128"/>
      <c r="J102" s="130"/>
      <c r="K102" s="16">
        <f t="shared" si="14"/>
        <v>0</v>
      </c>
      <c r="L102" s="163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90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91"/>
      <c r="AK102" s="4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4"/>
    </row>
    <row r="103" spans="1:56" x14ac:dyDescent="0.2">
      <c r="A103" s="15">
        <f t="shared" si="12"/>
        <v>0</v>
      </c>
      <c r="B103" s="169"/>
      <c r="C103" s="17" t="s">
        <v>1072</v>
      </c>
      <c r="D103" s="128" t="s">
        <v>46</v>
      </c>
      <c r="E103" s="169" t="str">
        <f t="shared" si="13"/>
        <v>30 días</v>
      </c>
      <c r="F103" s="175" t="s">
        <v>1072</v>
      </c>
      <c r="G103" s="129" t="s">
        <v>246</v>
      </c>
      <c r="H103" s="129" t="s">
        <v>957</v>
      </c>
      <c r="I103" s="128"/>
      <c r="J103" s="130"/>
      <c r="K103" s="16">
        <f t="shared" si="14"/>
        <v>0</v>
      </c>
      <c r="L103" s="163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90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91"/>
      <c r="AK103" s="4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4"/>
    </row>
    <row r="104" spans="1:56" x14ac:dyDescent="0.2">
      <c r="A104" s="15">
        <f t="shared" si="12"/>
        <v>0</v>
      </c>
      <c r="B104" s="169"/>
      <c r="C104" s="17" t="s">
        <v>1073</v>
      </c>
      <c r="D104" s="128" t="s">
        <v>46</v>
      </c>
      <c r="E104" s="169" t="str">
        <f t="shared" si="13"/>
        <v>30 días</v>
      </c>
      <c r="F104" s="175" t="s">
        <v>1073</v>
      </c>
      <c r="G104" s="129" t="s">
        <v>246</v>
      </c>
      <c r="H104" s="129" t="s">
        <v>957</v>
      </c>
      <c r="I104" s="128"/>
      <c r="J104" s="130"/>
      <c r="K104" s="16">
        <f t="shared" si="14"/>
        <v>0</v>
      </c>
      <c r="L104" s="163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90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91"/>
      <c r="AK104" s="4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4"/>
    </row>
    <row r="105" spans="1:56" x14ac:dyDescent="0.2">
      <c r="A105" s="15">
        <f t="shared" si="12"/>
        <v>0</v>
      </c>
      <c r="B105" s="169"/>
      <c r="C105" s="17" t="s">
        <v>311</v>
      </c>
      <c r="D105" s="128" t="s">
        <v>46</v>
      </c>
      <c r="E105" s="169" t="str">
        <f t="shared" si="13"/>
        <v>30 días</v>
      </c>
      <c r="F105" s="175" t="s">
        <v>311</v>
      </c>
      <c r="G105" s="129" t="s">
        <v>294</v>
      </c>
      <c r="H105" s="129" t="s">
        <v>957</v>
      </c>
      <c r="I105" s="128"/>
      <c r="J105" s="130"/>
      <c r="K105" s="16">
        <f t="shared" si="14"/>
        <v>0</v>
      </c>
      <c r="L105" s="163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90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91"/>
      <c r="AK105" s="4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4"/>
    </row>
    <row r="106" spans="1:56" x14ac:dyDescent="0.2">
      <c r="A106" s="15">
        <f t="shared" si="12"/>
        <v>0</v>
      </c>
      <c r="B106" s="169"/>
      <c r="C106" s="17" t="s">
        <v>296</v>
      </c>
      <c r="D106" s="128" t="s">
        <v>46</v>
      </c>
      <c r="E106" s="169" t="str">
        <f t="shared" si="13"/>
        <v>30 días</v>
      </c>
      <c r="F106" s="175" t="s">
        <v>296</v>
      </c>
      <c r="G106" s="129" t="s">
        <v>294</v>
      </c>
      <c r="H106" s="129" t="s">
        <v>957</v>
      </c>
      <c r="I106" s="128"/>
      <c r="J106" s="130"/>
      <c r="K106" s="16">
        <f t="shared" si="14"/>
        <v>0</v>
      </c>
      <c r="L106" s="163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90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91"/>
      <c r="AK106" s="4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4"/>
    </row>
    <row r="107" spans="1:56" x14ac:dyDescent="0.2">
      <c r="A107" s="15">
        <f t="shared" si="12"/>
        <v>0</v>
      </c>
      <c r="B107" s="169"/>
      <c r="C107" s="17" t="s">
        <v>329</v>
      </c>
      <c r="D107" s="128" t="s">
        <v>46</v>
      </c>
      <c r="E107" s="169" t="str">
        <f t="shared" si="13"/>
        <v>30 días</v>
      </c>
      <c r="F107" s="175" t="s">
        <v>329</v>
      </c>
      <c r="G107" s="129" t="s">
        <v>294</v>
      </c>
      <c r="H107" s="129" t="s">
        <v>957</v>
      </c>
      <c r="I107" s="128"/>
      <c r="J107" s="130"/>
      <c r="K107" s="16">
        <f t="shared" si="14"/>
        <v>0</v>
      </c>
      <c r="L107" s="163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90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91"/>
      <c r="AK107" s="4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4"/>
    </row>
    <row r="108" spans="1:56" x14ac:dyDescent="0.2">
      <c r="A108" s="15">
        <f t="shared" si="12"/>
        <v>0</v>
      </c>
      <c r="B108" s="169"/>
      <c r="C108" s="17" t="s">
        <v>1074</v>
      </c>
      <c r="D108" s="128" t="s">
        <v>46</v>
      </c>
      <c r="E108" s="169" t="str">
        <f t="shared" si="13"/>
        <v>30 días</v>
      </c>
      <c r="F108" s="175" t="s">
        <v>1074</v>
      </c>
      <c r="G108" s="129" t="s">
        <v>581</v>
      </c>
      <c r="H108" s="129" t="s">
        <v>957</v>
      </c>
      <c r="I108" s="128"/>
      <c r="J108" s="130"/>
      <c r="K108" s="16">
        <f t="shared" si="14"/>
        <v>0</v>
      </c>
      <c r="L108" s="163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90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91"/>
      <c r="AK108" s="4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4"/>
    </row>
    <row r="109" spans="1:56" x14ac:dyDescent="0.2">
      <c r="A109" s="15">
        <f t="shared" si="12"/>
        <v>0</v>
      </c>
      <c r="B109" s="169"/>
      <c r="C109" s="17" t="s">
        <v>1075</v>
      </c>
      <c r="D109" s="128" t="s">
        <v>46</v>
      </c>
      <c r="E109" s="169" t="str">
        <f t="shared" si="13"/>
        <v>30 días</v>
      </c>
      <c r="F109" s="175" t="s">
        <v>1075</v>
      </c>
      <c r="G109" s="129" t="s">
        <v>1076</v>
      </c>
      <c r="H109" s="129" t="s">
        <v>957</v>
      </c>
      <c r="I109" s="128"/>
      <c r="J109" s="130"/>
      <c r="K109" s="16">
        <f t="shared" si="14"/>
        <v>0</v>
      </c>
      <c r="L109" s="163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90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91"/>
      <c r="AK109" s="4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4"/>
    </row>
    <row r="110" spans="1:56" x14ac:dyDescent="0.2">
      <c r="A110" s="15">
        <f t="shared" si="12"/>
        <v>0</v>
      </c>
      <c r="B110" s="169"/>
      <c r="C110" s="17" t="s">
        <v>1073</v>
      </c>
      <c r="D110" s="128" t="s">
        <v>46</v>
      </c>
      <c r="E110" s="169" t="str">
        <f t="shared" si="13"/>
        <v>30 días</v>
      </c>
      <c r="F110" s="175" t="s">
        <v>1073</v>
      </c>
      <c r="G110" s="129" t="s">
        <v>1077</v>
      </c>
      <c r="H110" s="129" t="s">
        <v>957</v>
      </c>
      <c r="I110" s="128"/>
      <c r="J110" s="130"/>
      <c r="K110" s="16">
        <f t="shared" si="14"/>
        <v>0</v>
      </c>
      <c r="L110" s="163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90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91"/>
      <c r="AK110" s="4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4"/>
    </row>
    <row r="111" spans="1:56" x14ac:dyDescent="0.2">
      <c r="A111" s="15">
        <f t="shared" si="12"/>
        <v>0</v>
      </c>
      <c r="B111" s="169"/>
      <c r="C111" s="17" t="s">
        <v>1078</v>
      </c>
      <c r="D111" s="128" t="s">
        <v>46</v>
      </c>
      <c r="E111" s="169" t="str">
        <f t="shared" si="13"/>
        <v>30 días</v>
      </c>
      <c r="F111" s="175" t="s">
        <v>1078</v>
      </c>
      <c r="G111" s="129" t="s">
        <v>1079</v>
      </c>
      <c r="H111" s="129" t="s">
        <v>957</v>
      </c>
      <c r="I111" s="128"/>
      <c r="J111" s="130"/>
      <c r="K111" s="16">
        <f t="shared" si="14"/>
        <v>0</v>
      </c>
      <c r="L111" s="163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90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91"/>
      <c r="AK111" s="4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4"/>
    </row>
    <row r="112" spans="1:56" x14ac:dyDescent="0.2">
      <c r="A112" s="15">
        <f t="shared" si="12"/>
        <v>0</v>
      </c>
      <c r="B112" s="169"/>
      <c r="C112" s="17" t="s">
        <v>1080</v>
      </c>
      <c r="D112" s="128" t="s">
        <v>46</v>
      </c>
      <c r="E112" s="169" t="str">
        <f t="shared" si="13"/>
        <v>30 días</v>
      </c>
      <c r="F112" s="175" t="s">
        <v>1080</v>
      </c>
      <c r="G112" s="129" t="s">
        <v>802</v>
      </c>
      <c r="H112" s="129" t="s">
        <v>957</v>
      </c>
      <c r="I112" s="128"/>
      <c r="J112" s="130"/>
      <c r="K112" s="16">
        <f t="shared" si="14"/>
        <v>0</v>
      </c>
      <c r="L112" s="163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90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91"/>
      <c r="AK112" s="4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4"/>
    </row>
    <row r="113" spans="1:56" x14ac:dyDescent="0.2">
      <c r="A113" s="15">
        <f t="shared" si="12"/>
        <v>0</v>
      </c>
      <c r="B113" s="169"/>
      <c r="C113" s="17" t="s">
        <v>1081</v>
      </c>
      <c r="D113" s="128" t="s">
        <v>46</v>
      </c>
      <c r="E113" s="169" t="str">
        <f t="shared" si="13"/>
        <v>30 días</v>
      </c>
      <c r="F113" s="175" t="s">
        <v>1081</v>
      </c>
      <c r="G113" s="129" t="s">
        <v>1056</v>
      </c>
      <c r="H113" s="129" t="s">
        <v>957</v>
      </c>
      <c r="I113" s="128"/>
      <c r="J113" s="130"/>
      <c r="K113" s="16">
        <f t="shared" si="14"/>
        <v>0</v>
      </c>
      <c r="L113" s="163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90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91"/>
      <c r="AK113" s="4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4"/>
    </row>
    <row r="114" spans="1:56" x14ac:dyDescent="0.2">
      <c r="A114" s="15">
        <f t="shared" si="12"/>
        <v>0</v>
      </c>
      <c r="B114" s="169"/>
      <c r="C114" s="17" t="s">
        <v>1073</v>
      </c>
      <c r="D114" s="128" t="s">
        <v>46</v>
      </c>
      <c r="E114" s="169" t="str">
        <f t="shared" si="13"/>
        <v>30 días</v>
      </c>
      <c r="F114" s="175" t="s">
        <v>1073</v>
      </c>
      <c r="G114" s="129" t="s">
        <v>1082</v>
      </c>
      <c r="H114" s="129" t="s">
        <v>957</v>
      </c>
      <c r="I114" s="128"/>
      <c r="J114" s="130"/>
      <c r="K114" s="16">
        <f t="shared" si="14"/>
        <v>0</v>
      </c>
      <c r="L114" s="163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90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91"/>
      <c r="AK114" s="4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4"/>
    </row>
    <row r="115" spans="1:56" x14ac:dyDescent="0.2">
      <c r="A115" s="15">
        <f t="shared" si="12"/>
        <v>0</v>
      </c>
      <c r="B115" s="169"/>
      <c r="C115" s="17" t="s">
        <v>1083</v>
      </c>
      <c r="D115" s="128" t="s">
        <v>46</v>
      </c>
      <c r="E115" s="169" t="str">
        <f t="shared" si="13"/>
        <v>30 días</v>
      </c>
      <c r="F115" s="175" t="s">
        <v>1083</v>
      </c>
      <c r="G115" s="129" t="s">
        <v>1084</v>
      </c>
      <c r="H115" s="129" t="s">
        <v>957</v>
      </c>
      <c r="I115" s="128"/>
      <c r="J115" s="130"/>
      <c r="K115" s="16">
        <f t="shared" si="14"/>
        <v>0</v>
      </c>
      <c r="L115" s="163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90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91"/>
      <c r="AK115" s="4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4"/>
    </row>
    <row r="116" spans="1:56" x14ac:dyDescent="0.2">
      <c r="A116" s="15">
        <f t="shared" si="12"/>
        <v>0</v>
      </c>
      <c r="B116" s="169"/>
      <c r="C116" s="17" t="s">
        <v>1085</v>
      </c>
      <c r="D116" s="128" t="s">
        <v>46</v>
      </c>
      <c r="E116" s="169" t="str">
        <f t="shared" si="13"/>
        <v>30 días</v>
      </c>
      <c r="F116" s="175" t="s">
        <v>1085</v>
      </c>
      <c r="G116" s="129" t="s">
        <v>274</v>
      </c>
      <c r="H116" s="129" t="s">
        <v>957</v>
      </c>
      <c r="I116" s="128"/>
      <c r="J116" s="130"/>
      <c r="K116" s="16">
        <f t="shared" si="14"/>
        <v>0</v>
      </c>
      <c r="L116" s="163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90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91"/>
      <c r="AK116" s="4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4"/>
    </row>
    <row r="117" spans="1:56" x14ac:dyDescent="0.2">
      <c r="A117" s="15">
        <f t="shared" si="12"/>
        <v>0</v>
      </c>
      <c r="B117" s="169"/>
      <c r="C117" s="17" t="s">
        <v>242</v>
      </c>
      <c r="D117" s="128" t="s">
        <v>48</v>
      </c>
      <c r="E117" s="169" t="str">
        <f t="shared" si="13"/>
        <v>Indeterminado</v>
      </c>
      <c r="F117" s="175" t="s">
        <v>242</v>
      </c>
      <c r="G117" s="129" t="s">
        <v>241</v>
      </c>
      <c r="H117" s="129" t="s">
        <v>957</v>
      </c>
      <c r="I117" s="128"/>
      <c r="J117" s="130"/>
      <c r="K117" s="16">
        <f t="shared" si="14"/>
        <v>0</v>
      </c>
      <c r="L117" s="163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90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91"/>
      <c r="AK117" s="4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4"/>
    </row>
    <row r="118" spans="1:56" x14ac:dyDescent="0.2">
      <c r="A118" s="15">
        <f t="shared" si="12"/>
        <v>0</v>
      </c>
      <c r="B118" s="169"/>
      <c r="C118" s="17" t="s">
        <v>288</v>
      </c>
      <c r="D118" s="128" t="s">
        <v>48</v>
      </c>
      <c r="E118" s="169" t="str">
        <f t="shared" si="13"/>
        <v>Indeterminado</v>
      </c>
      <c r="F118" s="175" t="s">
        <v>288</v>
      </c>
      <c r="G118" s="129" t="s">
        <v>135</v>
      </c>
      <c r="H118" s="129" t="s">
        <v>957</v>
      </c>
      <c r="I118" s="128"/>
      <c r="J118" s="130"/>
      <c r="K118" s="16">
        <f t="shared" si="14"/>
        <v>0</v>
      </c>
      <c r="L118" s="163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90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91"/>
      <c r="AK118" s="4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4"/>
    </row>
    <row r="119" spans="1:56" x14ac:dyDescent="0.2">
      <c r="A119" s="15">
        <f t="shared" si="12"/>
        <v>0</v>
      </c>
      <c r="B119" s="169"/>
      <c r="C119" s="17" t="s">
        <v>160</v>
      </c>
      <c r="D119" s="128" t="s">
        <v>48</v>
      </c>
      <c r="E119" s="169" t="str">
        <f t="shared" si="13"/>
        <v>Indeterminado</v>
      </c>
      <c r="F119" s="175" t="s">
        <v>160</v>
      </c>
      <c r="G119" s="129" t="s">
        <v>158</v>
      </c>
      <c r="H119" s="129" t="s">
        <v>957</v>
      </c>
      <c r="I119" s="128"/>
      <c r="J119" s="130"/>
      <c r="K119" s="16">
        <f t="shared" si="14"/>
        <v>0</v>
      </c>
      <c r="L119" s="163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90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91"/>
      <c r="AK119" s="4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4"/>
    </row>
    <row r="120" spans="1:56" x14ac:dyDescent="0.2">
      <c r="A120" s="15">
        <f t="shared" si="12"/>
        <v>0</v>
      </c>
      <c r="B120" s="169"/>
      <c r="C120" s="17" t="s">
        <v>110</v>
      </c>
      <c r="D120" s="128" t="s">
        <v>48</v>
      </c>
      <c r="E120" s="169" t="str">
        <f t="shared" si="13"/>
        <v>Indeterminado</v>
      </c>
      <c r="F120" s="175" t="s">
        <v>110</v>
      </c>
      <c r="G120" s="129" t="s">
        <v>108</v>
      </c>
      <c r="H120" s="129" t="s">
        <v>957</v>
      </c>
      <c r="I120" s="128"/>
      <c r="J120" s="130"/>
      <c r="K120" s="16">
        <f t="shared" si="14"/>
        <v>0</v>
      </c>
      <c r="L120" s="163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90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91"/>
      <c r="AK120" s="4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4"/>
    </row>
    <row r="121" spans="1:56" x14ac:dyDescent="0.2">
      <c r="A121" s="15">
        <f t="shared" si="12"/>
        <v>0</v>
      </c>
      <c r="B121" s="169"/>
      <c r="C121" s="17" t="s">
        <v>1086</v>
      </c>
      <c r="D121" s="128" t="s">
        <v>48</v>
      </c>
      <c r="E121" s="169" t="str">
        <f t="shared" si="13"/>
        <v>Indeterminado</v>
      </c>
      <c r="F121" s="175" t="s">
        <v>1086</v>
      </c>
      <c r="G121" s="129" t="s">
        <v>186</v>
      </c>
      <c r="H121" s="129" t="s">
        <v>957</v>
      </c>
      <c r="I121" s="128"/>
      <c r="J121" s="130"/>
      <c r="K121" s="16">
        <f t="shared" si="14"/>
        <v>0</v>
      </c>
      <c r="L121" s="163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90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91"/>
      <c r="AK121" s="4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4"/>
    </row>
    <row r="122" spans="1:56" x14ac:dyDescent="0.2">
      <c r="A122" s="15">
        <f t="shared" si="12"/>
        <v>0</v>
      </c>
      <c r="B122" s="169"/>
      <c r="C122" s="17" t="s">
        <v>154</v>
      </c>
      <c r="D122" s="128" t="s">
        <v>44</v>
      </c>
      <c r="E122" s="169" t="str">
        <f t="shared" si="13"/>
        <v>Por definir</v>
      </c>
      <c r="F122" s="175" t="s">
        <v>154</v>
      </c>
      <c r="G122" s="129" t="s">
        <v>113</v>
      </c>
      <c r="H122" s="129" t="s">
        <v>957</v>
      </c>
      <c r="I122" s="128"/>
      <c r="J122" s="130"/>
      <c r="K122" s="16">
        <f t="shared" si="14"/>
        <v>0</v>
      </c>
      <c r="L122" s="163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90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91"/>
      <c r="AK122" s="4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4"/>
    </row>
    <row r="123" spans="1:56" x14ac:dyDescent="0.2">
      <c r="A123" s="15">
        <f t="shared" si="12"/>
        <v>0</v>
      </c>
      <c r="B123" s="169"/>
      <c r="C123" s="17" t="s">
        <v>207</v>
      </c>
      <c r="D123" s="128" t="s">
        <v>44</v>
      </c>
      <c r="E123" s="169" t="str">
        <f t="shared" si="13"/>
        <v>Por definir</v>
      </c>
      <c r="F123" s="175" t="s">
        <v>207</v>
      </c>
      <c r="G123" s="129" t="s">
        <v>113</v>
      </c>
      <c r="H123" s="129" t="s">
        <v>957</v>
      </c>
      <c r="I123" s="128"/>
      <c r="J123" s="130"/>
      <c r="K123" s="16">
        <f t="shared" si="14"/>
        <v>0</v>
      </c>
      <c r="L123" s="163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90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91"/>
      <c r="AK123" s="4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4"/>
    </row>
    <row r="124" spans="1:56" x14ac:dyDescent="0.2">
      <c r="A124" s="15">
        <f t="shared" si="12"/>
        <v>0</v>
      </c>
      <c r="B124" s="169"/>
      <c r="C124" s="17" t="s">
        <v>1087</v>
      </c>
      <c r="D124" s="128" t="s">
        <v>44</v>
      </c>
      <c r="E124" s="169" t="str">
        <f t="shared" si="13"/>
        <v>Por definir</v>
      </c>
      <c r="F124" s="175" t="s">
        <v>1087</v>
      </c>
      <c r="G124" s="129" t="s">
        <v>276</v>
      </c>
      <c r="H124" s="129" t="s">
        <v>957</v>
      </c>
      <c r="I124" s="128"/>
      <c r="J124" s="130"/>
      <c r="K124" s="16">
        <f t="shared" si="14"/>
        <v>0</v>
      </c>
      <c r="L124" s="163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90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91"/>
      <c r="AK124" s="4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4"/>
    </row>
    <row r="125" spans="1:56" x14ac:dyDescent="0.2">
      <c r="A125" s="15">
        <f t="shared" si="12"/>
        <v>0</v>
      </c>
      <c r="B125" s="169"/>
      <c r="C125" s="17" t="s">
        <v>1088</v>
      </c>
      <c r="D125" s="128" t="s">
        <v>44</v>
      </c>
      <c r="E125" s="169" t="str">
        <f t="shared" si="13"/>
        <v>Por definir</v>
      </c>
      <c r="F125" s="175" t="s">
        <v>1088</v>
      </c>
      <c r="G125" s="129" t="s">
        <v>1089</v>
      </c>
      <c r="H125" s="129" t="s">
        <v>957</v>
      </c>
      <c r="I125" s="128"/>
      <c r="J125" s="130"/>
      <c r="K125" s="16">
        <f t="shared" si="14"/>
        <v>0</v>
      </c>
      <c r="L125" s="163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90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91"/>
      <c r="AK125" s="4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4"/>
    </row>
    <row r="126" spans="1:56" x14ac:dyDescent="0.2">
      <c r="A126" s="15">
        <f t="shared" si="12"/>
        <v>0</v>
      </c>
      <c r="B126" s="169"/>
      <c r="C126" s="17" t="s">
        <v>1090</v>
      </c>
      <c r="D126" s="128" t="s">
        <v>44</v>
      </c>
      <c r="E126" s="169" t="str">
        <f t="shared" si="13"/>
        <v>Por definir</v>
      </c>
      <c r="F126" s="175" t="s">
        <v>1090</v>
      </c>
      <c r="G126" s="129" t="s">
        <v>118</v>
      </c>
      <c r="H126" s="129" t="s">
        <v>957</v>
      </c>
      <c r="I126" s="128"/>
      <c r="J126" s="130"/>
      <c r="K126" s="16">
        <f t="shared" si="14"/>
        <v>0</v>
      </c>
      <c r="L126" s="163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90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91"/>
      <c r="AK126" s="4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4"/>
    </row>
    <row r="127" spans="1:56" x14ac:dyDescent="0.2">
      <c r="A127" s="15">
        <f t="shared" si="12"/>
        <v>0</v>
      </c>
      <c r="B127" s="169"/>
      <c r="C127" s="17" t="s">
        <v>1091</v>
      </c>
      <c r="D127" s="128" t="s">
        <v>44</v>
      </c>
      <c r="E127" s="169" t="str">
        <f t="shared" si="13"/>
        <v>Por definir</v>
      </c>
      <c r="F127" s="175" t="s">
        <v>1091</v>
      </c>
      <c r="G127" s="129" t="s">
        <v>161</v>
      </c>
      <c r="H127" s="129" t="s">
        <v>957</v>
      </c>
      <c r="I127" s="128"/>
      <c r="J127" s="130"/>
      <c r="K127" s="16">
        <f t="shared" si="14"/>
        <v>0</v>
      </c>
      <c r="L127" s="163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90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91"/>
      <c r="AK127" s="4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4"/>
    </row>
    <row r="128" spans="1:56" x14ac:dyDescent="0.2">
      <c r="A128" s="15">
        <f t="shared" si="12"/>
        <v>0</v>
      </c>
      <c r="B128" s="169"/>
      <c r="C128" s="17" t="s">
        <v>1092</v>
      </c>
      <c r="D128" s="128" t="s">
        <v>44</v>
      </c>
      <c r="E128" s="169" t="str">
        <f t="shared" si="13"/>
        <v>Por definir</v>
      </c>
      <c r="F128" s="175" t="s">
        <v>1092</v>
      </c>
      <c r="G128" s="129" t="s">
        <v>1093</v>
      </c>
      <c r="H128" s="129" t="s">
        <v>957</v>
      </c>
      <c r="I128" s="128"/>
      <c r="J128" s="130"/>
      <c r="K128" s="16">
        <f t="shared" si="14"/>
        <v>0</v>
      </c>
      <c r="L128" s="163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90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91"/>
      <c r="AK128" s="4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4"/>
    </row>
    <row r="129" spans="1:56" x14ac:dyDescent="0.2">
      <c r="A129" s="15">
        <f t="shared" si="12"/>
        <v>0</v>
      </c>
      <c r="B129" s="169"/>
      <c r="C129" s="17" t="s">
        <v>1092</v>
      </c>
      <c r="D129" s="128" t="s">
        <v>44</v>
      </c>
      <c r="E129" s="169" t="str">
        <f t="shared" si="13"/>
        <v>Por definir</v>
      </c>
      <c r="F129" s="175" t="s">
        <v>1092</v>
      </c>
      <c r="G129" s="129" t="s">
        <v>1094</v>
      </c>
      <c r="H129" s="129" t="s">
        <v>957</v>
      </c>
      <c r="I129" s="128"/>
      <c r="J129" s="130"/>
      <c r="K129" s="16">
        <f t="shared" si="14"/>
        <v>0</v>
      </c>
      <c r="L129" s="163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90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91"/>
      <c r="AK129" s="4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4"/>
    </row>
    <row r="130" spans="1:56" x14ac:dyDescent="0.2">
      <c r="A130" s="15">
        <f t="shared" si="12"/>
        <v>0</v>
      </c>
      <c r="B130" s="169"/>
      <c r="C130" s="17"/>
      <c r="D130" s="128"/>
      <c r="E130" s="169" t="str">
        <f t="shared" si="13"/>
        <v>Por definir</v>
      </c>
      <c r="F130" s="219"/>
      <c r="G130" s="129"/>
      <c r="H130" s="129" t="s">
        <v>957</v>
      </c>
      <c r="I130" s="128"/>
      <c r="J130" s="130"/>
      <c r="K130" s="16">
        <f t="shared" si="14"/>
        <v>0</v>
      </c>
      <c r="L130" s="163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90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91"/>
      <c r="AK130" s="4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4"/>
    </row>
    <row r="131" spans="1:56" x14ac:dyDescent="0.2">
      <c r="A131" s="15">
        <f t="shared" si="12"/>
        <v>0</v>
      </c>
      <c r="B131" s="169"/>
      <c r="C131" s="17"/>
      <c r="D131" s="128"/>
      <c r="E131" s="169" t="str">
        <f t="shared" si="13"/>
        <v>Por definir</v>
      </c>
      <c r="F131" s="219"/>
      <c r="G131" s="129"/>
      <c r="H131" s="129" t="s">
        <v>957</v>
      </c>
      <c r="I131" s="128"/>
      <c r="J131" s="130"/>
      <c r="K131" s="16">
        <f t="shared" si="14"/>
        <v>0</v>
      </c>
      <c r="L131" s="163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90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91"/>
      <c r="AK131" s="4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4"/>
    </row>
    <row r="132" spans="1:56" x14ac:dyDescent="0.2">
      <c r="A132" s="15">
        <f t="shared" si="12"/>
        <v>0</v>
      </c>
      <c r="B132" s="169"/>
      <c r="C132" s="17"/>
      <c r="D132" s="128"/>
      <c r="E132" s="169" t="str">
        <f t="shared" si="13"/>
        <v>Por definir</v>
      </c>
      <c r="F132" s="219"/>
      <c r="G132" s="129"/>
      <c r="H132" s="129" t="s">
        <v>957</v>
      </c>
      <c r="I132" s="128"/>
      <c r="J132" s="130"/>
      <c r="K132" s="16">
        <f t="shared" si="14"/>
        <v>0</v>
      </c>
      <c r="L132" s="163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90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91"/>
      <c r="AK132" s="4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4"/>
    </row>
    <row r="133" spans="1:56" x14ac:dyDescent="0.2">
      <c r="A133" s="15">
        <f t="shared" si="12"/>
        <v>0</v>
      </c>
      <c r="B133" s="169"/>
      <c r="C133" s="17"/>
      <c r="D133" s="128"/>
      <c r="E133" s="169" t="str">
        <f t="shared" si="13"/>
        <v>Por definir</v>
      </c>
      <c r="G133" s="129"/>
      <c r="H133" s="129" t="s">
        <v>957</v>
      </c>
      <c r="I133" s="128"/>
      <c r="J133" s="130"/>
      <c r="K133" s="16">
        <f t="shared" si="14"/>
        <v>0</v>
      </c>
      <c r="L133" s="163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90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91"/>
      <c r="AK133" s="4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4"/>
    </row>
    <row r="134" spans="1:56" x14ac:dyDescent="0.2">
      <c r="A134" s="15">
        <f t="shared" si="12"/>
        <v>0</v>
      </c>
      <c r="B134" s="169"/>
      <c r="C134" s="17"/>
      <c r="D134" s="128"/>
      <c r="E134" s="169" t="str">
        <f t="shared" si="13"/>
        <v>Por definir</v>
      </c>
      <c r="G134" s="129"/>
      <c r="H134" s="129" t="s">
        <v>957</v>
      </c>
      <c r="I134" s="128"/>
      <c r="J134" s="130"/>
      <c r="K134" s="16">
        <f t="shared" si="14"/>
        <v>0</v>
      </c>
      <c r="L134" s="163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90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91"/>
      <c r="AK134" s="4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4"/>
    </row>
    <row r="135" spans="1:56" x14ac:dyDescent="0.2">
      <c r="A135" s="15">
        <f t="shared" si="12"/>
        <v>0</v>
      </c>
      <c r="B135" s="169"/>
      <c r="C135" s="17"/>
      <c r="D135" s="128"/>
      <c r="E135" s="169" t="str">
        <f t="shared" si="13"/>
        <v>Por definir</v>
      </c>
      <c r="G135" s="129"/>
      <c r="H135" s="129" t="s">
        <v>957</v>
      </c>
      <c r="I135" s="128"/>
      <c r="J135" s="130"/>
      <c r="K135" s="16">
        <f t="shared" si="14"/>
        <v>0</v>
      </c>
      <c r="L135" s="163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90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91"/>
      <c r="AK135" s="4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4"/>
    </row>
    <row r="136" spans="1:56" x14ac:dyDescent="0.2">
      <c r="A136" s="15">
        <f t="shared" si="12"/>
        <v>0</v>
      </c>
      <c r="B136" s="169"/>
      <c r="C136" s="17"/>
      <c r="D136" s="128"/>
      <c r="E136" s="169" t="str">
        <f t="shared" si="13"/>
        <v>Por definir</v>
      </c>
      <c r="G136" s="129"/>
      <c r="H136" s="129" t="s">
        <v>957</v>
      </c>
      <c r="I136" s="128"/>
      <c r="J136" s="130"/>
      <c r="K136" s="16">
        <f t="shared" si="14"/>
        <v>0</v>
      </c>
      <c r="L136" s="163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90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91"/>
      <c r="AK136" s="4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4"/>
    </row>
    <row r="137" spans="1:56" x14ac:dyDescent="0.2">
      <c r="A137" s="15">
        <f t="shared" si="12"/>
        <v>0</v>
      </c>
      <c r="B137" s="169"/>
      <c r="C137" s="17"/>
      <c r="D137" s="128"/>
      <c r="E137" s="169" t="str">
        <f t="shared" si="13"/>
        <v>Por definir</v>
      </c>
      <c r="G137" s="129"/>
      <c r="H137" s="129" t="s">
        <v>957</v>
      </c>
      <c r="I137" s="128"/>
      <c r="J137" s="130"/>
      <c r="K137" s="16">
        <f t="shared" si="14"/>
        <v>0</v>
      </c>
      <c r="L137" s="163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90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91"/>
      <c r="AK137" s="4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4"/>
    </row>
    <row r="138" spans="1:56" x14ac:dyDescent="0.2">
      <c r="A138" s="15">
        <f t="shared" si="12"/>
        <v>0</v>
      </c>
      <c r="B138" s="169"/>
      <c r="C138" s="17"/>
      <c r="D138" s="128"/>
      <c r="E138" s="169" t="str">
        <f t="shared" si="13"/>
        <v>Por definir</v>
      </c>
      <c r="G138" s="129"/>
      <c r="H138" s="129" t="s">
        <v>957</v>
      </c>
      <c r="I138" s="128"/>
      <c r="J138" s="130"/>
      <c r="K138" s="16">
        <f t="shared" si="14"/>
        <v>0</v>
      </c>
      <c r="L138" s="163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90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91"/>
      <c r="AK138" s="4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4"/>
    </row>
    <row r="139" spans="1:56" x14ac:dyDescent="0.2">
      <c r="A139" s="15">
        <f t="shared" si="12"/>
        <v>0</v>
      </c>
      <c r="B139" s="169"/>
      <c r="C139" s="17"/>
      <c r="D139" s="128"/>
      <c r="E139" s="169" t="str">
        <f t="shared" si="13"/>
        <v>Por definir</v>
      </c>
      <c r="G139" s="129"/>
      <c r="H139" s="129" t="s">
        <v>957</v>
      </c>
      <c r="I139" s="128"/>
      <c r="J139" s="130"/>
      <c r="K139" s="16">
        <f t="shared" si="14"/>
        <v>0</v>
      </c>
      <c r="L139" s="163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90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91"/>
      <c r="AK139" s="4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4"/>
    </row>
    <row r="140" spans="1:56" x14ac:dyDescent="0.2">
      <c r="A140" s="15">
        <f t="shared" si="12"/>
        <v>0</v>
      </c>
      <c r="B140" s="169"/>
      <c r="C140" s="17"/>
      <c r="D140" s="128"/>
      <c r="E140" s="169" t="str">
        <f t="shared" si="13"/>
        <v>Por definir</v>
      </c>
      <c r="G140" s="129"/>
      <c r="H140" s="129" t="s">
        <v>957</v>
      </c>
      <c r="I140" s="128"/>
      <c r="J140" s="130"/>
      <c r="K140" s="16">
        <f t="shared" si="14"/>
        <v>0</v>
      </c>
      <c r="L140" s="163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90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91"/>
      <c r="AK140" s="4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4"/>
    </row>
    <row r="141" spans="1:56" x14ac:dyDescent="0.2">
      <c r="A141" s="15">
        <f t="shared" si="12"/>
        <v>0</v>
      </c>
      <c r="B141" s="169"/>
      <c r="C141" s="17"/>
      <c r="D141" s="128"/>
      <c r="E141" s="169" t="str">
        <f t="shared" si="13"/>
        <v>Por definir</v>
      </c>
      <c r="G141" s="129"/>
      <c r="H141" s="129" t="s">
        <v>957</v>
      </c>
      <c r="I141" s="128"/>
      <c r="J141" s="130"/>
      <c r="K141" s="16">
        <f t="shared" si="14"/>
        <v>0</v>
      </c>
      <c r="L141" s="163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90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91"/>
      <c r="AK141" s="4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4"/>
    </row>
    <row r="142" spans="1:56" x14ac:dyDescent="0.2">
      <c r="A142" s="15">
        <f t="shared" si="12"/>
        <v>0</v>
      </c>
      <c r="B142" s="169"/>
      <c r="C142" s="17"/>
      <c r="D142" s="128"/>
      <c r="E142" s="169" t="str">
        <f t="shared" si="13"/>
        <v>Por definir</v>
      </c>
      <c r="G142" s="129"/>
      <c r="H142" s="129" t="s">
        <v>957</v>
      </c>
      <c r="I142" s="128"/>
      <c r="J142" s="130"/>
      <c r="K142" s="16">
        <f t="shared" si="14"/>
        <v>0</v>
      </c>
      <c r="L142" s="163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90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91"/>
      <c r="AK142" s="4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4"/>
    </row>
    <row r="143" spans="1:56" x14ac:dyDescent="0.2">
      <c r="A143" s="15">
        <f t="shared" si="12"/>
        <v>0</v>
      </c>
      <c r="B143" s="169"/>
      <c r="C143" s="17"/>
      <c r="D143" s="128"/>
      <c r="E143" s="169" t="str">
        <f t="shared" si="13"/>
        <v>Por definir</v>
      </c>
      <c r="G143" s="129"/>
      <c r="H143" s="129" t="s">
        <v>957</v>
      </c>
      <c r="I143" s="128"/>
      <c r="J143" s="130"/>
      <c r="K143" s="16">
        <f t="shared" si="14"/>
        <v>0</v>
      </c>
      <c r="L143" s="163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90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91"/>
      <c r="AK143" s="4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4"/>
    </row>
    <row r="144" spans="1:56" x14ac:dyDescent="0.2">
      <c r="A144" s="15">
        <f t="shared" si="12"/>
        <v>0</v>
      </c>
      <c r="B144" s="169"/>
      <c r="C144" s="17"/>
      <c r="D144" s="128"/>
      <c r="E144" s="169" t="str">
        <f t="shared" si="13"/>
        <v>Por definir</v>
      </c>
      <c r="G144" s="129"/>
      <c r="H144" s="129" t="s">
        <v>957</v>
      </c>
      <c r="I144" s="128"/>
      <c r="J144" s="130"/>
      <c r="K144" s="16">
        <f t="shared" si="14"/>
        <v>0</v>
      </c>
      <c r="L144" s="163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90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91"/>
      <c r="AK144" s="4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4"/>
    </row>
    <row r="145" spans="1:56" x14ac:dyDescent="0.2">
      <c r="A145" s="15">
        <f t="shared" si="12"/>
        <v>0</v>
      </c>
      <c r="B145" s="169"/>
      <c r="C145" s="17"/>
      <c r="D145" s="128"/>
      <c r="E145" s="169" t="str">
        <f t="shared" si="13"/>
        <v>Por definir</v>
      </c>
      <c r="G145" s="129"/>
      <c r="H145" s="129" t="s">
        <v>957</v>
      </c>
      <c r="I145" s="128"/>
      <c r="J145" s="130"/>
      <c r="K145" s="16">
        <f t="shared" si="14"/>
        <v>0</v>
      </c>
      <c r="L145" s="163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90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91"/>
      <c r="AK145" s="4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4"/>
    </row>
    <row r="146" spans="1:56" x14ac:dyDescent="0.2">
      <c r="A146" s="15">
        <f t="shared" si="12"/>
        <v>0</v>
      </c>
      <c r="B146" s="169"/>
      <c r="C146" s="17"/>
      <c r="D146" s="128"/>
      <c r="E146" s="169" t="str">
        <f t="shared" si="13"/>
        <v>Por definir</v>
      </c>
      <c r="G146" s="129"/>
      <c r="H146" s="129" t="s">
        <v>957</v>
      </c>
      <c r="I146" s="128"/>
      <c r="J146" s="130"/>
      <c r="K146" s="16">
        <f t="shared" si="14"/>
        <v>0</v>
      </c>
      <c r="L146" s="163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90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91"/>
      <c r="AK146" s="4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4"/>
    </row>
    <row r="147" spans="1:56" x14ac:dyDescent="0.2">
      <c r="A147" s="15">
        <f t="shared" si="12"/>
        <v>0</v>
      </c>
      <c r="B147" s="169"/>
      <c r="C147" s="17"/>
      <c r="D147" s="128"/>
      <c r="E147" s="169" t="str">
        <f t="shared" si="13"/>
        <v>Por definir</v>
      </c>
      <c r="G147" s="129"/>
      <c r="H147" s="129" t="s">
        <v>957</v>
      </c>
      <c r="I147" s="128"/>
      <c r="J147" s="130"/>
      <c r="K147" s="16">
        <f t="shared" si="14"/>
        <v>0</v>
      </c>
      <c r="L147" s="163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90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91"/>
      <c r="AK147" s="4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4"/>
    </row>
    <row r="148" spans="1:56" x14ac:dyDescent="0.2">
      <c r="A148" s="15">
        <f t="shared" si="12"/>
        <v>0</v>
      </c>
      <c r="B148" s="169"/>
      <c r="C148" s="17"/>
      <c r="D148" s="128"/>
      <c r="E148" s="169" t="str">
        <f t="shared" si="13"/>
        <v>Por definir</v>
      </c>
      <c r="G148" s="129"/>
      <c r="H148" s="129" t="s">
        <v>957</v>
      </c>
      <c r="I148" s="128"/>
      <c r="J148" s="130"/>
      <c r="K148" s="16">
        <f t="shared" si="14"/>
        <v>0</v>
      </c>
      <c r="L148" s="163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90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91"/>
      <c r="AK148" s="4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4"/>
    </row>
    <row r="149" spans="1:56" x14ac:dyDescent="0.2">
      <c r="A149" s="15">
        <f t="shared" si="12"/>
        <v>0</v>
      </c>
      <c r="B149" s="169"/>
      <c r="C149" s="17"/>
      <c r="D149" s="128"/>
      <c r="E149" s="169" t="str">
        <f t="shared" si="13"/>
        <v>Por definir</v>
      </c>
      <c r="G149" s="129"/>
      <c r="H149" s="129" t="s">
        <v>957</v>
      </c>
      <c r="I149" s="128"/>
      <c r="J149" s="130"/>
      <c r="K149" s="16">
        <f t="shared" si="14"/>
        <v>0</v>
      </c>
      <c r="L149" s="163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90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91"/>
      <c r="AK149" s="4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4"/>
    </row>
    <row r="150" spans="1:56" x14ac:dyDescent="0.2">
      <c r="A150" s="15">
        <f t="shared" si="12"/>
        <v>0</v>
      </c>
      <c r="B150" s="169"/>
      <c r="C150" s="17"/>
      <c r="D150" s="128"/>
      <c r="E150" s="169" t="str">
        <f t="shared" si="13"/>
        <v>Por definir</v>
      </c>
      <c r="G150" s="129"/>
      <c r="H150" s="129" t="s">
        <v>957</v>
      </c>
      <c r="I150" s="128"/>
      <c r="J150" s="130"/>
      <c r="K150" s="16">
        <f t="shared" si="14"/>
        <v>0</v>
      </c>
      <c r="L150" s="163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90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91"/>
      <c r="AK150" s="4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4"/>
    </row>
    <row r="151" spans="1:56" x14ac:dyDescent="0.2">
      <c r="A151" s="15">
        <f t="shared" si="12"/>
        <v>0</v>
      </c>
      <c r="B151" s="169"/>
      <c r="C151" s="17"/>
      <c r="D151" s="128"/>
      <c r="E151" s="169" t="str">
        <f t="shared" si="13"/>
        <v>Por definir</v>
      </c>
      <c r="G151" s="129"/>
      <c r="H151" s="129" t="s">
        <v>957</v>
      </c>
      <c r="I151" s="128"/>
      <c r="J151" s="130"/>
      <c r="K151" s="16">
        <f t="shared" si="14"/>
        <v>0</v>
      </c>
      <c r="L151" s="163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90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91"/>
      <c r="AK151" s="4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4"/>
    </row>
    <row r="152" spans="1:56" x14ac:dyDescent="0.2">
      <c r="A152" s="15">
        <f t="shared" si="12"/>
        <v>0</v>
      </c>
      <c r="B152" s="169"/>
      <c r="C152" s="17"/>
      <c r="D152" s="128"/>
      <c r="E152" s="169" t="str">
        <f t="shared" si="13"/>
        <v>Por definir</v>
      </c>
      <c r="G152" s="129"/>
      <c r="H152" s="129" t="s">
        <v>957</v>
      </c>
      <c r="I152" s="128"/>
      <c r="J152" s="130"/>
      <c r="K152" s="16">
        <f t="shared" si="14"/>
        <v>0</v>
      </c>
      <c r="L152" s="163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90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91"/>
      <c r="AK152" s="4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4"/>
    </row>
    <row r="153" spans="1:56" x14ac:dyDescent="0.2">
      <c r="A153" s="15">
        <f t="shared" si="12"/>
        <v>0</v>
      </c>
      <c r="B153" s="169"/>
      <c r="C153" s="17"/>
      <c r="D153" s="128"/>
      <c r="E153" s="169" t="str">
        <f t="shared" si="13"/>
        <v>Por definir</v>
      </c>
      <c r="G153" s="129"/>
      <c r="H153" s="129" t="s">
        <v>957</v>
      </c>
      <c r="I153" s="128"/>
      <c r="J153" s="130"/>
      <c r="K153" s="16">
        <f t="shared" si="14"/>
        <v>0</v>
      </c>
      <c r="L153" s="163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90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91"/>
      <c r="AK153" s="4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4"/>
    </row>
    <row r="154" spans="1:56" x14ac:dyDescent="0.2">
      <c r="A154" s="15">
        <f t="shared" si="12"/>
        <v>0</v>
      </c>
      <c r="B154" s="169"/>
      <c r="C154" s="17"/>
      <c r="D154" s="128"/>
      <c r="E154" s="169" t="str">
        <f t="shared" si="13"/>
        <v>Por definir</v>
      </c>
      <c r="G154" s="129"/>
      <c r="H154" s="129" t="s">
        <v>957</v>
      </c>
      <c r="I154" s="128"/>
      <c r="J154" s="130"/>
      <c r="K154" s="16">
        <f t="shared" si="14"/>
        <v>0</v>
      </c>
      <c r="L154" s="163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90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91"/>
      <c r="AK154" s="4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4"/>
    </row>
    <row r="155" spans="1:56" x14ac:dyDescent="0.2">
      <c r="A155" s="15">
        <f t="shared" si="12"/>
        <v>0</v>
      </c>
      <c r="B155" s="169"/>
      <c r="C155" s="17"/>
      <c r="D155" s="128"/>
      <c r="E155" s="169" t="str">
        <f t="shared" si="13"/>
        <v>Por definir</v>
      </c>
      <c r="G155" s="129"/>
      <c r="H155" s="129" t="s">
        <v>957</v>
      </c>
      <c r="I155" s="128"/>
      <c r="J155" s="130"/>
      <c r="K155" s="16">
        <f t="shared" si="14"/>
        <v>0</v>
      </c>
      <c r="L155" s="163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90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91"/>
      <c r="AK155" s="4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4"/>
    </row>
    <row r="156" spans="1:56" x14ac:dyDescent="0.2">
      <c r="A156" s="15">
        <f t="shared" ref="A156:A219" si="15">+LEN(B156)</f>
        <v>0</v>
      </c>
      <c r="B156" s="169"/>
      <c r="C156" s="17"/>
      <c r="D156" s="128"/>
      <c r="E156" s="169" t="str">
        <f t="shared" ref="E156:E219" si="16">+IF(D156="Chile","30 días",IF(D156="Perú","30 días",IF(D156="Brasil","60 días",IF(D156="Rusia","Indeterminado","Por definir"))))</f>
        <v>Por definir</v>
      </c>
      <c r="G156" s="129"/>
      <c r="H156" s="129" t="s">
        <v>957</v>
      </c>
      <c r="I156" s="128"/>
      <c r="J156" s="130"/>
      <c r="K156" s="16">
        <f t="shared" ref="K156:K219" si="17">+SUM(X156:AI156)</f>
        <v>0</v>
      </c>
      <c r="L156" s="163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90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91"/>
      <c r="AK156" s="4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4"/>
    </row>
    <row r="157" spans="1:56" x14ac:dyDescent="0.2">
      <c r="A157" s="15">
        <f t="shared" si="15"/>
        <v>0</v>
      </c>
      <c r="B157" s="169"/>
      <c r="C157" s="17"/>
      <c r="D157" s="128"/>
      <c r="E157" s="169" t="str">
        <f t="shared" si="16"/>
        <v>Por definir</v>
      </c>
      <c r="G157" s="129"/>
      <c r="H157" s="129" t="s">
        <v>957</v>
      </c>
      <c r="I157" s="128"/>
      <c r="J157" s="130"/>
      <c r="K157" s="16">
        <f t="shared" si="17"/>
        <v>0</v>
      </c>
      <c r="L157" s="163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90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91"/>
      <c r="AK157" s="4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4"/>
    </row>
    <row r="158" spans="1:56" x14ac:dyDescent="0.2">
      <c r="A158" s="15">
        <f t="shared" si="15"/>
        <v>0</v>
      </c>
      <c r="B158" s="169"/>
      <c r="C158" s="17"/>
      <c r="D158" s="128"/>
      <c r="E158" s="169" t="str">
        <f t="shared" si="16"/>
        <v>Por definir</v>
      </c>
      <c r="G158" s="129"/>
      <c r="H158" s="129" t="s">
        <v>957</v>
      </c>
      <c r="I158" s="128"/>
      <c r="J158" s="130"/>
      <c r="K158" s="16">
        <f t="shared" si="17"/>
        <v>0</v>
      </c>
      <c r="L158" s="163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90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91"/>
      <c r="AK158" s="4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4"/>
    </row>
    <row r="159" spans="1:56" x14ac:dyDescent="0.2">
      <c r="A159" s="15">
        <f t="shared" si="15"/>
        <v>0</v>
      </c>
      <c r="B159" s="169"/>
      <c r="C159" s="17"/>
      <c r="D159" s="128"/>
      <c r="E159" s="169" t="str">
        <f t="shared" si="16"/>
        <v>Por definir</v>
      </c>
      <c r="G159" s="129"/>
      <c r="H159" s="129" t="s">
        <v>957</v>
      </c>
      <c r="I159" s="128"/>
      <c r="J159" s="130"/>
      <c r="K159" s="16">
        <f t="shared" si="17"/>
        <v>0</v>
      </c>
      <c r="L159" s="163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90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91"/>
      <c r="AK159" s="4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4"/>
    </row>
    <row r="160" spans="1:56" x14ac:dyDescent="0.2">
      <c r="A160" s="15">
        <f t="shared" si="15"/>
        <v>0</v>
      </c>
      <c r="B160" s="169"/>
      <c r="C160" s="17"/>
      <c r="D160" s="128"/>
      <c r="E160" s="169" t="str">
        <f t="shared" si="16"/>
        <v>Por definir</v>
      </c>
      <c r="G160" s="129"/>
      <c r="H160" s="129" t="s">
        <v>957</v>
      </c>
      <c r="I160" s="128"/>
      <c r="J160" s="130"/>
      <c r="K160" s="16">
        <f t="shared" si="17"/>
        <v>0</v>
      </c>
      <c r="L160" s="163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90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91"/>
      <c r="AK160" s="4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4"/>
    </row>
    <row r="161" spans="1:56" x14ac:dyDescent="0.2">
      <c r="A161" s="15">
        <f t="shared" si="15"/>
        <v>0</v>
      </c>
      <c r="B161" s="169"/>
      <c r="C161" s="17"/>
      <c r="D161" s="128"/>
      <c r="E161" s="169" t="str">
        <f t="shared" si="16"/>
        <v>Por definir</v>
      </c>
      <c r="G161" s="129"/>
      <c r="H161" s="129" t="s">
        <v>957</v>
      </c>
      <c r="I161" s="128"/>
      <c r="J161" s="130"/>
      <c r="K161" s="16">
        <f t="shared" si="17"/>
        <v>0</v>
      </c>
      <c r="L161" s="163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90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91"/>
      <c r="AK161" s="4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4"/>
    </row>
    <row r="162" spans="1:56" x14ac:dyDescent="0.2">
      <c r="A162" s="15">
        <f t="shared" si="15"/>
        <v>0</v>
      </c>
      <c r="B162" s="169"/>
      <c r="C162" s="17"/>
      <c r="D162" s="128"/>
      <c r="E162" s="169" t="str">
        <f t="shared" si="16"/>
        <v>Por definir</v>
      </c>
      <c r="G162" s="129"/>
      <c r="H162" s="129" t="s">
        <v>957</v>
      </c>
      <c r="I162" s="128"/>
      <c r="J162" s="130"/>
      <c r="K162" s="16">
        <f t="shared" si="17"/>
        <v>0</v>
      </c>
      <c r="L162" s="163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90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91"/>
      <c r="AK162" s="4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4"/>
    </row>
    <row r="163" spans="1:56" x14ac:dyDescent="0.2">
      <c r="A163" s="15">
        <f t="shared" si="15"/>
        <v>0</v>
      </c>
      <c r="B163" s="169"/>
      <c r="C163" s="17"/>
      <c r="D163" s="128"/>
      <c r="E163" s="169" t="str">
        <f t="shared" si="16"/>
        <v>Por definir</v>
      </c>
      <c r="G163" s="129"/>
      <c r="H163" s="129" t="s">
        <v>957</v>
      </c>
      <c r="I163" s="128"/>
      <c r="J163" s="130"/>
      <c r="K163" s="16">
        <f t="shared" si="17"/>
        <v>0</v>
      </c>
      <c r="L163" s="163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90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91"/>
      <c r="AK163" s="4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4"/>
    </row>
    <row r="164" spans="1:56" x14ac:dyDescent="0.2">
      <c r="A164" s="15">
        <f t="shared" si="15"/>
        <v>0</v>
      </c>
      <c r="B164" s="169"/>
      <c r="C164" s="17"/>
      <c r="D164" s="128"/>
      <c r="E164" s="169" t="str">
        <f t="shared" si="16"/>
        <v>Por definir</v>
      </c>
      <c r="G164" s="129"/>
      <c r="H164" s="129" t="s">
        <v>957</v>
      </c>
      <c r="I164" s="128"/>
      <c r="J164" s="130"/>
      <c r="K164" s="16">
        <f t="shared" si="17"/>
        <v>0</v>
      </c>
      <c r="L164" s="163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90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91"/>
      <c r="AK164" s="4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4"/>
    </row>
    <row r="165" spans="1:56" x14ac:dyDescent="0.2">
      <c r="A165" s="15">
        <f t="shared" si="15"/>
        <v>0</v>
      </c>
      <c r="B165" s="169"/>
      <c r="C165" s="17"/>
      <c r="D165" s="128"/>
      <c r="E165" s="169" t="str">
        <f t="shared" si="16"/>
        <v>Por definir</v>
      </c>
      <c r="G165" s="129"/>
      <c r="H165" s="129" t="s">
        <v>957</v>
      </c>
      <c r="I165" s="128"/>
      <c r="J165" s="130"/>
      <c r="K165" s="16">
        <f t="shared" si="17"/>
        <v>0</v>
      </c>
      <c r="L165" s="163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90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91"/>
      <c r="AK165" s="4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4"/>
    </row>
    <row r="166" spans="1:56" x14ac:dyDescent="0.2">
      <c r="A166" s="15">
        <f t="shared" si="15"/>
        <v>0</v>
      </c>
      <c r="B166" s="169"/>
      <c r="C166" s="17"/>
      <c r="D166" s="128"/>
      <c r="E166" s="169" t="str">
        <f t="shared" si="16"/>
        <v>Por definir</v>
      </c>
      <c r="G166" s="129"/>
      <c r="H166" s="129" t="s">
        <v>957</v>
      </c>
      <c r="I166" s="128"/>
      <c r="J166" s="130"/>
      <c r="K166" s="16">
        <f t="shared" si="17"/>
        <v>0</v>
      </c>
      <c r="L166" s="163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90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91"/>
      <c r="AK166" s="4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4"/>
    </row>
    <row r="167" spans="1:56" x14ac:dyDescent="0.2">
      <c r="A167" s="15">
        <f t="shared" si="15"/>
        <v>0</v>
      </c>
      <c r="B167" s="169"/>
      <c r="C167" s="17"/>
      <c r="D167" s="128"/>
      <c r="E167" s="169" t="str">
        <f t="shared" si="16"/>
        <v>Por definir</v>
      </c>
      <c r="G167" s="129"/>
      <c r="H167" s="129" t="s">
        <v>957</v>
      </c>
      <c r="I167" s="128"/>
      <c r="J167" s="130"/>
      <c r="K167" s="16">
        <f t="shared" si="17"/>
        <v>0</v>
      </c>
      <c r="L167" s="163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90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91"/>
      <c r="AK167" s="4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4"/>
    </row>
    <row r="168" spans="1:56" x14ac:dyDescent="0.2">
      <c r="A168" s="15">
        <f t="shared" si="15"/>
        <v>0</v>
      </c>
      <c r="B168" s="169"/>
      <c r="C168" s="17"/>
      <c r="D168" s="128"/>
      <c r="E168" s="169" t="str">
        <f t="shared" si="16"/>
        <v>Por definir</v>
      </c>
      <c r="G168" s="129"/>
      <c r="H168" s="129" t="s">
        <v>957</v>
      </c>
      <c r="I168" s="128"/>
      <c r="J168" s="130"/>
      <c r="K168" s="16">
        <f t="shared" si="17"/>
        <v>0</v>
      </c>
      <c r="L168" s="163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90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91"/>
      <c r="AK168" s="4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4"/>
    </row>
    <row r="169" spans="1:56" x14ac:dyDescent="0.2">
      <c r="A169" s="15">
        <f t="shared" si="15"/>
        <v>0</v>
      </c>
      <c r="B169" s="169"/>
      <c r="C169" s="17"/>
      <c r="D169" s="128"/>
      <c r="E169" s="169" t="str">
        <f t="shared" si="16"/>
        <v>Por definir</v>
      </c>
      <c r="G169" s="129"/>
      <c r="H169" s="129" t="s">
        <v>957</v>
      </c>
      <c r="I169" s="128"/>
      <c r="J169" s="130"/>
      <c r="K169" s="16">
        <f t="shared" si="17"/>
        <v>0</v>
      </c>
      <c r="L169" s="163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90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91"/>
      <c r="AK169" s="4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4"/>
    </row>
    <row r="170" spans="1:56" x14ac:dyDescent="0.2">
      <c r="A170" s="15">
        <f t="shared" si="15"/>
        <v>0</v>
      </c>
      <c r="B170" s="169"/>
      <c r="C170" s="17"/>
      <c r="D170" s="128"/>
      <c r="E170" s="169" t="str">
        <f t="shared" si="16"/>
        <v>Por definir</v>
      </c>
      <c r="G170" s="129"/>
      <c r="H170" s="129" t="s">
        <v>957</v>
      </c>
      <c r="I170" s="128"/>
      <c r="J170" s="130"/>
      <c r="K170" s="16">
        <f t="shared" si="17"/>
        <v>0</v>
      </c>
      <c r="L170" s="163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90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91"/>
      <c r="AK170" s="4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4"/>
    </row>
    <row r="171" spans="1:56" x14ac:dyDescent="0.2">
      <c r="A171" s="15">
        <f t="shared" si="15"/>
        <v>0</v>
      </c>
      <c r="B171" s="169"/>
      <c r="C171" s="17"/>
      <c r="D171" s="128"/>
      <c r="E171" s="169" t="str">
        <f t="shared" si="16"/>
        <v>Por definir</v>
      </c>
      <c r="G171" s="129"/>
      <c r="H171" s="129" t="s">
        <v>957</v>
      </c>
      <c r="I171" s="128"/>
      <c r="J171" s="130"/>
      <c r="K171" s="16">
        <f t="shared" si="17"/>
        <v>0</v>
      </c>
      <c r="L171" s="163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90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91"/>
      <c r="AK171" s="4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4"/>
    </row>
    <row r="172" spans="1:56" x14ac:dyDescent="0.2">
      <c r="A172" s="15">
        <f t="shared" si="15"/>
        <v>0</v>
      </c>
      <c r="B172" s="169"/>
      <c r="C172" s="17"/>
      <c r="D172" s="128"/>
      <c r="E172" s="169" t="str">
        <f t="shared" si="16"/>
        <v>Por definir</v>
      </c>
      <c r="G172" s="129"/>
      <c r="H172" s="129" t="s">
        <v>957</v>
      </c>
      <c r="I172" s="128"/>
      <c r="J172" s="130"/>
      <c r="K172" s="16">
        <f t="shared" si="17"/>
        <v>0</v>
      </c>
      <c r="L172" s="163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90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91"/>
      <c r="AK172" s="4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4"/>
    </row>
    <row r="173" spans="1:56" x14ac:dyDescent="0.2">
      <c r="A173" s="15">
        <f t="shared" si="15"/>
        <v>0</v>
      </c>
      <c r="B173" s="169"/>
      <c r="C173" s="17"/>
      <c r="D173" s="128"/>
      <c r="E173" s="169" t="str">
        <f t="shared" si="16"/>
        <v>Por definir</v>
      </c>
      <c r="G173" s="129"/>
      <c r="H173" s="129" t="s">
        <v>957</v>
      </c>
      <c r="I173" s="128"/>
      <c r="J173" s="130"/>
      <c r="K173" s="16">
        <f t="shared" si="17"/>
        <v>0</v>
      </c>
      <c r="L173" s="163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90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91"/>
      <c r="AK173" s="4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4"/>
    </row>
    <row r="174" spans="1:56" x14ac:dyDescent="0.2">
      <c r="A174" s="15">
        <f t="shared" si="15"/>
        <v>0</v>
      </c>
      <c r="B174" s="169"/>
      <c r="C174" s="17"/>
      <c r="D174" s="128"/>
      <c r="E174" s="169" t="str">
        <f t="shared" si="16"/>
        <v>Por definir</v>
      </c>
      <c r="G174" s="129"/>
      <c r="H174" s="129" t="s">
        <v>957</v>
      </c>
      <c r="I174" s="128"/>
      <c r="J174" s="130"/>
      <c r="K174" s="16">
        <f t="shared" si="17"/>
        <v>0</v>
      </c>
      <c r="L174" s="163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90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91"/>
      <c r="AK174" s="4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4"/>
    </row>
    <row r="175" spans="1:56" x14ac:dyDescent="0.2">
      <c r="A175" s="15">
        <f t="shared" si="15"/>
        <v>0</v>
      </c>
      <c r="B175" s="169"/>
      <c r="C175" s="17"/>
      <c r="D175" s="128"/>
      <c r="E175" s="169" t="str">
        <f t="shared" si="16"/>
        <v>Por definir</v>
      </c>
      <c r="G175" s="129"/>
      <c r="H175" s="129" t="s">
        <v>957</v>
      </c>
      <c r="I175" s="128"/>
      <c r="J175" s="130"/>
      <c r="K175" s="16">
        <f t="shared" si="17"/>
        <v>0</v>
      </c>
      <c r="L175" s="163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90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91"/>
      <c r="AK175" s="4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4"/>
    </row>
    <row r="176" spans="1:56" x14ac:dyDescent="0.2">
      <c r="A176" s="15">
        <f t="shared" si="15"/>
        <v>0</v>
      </c>
      <c r="B176" s="169"/>
      <c r="C176" s="17"/>
      <c r="D176" s="128"/>
      <c r="E176" s="169" t="str">
        <f t="shared" si="16"/>
        <v>Por definir</v>
      </c>
      <c r="G176" s="129"/>
      <c r="H176" s="129" t="s">
        <v>957</v>
      </c>
      <c r="I176" s="128"/>
      <c r="J176" s="130"/>
      <c r="K176" s="16">
        <f t="shared" si="17"/>
        <v>0</v>
      </c>
      <c r="L176" s="163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90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91"/>
      <c r="AK176" s="4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4"/>
    </row>
    <row r="177" spans="1:56" x14ac:dyDescent="0.2">
      <c r="A177" s="15">
        <f t="shared" si="15"/>
        <v>0</v>
      </c>
      <c r="B177" s="169"/>
      <c r="C177" s="17"/>
      <c r="D177" s="128"/>
      <c r="E177" s="169" t="str">
        <f t="shared" si="16"/>
        <v>Por definir</v>
      </c>
      <c r="G177" s="129"/>
      <c r="H177" s="129" t="s">
        <v>957</v>
      </c>
      <c r="I177" s="128"/>
      <c r="J177" s="130"/>
      <c r="K177" s="16">
        <f t="shared" si="17"/>
        <v>0</v>
      </c>
      <c r="L177" s="163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90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91"/>
      <c r="AK177" s="4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4"/>
    </row>
    <row r="178" spans="1:56" x14ac:dyDescent="0.2">
      <c r="A178" s="15">
        <f t="shared" si="15"/>
        <v>0</v>
      </c>
      <c r="B178" s="169"/>
      <c r="C178" s="17"/>
      <c r="D178" s="128"/>
      <c r="E178" s="169" t="str">
        <f t="shared" si="16"/>
        <v>Por definir</v>
      </c>
      <c r="G178" s="129"/>
      <c r="H178" s="129" t="s">
        <v>957</v>
      </c>
      <c r="I178" s="128"/>
      <c r="J178" s="130"/>
      <c r="K178" s="16">
        <f t="shared" si="17"/>
        <v>0</v>
      </c>
      <c r="L178" s="163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90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91"/>
      <c r="AK178" s="4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4"/>
    </row>
    <row r="179" spans="1:56" x14ac:dyDescent="0.2">
      <c r="A179" s="15">
        <f t="shared" si="15"/>
        <v>0</v>
      </c>
      <c r="B179" s="169"/>
      <c r="C179" s="17"/>
      <c r="D179" s="128"/>
      <c r="E179" s="169" t="str">
        <f t="shared" si="16"/>
        <v>Por definir</v>
      </c>
      <c r="G179" s="129"/>
      <c r="H179" s="129" t="s">
        <v>957</v>
      </c>
      <c r="I179" s="128"/>
      <c r="J179" s="130"/>
      <c r="K179" s="16">
        <f t="shared" si="17"/>
        <v>0</v>
      </c>
      <c r="L179" s="163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90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91"/>
      <c r="AK179" s="4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4"/>
    </row>
    <row r="180" spans="1:56" x14ac:dyDescent="0.2">
      <c r="A180" s="15">
        <f t="shared" si="15"/>
        <v>0</v>
      </c>
      <c r="B180" s="169"/>
      <c r="C180" s="17"/>
      <c r="D180" s="128"/>
      <c r="E180" s="169" t="str">
        <f t="shared" si="16"/>
        <v>Por definir</v>
      </c>
      <c r="G180" s="129"/>
      <c r="H180" s="129" t="s">
        <v>957</v>
      </c>
      <c r="I180" s="128"/>
      <c r="J180" s="130"/>
      <c r="K180" s="16">
        <f t="shared" si="17"/>
        <v>0</v>
      </c>
      <c r="L180" s="163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90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91"/>
      <c r="AK180" s="4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4"/>
    </row>
    <row r="181" spans="1:56" x14ac:dyDescent="0.2">
      <c r="A181" s="15">
        <f t="shared" si="15"/>
        <v>0</v>
      </c>
      <c r="B181" s="169"/>
      <c r="C181" s="17"/>
      <c r="D181" s="128"/>
      <c r="E181" s="169" t="str">
        <f t="shared" si="16"/>
        <v>Por definir</v>
      </c>
      <c r="G181" s="129"/>
      <c r="H181" s="129" t="s">
        <v>957</v>
      </c>
      <c r="I181" s="128"/>
      <c r="J181" s="130"/>
      <c r="K181" s="16">
        <f t="shared" si="17"/>
        <v>0</v>
      </c>
      <c r="L181" s="163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90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91"/>
      <c r="AK181" s="4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4"/>
    </row>
    <row r="182" spans="1:56" x14ac:dyDescent="0.2">
      <c r="A182" s="15">
        <f t="shared" si="15"/>
        <v>0</v>
      </c>
      <c r="B182" s="169"/>
      <c r="C182" s="17"/>
      <c r="D182" s="128"/>
      <c r="E182" s="169" t="str">
        <f t="shared" si="16"/>
        <v>Por definir</v>
      </c>
      <c r="G182" s="129"/>
      <c r="H182" s="129" t="s">
        <v>957</v>
      </c>
      <c r="I182" s="128"/>
      <c r="J182" s="130"/>
      <c r="K182" s="16">
        <f t="shared" si="17"/>
        <v>0</v>
      </c>
      <c r="L182" s="163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90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91"/>
      <c r="AK182" s="4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4"/>
    </row>
    <row r="183" spans="1:56" x14ac:dyDescent="0.2">
      <c r="A183" s="15">
        <f t="shared" si="15"/>
        <v>0</v>
      </c>
      <c r="B183" s="169"/>
      <c r="C183" s="17"/>
      <c r="D183" s="128"/>
      <c r="E183" s="169" t="str">
        <f t="shared" si="16"/>
        <v>Por definir</v>
      </c>
      <c r="G183" s="129"/>
      <c r="H183" s="129" t="s">
        <v>957</v>
      </c>
      <c r="I183" s="128"/>
      <c r="J183" s="130"/>
      <c r="K183" s="16">
        <f t="shared" si="17"/>
        <v>0</v>
      </c>
      <c r="L183" s="163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90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91"/>
      <c r="AK183" s="4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4"/>
    </row>
    <row r="184" spans="1:56" x14ac:dyDescent="0.2">
      <c r="A184" s="15">
        <f t="shared" si="15"/>
        <v>0</v>
      </c>
      <c r="B184" s="169"/>
      <c r="C184" s="17"/>
      <c r="D184" s="128"/>
      <c r="E184" s="169" t="str">
        <f t="shared" si="16"/>
        <v>Por definir</v>
      </c>
      <c r="G184" s="129"/>
      <c r="H184" s="129" t="s">
        <v>957</v>
      </c>
      <c r="I184" s="128"/>
      <c r="J184" s="130"/>
      <c r="K184" s="16">
        <f t="shared" si="17"/>
        <v>0</v>
      </c>
      <c r="L184" s="163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90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91"/>
      <c r="AK184" s="4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4"/>
    </row>
    <row r="185" spans="1:56" x14ac:dyDescent="0.2">
      <c r="A185" s="15">
        <f t="shared" si="15"/>
        <v>0</v>
      </c>
      <c r="B185" s="169"/>
      <c r="C185" s="17"/>
      <c r="D185" s="128"/>
      <c r="E185" s="169" t="str">
        <f t="shared" si="16"/>
        <v>Por definir</v>
      </c>
      <c r="G185" s="129"/>
      <c r="H185" s="129" t="s">
        <v>957</v>
      </c>
      <c r="I185" s="128"/>
      <c r="J185" s="130"/>
      <c r="K185" s="16">
        <f t="shared" si="17"/>
        <v>0</v>
      </c>
      <c r="L185" s="163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90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91"/>
      <c r="AK185" s="4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4"/>
    </row>
    <row r="186" spans="1:56" x14ac:dyDescent="0.2">
      <c r="A186" s="15">
        <f t="shared" si="15"/>
        <v>0</v>
      </c>
      <c r="B186" s="169"/>
      <c r="C186" s="17"/>
      <c r="D186" s="128"/>
      <c r="E186" s="169" t="str">
        <f t="shared" si="16"/>
        <v>Por definir</v>
      </c>
      <c r="G186" s="129"/>
      <c r="H186" s="129" t="s">
        <v>957</v>
      </c>
      <c r="I186" s="128"/>
      <c r="J186" s="130"/>
      <c r="K186" s="16">
        <f t="shared" si="17"/>
        <v>0</v>
      </c>
      <c r="L186" s="163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90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91"/>
      <c r="AK186" s="4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4"/>
    </row>
    <row r="187" spans="1:56" x14ac:dyDescent="0.2">
      <c r="A187" s="15">
        <f t="shared" si="15"/>
        <v>0</v>
      </c>
      <c r="B187" s="169"/>
      <c r="C187" s="17"/>
      <c r="D187" s="128"/>
      <c r="E187" s="169" t="str">
        <f t="shared" si="16"/>
        <v>Por definir</v>
      </c>
      <c r="G187" s="129"/>
      <c r="H187" s="129" t="s">
        <v>957</v>
      </c>
      <c r="I187" s="128"/>
      <c r="J187" s="130"/>
      <c r="K187" s="16">
        <f t="shared" si="17"/>
        <v>0</v>
      </c>
      <c r="L187" s="163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90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91"/>
      <c r="AK187" s="4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4"/>
    </row>
    <row r="188" spans="1:56" x14ac:dyDescent="0.2">
      <c r="A188" s="15">
        <f t="shared" si="15"/>
        <v>0</v>
      </c>
      <c r="B188" s="169"/>
      <c r="C188" s="17"/>
      <c r="D188" s="128"/>
      <c r="E188" s="169" t="str">
        <f t="shared" si="16"/>
        <v>Por definir</v>
      </c>
      <c r="G188" s="129"/>
      <c r="H188" s="129" t="s">
        <v>957</v>
      </c>
      <c r="I188" s="128"/>
      <c r="J188" s="130"/>
      <c r="K188" s="16">
        <f t="shared" si="17"/>
        <v>0</v>
      </c>
      <c r="L188" s="163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90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91"/>
      <c r="AK188" s="4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4"/>
    </row>
    <row r="189" spans="1:56" x14ac:dyDescent="0.2">
      <c r="A189" s="15">
        <f t="shared" si="15"/>
        <v>0</v>
      </c>
      <c r="B189" s="169"/>
      <c r="C189" s="17"/>
      <c r="D189" s="128"/>
      <c r="E189" s="169" t="str">
        <f t="shared" si="16"/>
        <v>Por definir</v>
      </c>
      <c r="G189" s="129"/>
      <c r="H189" s="129" t="s">
        <v>957</v>
      </c>
      <c r="I189" s="128"/>
      <c r="J189" s="130"/>
      <c r="K189" s="16">
        <f t="shared" si="17"/>
        <v>0</v>
      </c>
      <c r="L189" s="163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90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91"/>
      <c r="AK189" s="4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4"/>
    </row>
    <row r="190" spans="1:56" x14ac:dyDescent="0.2">
      <c r="A190" s="15">
        <f t="shared" si="15"/>
        <v>0</v>
      </c>
      <c r="B190" s="169"/>
      <c r="C190" s="17"/>
      <c r="D190" s="128"/>
      <c r="E190" s="169" t="str">
        <f t="shared" si="16"/>
        <v>Por definir</v>
      </c>
      <c r="G190" s="129"/>
      <c r="H190" s="129" t="s">
        <v>957</v>
      </c>
      <c r="I190" s="128"/>
      <c r="J190" s="130"/>
      <c r="K190" s="16">
        <f t="shared" si="17"/>
        <v>0</v>
      </c>
      <c r="L190" s="163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90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91"/>
      <c r="AK190" s="4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4"/>
    </row>
    <row r="191" spans="1:56" x14ac:dyDescent="0.2">
      <c r="A191" s="15">
        <f t="shared" si="15"/>
        <v>0</v>
      </c>
      <c r="B191" s="169"/>
      <c r="C191" s="17"/>
      <c r="D191" s="128"/>
      <c r="E191" s="169" t="str">
        <f t="shared" si="16"/>
        <v>Por definir</v>
      </c>
      <c r="G191" s="129"/>
      <c r="H191" s="129" t="s">
        <v>957</v>
      </c>
      <c r="I191" s="128"/>
      <c r="J191" s="130"/>
      <c r="K191" s="16">
        <f t="shared" si="17"/>
        <v>0</v>
      </c>
      <c r="L191" s="163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90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91"/>
      <c r="AK191" s="4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4"/>
    </row>
    <row r="192" spans="1:56" x14ac:dyDescent="0.2">
      <c r="A192" s="15">
        <f t="shared" si="15"/>
        <v>0</v>
      </c>
      <c r="B192" s="169"/>
      <c r="C192" s="17"/>
      <c r="D192" s="128"/>
      <c r="E192" s="169" t="str">
        <f t="shared" si="16"/>
        <v>Por definir</v>
      </c>
      <c r="G192" s="129"/>
      <c r="H192" s="129" t="s">
        <v>957</v>
      </c>
      <c r="I192" s="128"/>
      <c r="J192" s="130"/>
      <c r="K192" s="16">
        <f t="shared" si="17"/>
        <v>0</v>
      </c>
      <c r="L192" s="163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90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91"/>
      <c r="AK192" s="4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4"/>
    </row>
    <row r="193" spans="1:56" x14ac:dyDescent="0.2">
      <c r="A193" s="15">
        <f t="shared" si="15"/>
        <v>0</v>
      </c>
      <c r="B193" s="169"/>
      <c r="C193" s="17"/>
      <c r="D193" s="128"/>
      <c r="E193" s="169" t="str">
        <f t="shared" si="16"/>
        <v>Por definir</v>
      </c>
      <c r="G193" s="129"/>
      <c r="H193" s="129" t="s">
        <v>957</v>
      </c>
      <c r="I193" s="128"/>
      <c r="J193" s="130"/>
      <c r="K193" s="16">
        <f t="shared" si="17"/>
        <v>0</v>
      </c>
      <c r="L193" s="163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90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91"/>
      <c r="AK193" s="4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4"/>
    </row>
    <row r="194" spans="1:56" x14ac:dyDescent="0.2">
      <c r="A194" s="15">
        <f t="shared" si="15"/>
        <v>0</v>
      </c>
      <c r="B194" s="169"/>
      <c r="C194" s="17"/>
      <c r="D194" s="128"/>
      <c r="E194" s="169" t="str">
        <f t="shared" si="16"/>
        <v>Por definir</v>
      </c>
      <c r="G194" s="129"/>
      <c r="H194" s="129" t="s">
        <v>957</v>
      </c>
      <c r="I194" s="128"/>
      <c r="J194" s="130"/>
      <c r="K194" s="16">
        <f t="shared" si="17"/>
        <v>0</v>
      </c>
      <c r="L194" s="163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90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91"/>
      <c r="AK194" s="4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4"/>
    </row>
    <row r="195" spans="1:56" x14ac:dyDescent="0.2">
      <c r="A195" s="15">
        <f t="shared" si="15"/>
        <v>0</v>
      </c>
      <c r="B195" s="169"/>
      <c r="C195" s="17"/>
      <c r="D195" s="128"/>
      <c r="E195" s="169" t="str">
        <f t="shared" si="16"/>
        <v>Por definir</v>
      </c>
      <c r="G195" s="129"/>
      <c r="H195" s="129" t="s">
        <v>957</v>
      </c>
      <c r="I195" s="128"/>
      <c r="J195" s="130"/>
      <c r="K195" s="16">
        <f t="shared" si="17"/>
        <v>0</v>
      </c>
      <c r="L195" s="163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90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91"/>
      <c r="AK195" s="4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4"/>
    </row>
    <row r="196" spans="1:56" x14ac:dyDescent="0.2">
      <c r="A196" s="15">
        <f t="shared" si="15"/>
        <v>0</v>
      </c>
      <c r="B196" s="169"/>
      <c r="C196" s="17"/>
      <c r="D196" s="128"/>
      <c r="E196" s="169" t="str">
        <f t="shared" si="16"/>
        <v>Por definir</v>
      </c>
      <c r="G196" s="129"/>
      <c r="H196" s="129" t="s">
        <v>957</v>
      </c>
      <c r="I196" s="128"/>
      <c r="J196" s="130"/>
      <c r="K196" s="16">
        <f t="shared" si="17"/>
        <v>0</v>
      </c>
      <c r="L196" s="163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90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91"/>
      <c r="AK196" s="4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4"/>
    </row>
    <row r="197" spans="1:56" x14ac:dyDescent="0.2">
      <c r="A197" s="15">
        <f t="shared" si="15"/>
        <v>0</v>
      </c>
      <c r="B197" s="169"/>
      <c r="C197" s="17"/>
      <c r="D197" s="128"/>
      <c r="E197" s="169" t="str">
        <f t="shared" si="16"/>
        <v>Por definir</v>
      </c>
      <c r="G197" s="129"/>
      <c r="H197" s="129" t="s">
        <v>957</v>
      </c>
      <c r="I197" s="128"/>
      <c r="J197" s="130"/>
      <c r="K197" s="16">
        <f t="shared" si="17"/>
        <v>0</v>
      </c>
      <c r="L197" s="163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90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91"/>
      <c r="AK197" s="4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4"/>
    </row>
    <row r="198" spans="1:56" x14ac:dyDescent="0.2">
      <c r="A198" s="15">
        <f t="shared" si="15"/>
        <v>0</v>
      </c>
      <c r="B198" s="169"/>
      <c r="C198" s="17"/>
      <c r="D198" s="128"/>
      <c r="E198" s="169" t="str">
        <f t="shared" si="16"/>
        <v>Por definir</v>
      </c>
      <c r="G198" s="129"/>
      <c r="H198" s="129" t="s">
        <v>957</v>
      </c>
      <c r="I198" s="128"/>
      <c r="J198" s="130"/>
      <c r="K198" s="16">
        <f t="shared" si="17"/>
        <v>0</v>
      </c>
      <c r="L198" s="163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90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91"/>
      <c r="AK198" s="4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4"/>
    </row>
    <row r="199" spans="1:56" x14ac:dyDescent="0.2">
      <c r="A199" s="15">
        <f t="shared" si="15"/>
        <v>0</v>
      </c>
      <c r="B199" s="169"/>
      <c r="C199" s="17"/>
      <c r="D199" s="128"/>
      <c r="E199" s="169" t="str">
        <f t="shared" si="16"/>
        <v>Por definir</v>
      </c>
      <c r="G199" s="129"/>
      <c r="H199" s="129" t="s">
        <v>957</v>
      </c>
      <c r="I199" s="128"/>
      <c r="J199" s="130"/>
      <c r="K199" s="16">
        <f t="shared" si="17"/>
        <v>0</v>
      </c>
      <c r="L199" s="163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90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91"/>
      <c r="AK199" s="4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4"/>
    </row>
    <row r="200" spans="1:56" x14ac:dyDescent="0.2">
      <c r="A200" s="15">
        <f t="shared" si="15"/>
        <v>0</v>
      </c>
      <c r="B200" s="169"/>
      <c r="C200" s="17"/>
      <c r="D200" s="128"/>
      <c r="E200" s="169" t="str">
        <f t="shared" si="16"/>
        <v>Por definir</v>
      </c>
      <c r="G200" s="129"/>
      <c r="H200" s="129" t="s">
        <v>957</v>
      </c>
      <c r="I200" s="128"/>
      <c r="J200" s="130"/>
      <c r="K200" s="16">
        <f t="shared" si="17"/>
        <v>0</v>
      </c>
      <c r="L200" s="163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90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91"/>
      <c r="AK200" s="4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4"/>
    </row>
    <row r="201" spans="1:56" x14ac:dyDescent="0.2">
      <c r="A201" s="15">
        <f t="shared" si="15"/>
        <v>0</v>
      </c>
      <c r="B201" s="169"/>
      <c r="C201" s="17"/>
      <c r="D201" s="128"/>
      <c r="E201" s="169" t="str">
        <f t="shared" si="16"/>
        <v>Por definir</v>
      </c>
      <c r="G201" s="129"/>
      <c r="H201" s="129" t="s">
        <v>957</v>
      </c>
      <c r="I201" s="128"/>
      <c r="J201" s="130"/>
      <c r="K201" s="16">
        <f t="shared" si="17"/>
        <v>0</v>
      </c>
      <c r="L201" s="163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90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91"/>
      <c r="AK201" s="4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4"/>
    </row>
    <row r="202" spans="1:56" x14ac:dyDescent="0.2">
      <c r="A202" s="15">
        <f t="shared" si="15"/>
        <v>0</v>
      </c>
      <c r="B202" s="169"/>
      <c r="C202" s="17"/>
      <c r="D202" s="128"/>
      <c r="E202" s="169" t="str">
        <f t="shared" si="16"/>
        <v>Por definir</v>
      </c>
      <c r="G202" s="129"/>
      <c r="H202" s="129" t="s">
        <v>957</v>
      </c>
      <c r="I202" s="128"/>
      <c r="J202" s="130"/>
      <c r="K202" s="16">
        <f t="shared" si="17"/>
        <v>0</v>
      </c>
      <c r="L202" s="163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90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91"/>
      <c r="AK202" s="4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4"/>
    </row>
    <row r="203" spans="1:56" x14ac:dyDescent="0.2">
      <c r="A203" s="15">
        <f t="shared" si="15"/>
        <v>0</v>
      </c>
      <c r="B203" s="169"/>
      <c r="C203" s="17"/>
      <c r="D203" s="128"/>
      <c r="E203" s="169" t="str">
        <f t="shared" si="16"/>
        <v>Por definir</v>
      </c>
      <c r="G203" s="129"/>
      <c r="H203" s="129" t="s">
        <v>957</v>
      </c>
      <c r="I203" s="128"/>
      <c r="J203" s="130"/>
      <c r="K203" s="16">
        <f t="shared" si="17"/>
        <v>0</v>
      </c>
      <c r="L203" s="163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90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91"/>
      <c r="AK203" s="4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4"/>
    </row>
    <row r="204" spans="1:56" x14ac:dyDescent="0.2">
      <c r="A204" s="15">
        <f t="shared" si="15"/>
        <v>0</v>
      </c>
      <c r="B204" s="169"/>
      <c r="C204" s="17"/>
      <c r="D204" s="128"/>
      <c r="E204" s="169" t="str">
        <f t="shared" si="16"/>
        <v>Por definir</v>
      </c>
      <c r="G204" s="129"/>
      <c r="H204" s="129" t="s">
        <v>957</v>
      </c>
      <c r="I204" s="128"/>
      <c r="J204" s="130"/>
      <c r="K204" s="16">
        <f t="shared" si="17"/>
        <v>0</v>
      </c>
      <c r="L204" s="163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90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91"/>
      <c r="AK204" s="4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4"/>
    </row>
    <row r="205" spans="1:56" x14ac:dyDescent="0.2">
      <c r="A205" s="15">
        <f t="shared" si="15"/>
        <v>0</v>
      </c>
      <c r="B205" s="169"/>
      <c r="C205" s="17"/>
      <c r="D205" s="128"/>
      <c r="E205" s="169" t="str">
        <f t="shared" si="16"/>
        <v>Por definir</v>
      </c>
      <c r="G205" s="129"/>
      <c r="H205" s="129" t="s">
        <v>957</v>
      </c>
      <c r="I205" s="128"/>
      <c r="J205" s="130"/>
      <c r="K205" s="16">
        <f t="shared" si="17"/>
        <v>0</v>
      </c>
      <c r="L205" s="163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90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91"/>
      <c r="AK205" s="4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4"/>
    </row>
    <row r="206" spans="1:56" x14ac:dyDescent="0.2">
      <c r="A206" s="15">
        <f t="shared" si="15"/>
        <v>0</v>
      </c>
      <c r="B206" s="169"/>
      <c r="C206" s="17"/>
      <c r="D206" s="128"/>
      <c r="E206" s="169" t="str">
        <f t="shared" si="16"/>
        <v>Por definir</v>
      </c>
      <c r="G206" s="129"/>
      <c r="H206" s="129" t="s">
        <v>957</v>
      </c>
      <c r="I206" s="128"/>
      <c r="J206" s="130"/>
      <c r="K206" s="16">
        <f t="shared" si="17"/>
        <v>0</v>
      </c>
      <c r="L206" s="163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90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91"/>
      <c r="AK206" s="4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4"/>
    </row>
    <row r="207" spans="1:56" x14ac:dyDescent="0.2">
      <c r="A207" s="15">
        <f t="shared" si="15"/>
        <v>0</v>
      </c>
      <c r="B207" s="169"/>
      <c r="C207" s="17"/>
      <c r="D207" s="128"/>
      <c r="E207" s="169" t="str">
        <f t="shared" si="16"/>
        <v>Por definir</v>
      </c>
      <c r="G207" s="129"/>
      <c r="H207" s="129" t="s">
        <v>957</v>
      </c>
      <c r="I207" s="128"/>
      <c r="J207" s="130"/>
      <c r="K207" s="16">
        <f t="shared" si="17"/>
        <v>0</v>
      </c>
      <c r="L207" s="163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90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91"/>
      <c r="AK207" s="4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4"/>
    </row>
    <row r="208" spans="1:56" x14ac:dyDescent="0.2">
      <c r="A208" s="15">
        <f t="shared" si="15"/>
        <v>0</v>
      </c>
      <c r="B208" s="169"/>
      <c r="C208" s="17"/>
      <c r="D208" s="128"/>
      <c r="E208" s="169" t="str">
        <f t="shared" si="16"/>
        <v>Por definir</v>
      </c>
      <c r="G208" s="129"/>
      <c r="H208" s="129" t="s">
        <v>957</v>
      </c>
      <c r="I208" s="128"/>
      <c r="J208" s="130"/>
      <c r="K208" s="16">
        <f t="shared" si="17"/>
        <v>0</v>
      </c>
      <c r="L208" s="163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90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91"/>
      <c r="AK208" s="4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4"/>
    </row>
    <row r="209" spans="1:56" x14ac:dyDescent="0.2">
      <c r="A209" s="15">
        <f t="shared" si="15"/>
        <v>0</v>
      </c>
      <c r="B209" s="169"/>
      <c r="C209" s="17"/>
      <c r="D209" s="128"/>
      <c r="E209" s="169" t="str">
        <f t="shared" si="16"/>
        <v>Por definir</v>
      </c>
      <c r="G209" s="129"/>
      <c r="H209" s="129" t="s">
        <v>957</v>
      </c>
      <c r="I209" s="128"/>
      <c r="J209" s="130"/>
      <c r="K209" s="16">
        <f t="shared" si="17"/>
        <v>0</v>
      </c>
      <c r="L209" s="163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90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91"/>
      <c r="AK209" s="4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4"/>
    </row>
    <row r="210" spans="1:56" x14ac:dyDescent="0.2">
      <c r="A210" s="15">
        <f t="shared" si="15"/>
        <v>0</v>
      </c>
      <c r="B210" s="169"/>
      <c r="C210" s="17"/>
      <c r="D210" s="128"/>
      <c r="E210" s="169" t="str">
        <f t="shared" si="16"/>
        <v>Por definir</v>
      </c>
      <c r="G210" s="129"/>
      <c r="H210" s="129" t="s">
        <v>957</v>
      </c>
      <c r="I210" s="128"/>
      <c r="J210" s="130"/>
      <c r="K210" s="16">
        <f t="shared" si="17"/>
        <v>0</v>
      </c>
      <c r="L210" s="163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90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91"/>
      <c r="AK210" s="4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4"/>
    </row>
    <row r="211" spans="1:56" x14ac:dyDescent="0.2">
      <c r="A211" s="15">
        <f t="shared" si="15"/>
        <v>0</v>
      </c>
      <c r="B211" s="169"/>
      <c r="C211" s="17"/>
      <c r="D211" s="128"/>
      <c r="E211" s="169" t="str">
        <f t="shared" si="16"/>
        <v>Por definir</v>
      </c>
      <c r="G211" s="129"/>
      <c r="H211" s="129" t="s">
        <v>957</v>
      </c>
      <c r="I211" s="128"/>
      <c r="J211" s="130"/>
      <c r="K211" s="16">
        <f t="shared" si="17"/>
        <v>0</v>
      </c>
      <c r="L211" s="163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90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91"/>
      <c r="AK211" s="4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4"/>
    </row>
    <row r="212" spans="1:56" x14ac:dyDescent="0.2">
      <c r="A212" s="15">
        <f t="shared" si="15"/>
        <v>0</v>
      </c>
      <c r="B212" s="169"/>
      <c r="C212" s="17"/>
      <c r="D212" s="128"/>
      <c r="E212" s="169" t="str">
        <f t="shared" si="16"/>
        <v>Por definir</v>
      </c>
      <c r="G212" s="129"/>
      <c r="H212" s="129" t="s">
        <v>957</v>
      </c>
      <c r="I212" s="128"/>
      <c r="J212" s="130"/>
      <c r="K212" s="16">
        <f t="shared" si="17"/>
        <v>0</v>
      </c>
      <c r="L212" s="163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90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91"/>
      <c r="AK212" s="4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4"/>
    </row>
    <row r="213" spans="1:56" x14ac:dyDescent="0.2">
      <c r="A213" s="15">
        <f t="shared" si="15"/>
        <v>0</v>
      </c>
      <c r="B213" s="169"/>
      <c r="C213" s="17"/>
      <c r="D213" s="128"/>
      <c r="E213" s="169" t="str">
        <f t="shared" si="16"/>
        <v>Por definir</v>
      </c>
      <c r="G213" s="129"/>
      <c r="H213" s="129" t="s">
        <v>957</v>
      </c>
      <c r="I213" s="128"/>
      <c r="J213" s="130"/>
      <c r="K213" s="16">
        <f t="shared" si="17"/>
        <v>0</v>
      </c>
      <c r="L213" s="163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90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91"/>
      <c r="AK213" s="4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4"/>
    </row>
    <row r="214" spans="1:56" x14ac:dyDescent="0.2">
      <c r="A214" s="15">
        <f t="shared" si="15"/>
        <v>0</v>
      </c>
      <c r="B214" s="169"/>
      <c r="C214" s="17"/>
      <c r="D214" s="128"/>
      <c r="E214" s="169" t="str">
        <f t="shared" si="16"/>
        <v>Por definir</v>
      </c>
      <c r="G214" s="129"/>
      <c r="H214" s="129" t="s">
        <v>957</v>
      </c>
      <c r="I214" s="128"/>
      <c r="J214" s="130"/>
      <c r="K214" s="16">
        <f t="shared" si="17"/>
        <v>0</v>
      </c>
      <c r="L214" s="163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90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91"/>
      <c r="AK214" s="4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4"/>
    </row>
    <row r="215" spans="1:56" x14ac:dyDescent="0.2">
      <c r="A215" s="15">
        <f t="shared" si="15"/>
        <v>0</v>
      </c>
      <c r="B215" s="169"/>
      <c r="C215" s="17"/>
      <c r="D215" s="128"/>
      <c r="E215" s="169" t="str">
        <f t="shared" si="16"/>
        <v>Por definir</v>
      </c>
      <c r="G215" s="129"/>
      <c r="H215" s="129" t="s">
        <v>957</v>
      </c>
      <c r="I215" s="128"/>
      <c r="J215" s="130"/>
      <c r="K215" s="16">
        <f t="shared" si="17"/>
        <v>0</v>
      </c>
      <c r="L215" s="163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90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91"/>
      <c r="AK215" s="4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4"/>
    </row>
    <row r="216" spans="1:56" x14ac:dyDescent="0.2">
      <c r="A216" s="15">
        <f t="shared" si="15"/>
        <v>0</v>
      </c>
      <c r="B216" s="169"/>
      <c r="C216" s="17"/>
      <c r="D216" s="128"/>
      <c r="E216" s="169" t="str">
        <f t="shared" si="16"/>
        <v>Por definir</v>
      </c>
      <c r="G216" s="129"/>
      <c r="H216" s="129" t="s">
        <v>957</v>
      </c>
      <c r="I216" s="128"/>
      <c r="J216" s="130"/>
      <c r="K216" s="16">
        <f t="shared" si="17"/>
        <v>0</v>
      </c>
      <c r="L216" s="163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90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91"/>
      <c r="AK216" s="4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4"/>
    </row>
    <row r="217" spans="1:56" x14ac:dyDescent="0.2">
      <c r="A217" s="15">
        <f t="shared" si="15"/>
        <v>0</v>
      </c>
      <c r="B217" s="169"/>
      <c r="C217" s="17"/>
      <c r="D217" s="128"/>
      <c r="E217" s="169" t="str">
        <f t="shared" si="16"/>
        <v>Por definir</v>
      </c>
      <c r="G217" s="129"/>
      <c r="H217" s="129" t="s">
        <v>957</v>
      </c>
      <c r="I217" s="128"/>
      <c r="J217" s="130"/>
      <c r="K217" s="16">
        <f t="shared" si="17"/>
        <v>0</v>
      </c>
      <c r="L217" s="163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90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91"/>
      <c r="AK217" s="4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4"/>
    </row>
    <row r="218" spans="1:56" x14ac:dyDescent="0.2">
      <c r="A218" s="15">
        <f t="shared" si="15"/>
        <v>0</v>
      </c>
      <c r="B218" s="169"/>
      <c r="C218" s="17"/>
      <c r="D218" s="128"/>
      <c r="E218" s="169" t="str">
        <f t="shared" si="16"/>
        <v>Por definir</v>
      </c>
      <c r="G218" s="129"/>
      <c r="H218" s="129" t="s">
        <v>957</v>
      </c>
      <c r="I218" s="128"/>
      <c r="J218" s="130"/>
      <c r="K218" s="16">
        <f t="shared" si="17"/>
        <v>0</v>
      </c>
      <c r="L218" s="163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90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91"/>
      <c r="AK218" s="4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4"/>
    </row>
    <row r="219" spans="1:56" x14ac:dyDescent="0.2">
      <c r="A219" s="15">
        <f t="shared" si="15"/>
        <v>0</v>
      </c>
      <c r="B219" s="169"/>
      <c r="C219" s="17"/>
      <c r="D219" s="128"/>
      <c r="E219" s="169" t="str">
        <f t="shared" si="16"/>
        <v>Por definir</v>
      </c>
      <c r="G219" s="129"/>
      <c r="H219" s="129" t="s">
        <v>957</v>
      </c>
      <c r="I219" s="128"/>
      <c r="J219" s="130"/>
      <c r="K219" s="16">
        <f t="shared" si="17"/>
        <v>0</v>
      </c>
      <c r="L219" s="163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90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91"/>
      <c r="AK219" s="4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4"/>
    </row>
    <row r="220" spans="1:56" x14ac:dyDescent="0.2">
      <c r="A220" s="15">
        <f t="shared" ref="A220:A283" si="18">+LEN(B220)</f>
        <v>0</v>
      </c>
      <c r="B220" s="169"/>
      <c r="C220" s="17"/>
      <c r="D220" s="128"/>
      <c r="E220" s="169" t="str">
        <f t="shared" ref="E220:E283" si="19">+IF(D220="Chile","30 días",IF(D220="Perú","30 días",IF(D220="Brasil","60 días",IF(D220="Rusia","Indeterminado","Por definir"))))</f>
        <v>Por definir</v>
      </c>
      <c r="G220" s="129"/>
      <c r="H220" s="129" t="s">
        <v>957</v>
      </c>
      <c r="I220" s="128"/>
      <c r="J220" s="130"/>
      <c r="K220" s="16">
        <f t="shared" ref="K220:K283" si="20">+SUM(X220:AI220)</f>
        <v>0</v>
      </c>
      <c r="L220" s="163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90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91"/>
      <c r="AK220" s="4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4"/>
    </row>
    <row r="221" spans="1:56" x14ac:dyDescent="0.2">
      <c r="A221" s="15">
        <f t="shared" si="18"/>
        <v>0</v>
      </c>
      <c r="B221" s="169"/>
      <c r="C221" s="17"/>
      <c r="D221" s="128"/>
      <c r="E221" s="169" t="str">
        <f t="shared" si="19"/>
        <v>Por definir</v>
      </c>
      <c r="G221" s="129"/>
      <c r="H221" s="129" t="s">
        <v>957</v>
      </c>
      <c r="I221" s="128"/>
      <c r="J221" s="130"/>
      <c r="K221" s="16">
        <f t="shared" si="20"/>
        <v>0</v>
      </c>
      <c r="L221" s="163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90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91"/>
      <c r="AK221" s="4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4"/>
    </row>
    <row r="222" spans="1:56" x14ac:dyDescent="0.2">
      <c r="A222" s="15">
        <f t="shared" si="18"/>
        <v>0</v>
      </c>
      <c r="B222" s="169"/>
      <c r="C222" s="17"/>
      <c r="D222" s="128"/>
      <c r="E222" s="169" t="str">
        <f t="shared" si="19"/>
        <v>Por definir</v>
      </c>
      <c r="G222" s="129"/>
      <c r="H222" s="129" t="s">
        <v>957</v>
      </c>
      <c r="I222" s="128"/>
      <c r="J222" s="130"/>
      <c r="K222" s="16">
        <f t="shared" si="20"/>
        <v>0</v>
      </c>
      <c r="L222" s="163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90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91"/>
      <c r="AK222" s="4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4"/>
    </row>
    <row r="223" spans="1:56" x14ac:dyDescent="0.2">
      <c r="A223" s="15">
        <f t="shared" si="18"/>
        <v>0</v>
      </c>
      <c r="B223" s="169"/>
      <c r="C223" s="17"/>
      <c r="D223" s="128"/>
      <c r="E223" s="169" t="str">
        <f t="shared" si="19"/>
        <v>Por definir</v>
      </c>
      <c r="G223" s="129"/>
      <c r="H223" s="129" t="s">
        <v>957</v>
      </c>
      <c r="I223" s="128"/>
      <c r="J223" s="130"/>
      <c r="K223" s="16">
        <f t="shared" si="20"/>
        <v>0</v>
      </c>
      <c r="L223" s="163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90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91"/>
      <c r="AK223" s="4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4"/>
    </row>
    <row r="224" spans="1:56" x14ac:dyDescent="0.2">
      <c r="A224" s="15">
        <f t="shared" si="18"/>
        <v>0</v>
      </c>
      <c r="B224" s="169"/>
      <c r="C224" s="17"/>
      <c r="D224" s="128"/>
      <c r="E224" s="169" t="str">
        <f t="shared" si="19"/>
        <v>Por definir</v>
      </c>
      <c r="G224" s="129"/>
      <c r="H224" s="129" t="s">
        <v>957</v>
      </c>
      <c r="I224" s="128"/>
      <c r="J224" s="130"/>
      <c r="K224" s="16">
        <f t="shared" si="20"/>
        <v>0</v>
      </c>
      <c r="L224" s="163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90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91"/>
      <c r="AK224" s="4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4"/>
    </row>
    <row r="225" spans="1:56" x14ac:dyDescent="0.2">
      <c r="A225" s="15">
        <f t="shared" si="18"/>
        <v>0</v>
      </c>
      <c r="B225" s="169"/>
      <c r="C225" s="17"/>
      <c r="D225" s="128"/>
      <c r="E225" s="169" t="str">
        <f t="shared" si="19"/>
        <v>Por definir</v>
      </c>
      <c r="G225" s="129"/>
      <c r="H225" s="129" t="s">
        <v>957</v>
      </c>
      <c r="I225" s="128"/>
      <c r="J225" s="130"/>
      <c r="K225" s="16">
        <f t="shared" si="20"/>
        <v>0</v>
      </c>
      <c r="L225" s="163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90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91"/>
      <c r="AK225" s="4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4"/>
    </row>
    <row r="226" spans="1:56" x14ac:dyDescent="0.2">
      <c r="A226" s="15">
        <f t="shared" si="18"/>
        <v>0</v>
      </c>
      <c r="B226" s="169"/>
      <c r="C226" s="17"/>
      <c r="D226" s="128"/>
      <c r="E226" s="169" t="str">
        <f t="shared" si="19"/>
        <v>Por definir</v>
      </c>
      <c r="G226" s="129"/>
      <c r="H226" s="129" t="s">
        <v>957</v>
      </c>
      <c r="I226" s="128"/>
      <c r="J226" s="130"/>
      <c r="K226" s="16">
        <f t="shared" si="20"/>
        <v>0</v>
      </c>
      <c r="L226" s="163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90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91"/>
      <c r="AK226" s="4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4"/>
    </row>
    <row r="227" spans="1:56" x14ac:dyDescent="0.2">
      <c r="A227" s="15">
        <f t="shared" si="18"/>
        <v>0</v>
      </c>
      <c r="B227" s="169"/>
      <c r="C227" s="17"/>
      <c r="D227" s="128"/>
      <c r="E227" s="169" t="str">
        <f t="shared" si="19"/>
        <v>Por definir</v>
      </c>
      <c r="G227" s="129"/>
      <c r="H227" s="129" t="s">
        <v>957</v>
      </c>
      <c r="I227" s="128"/>
      <c r="J227" s="130"/>
      <c r="K227" s="16">
        <f t="shared" si="20"/>
        <v>0</v>
      </c>
      <c r="L227" s="163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90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91"/>
      <c r="AK227" s="4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4"/>
    </row>
    <row r="228" spans="1:56" x14ac:dyDescent="0.2">
      <c r="A228" s="15">
        <f t="shared" si="18"/>
        <v>0</v>
      </c>
      <c r="B228" s="169"/>
      <c r="C228" s="17"/>
      <c r="D228" s="128"/>
      <c r="E228" s="169" t="str">
        <f t="shared" si="19"/>
        <v>Por definir</v>
      </c>
      <c r="G228" s="129"/>
      <c r="H228" s="129" t="s">
        <v>957</v>
      </c>
      <c r="I228" s="128"/>
      <c r="J228" s="130"/>
      <c r="K228" s="16">
        <f t="shared" si="20"/>
        <v>0</v>
      </c>
      <c r="L228" s="163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90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91"/>
      <c r="AK228" s="4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4"/>
    </row>
    <row r="229" spans="1:56" x14ac:dyDescent="0.2">
      <c r="A229" s="15">
        <f t="shared" si="18"/>
        <v>0</v>
      </c>
      <c r="B229" s="169"/>
      <c r="C229" s="17"/>
      <c r="D229" s="128"/>
      <c r="E229" s="169" t="str">
        <f t="shared" si="19"/>
        <v>Por definir</v>
      </c>
      <c r="G229" s="129"/>
      <c r="H229" s="129" t="s">
        <v>957</v>
      </c>
      <c r="I229" s="128"/>
      <c r="J229" s="130"/>
      <c r="K229" s="16">
        <f t="shared" si="20"/>
        <v>0</v>
      </c>
      <c r="L229" s="163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90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91"/>
      <c r="AK229" s="4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4"/>
    </row>
    <row r="230" spans="1:56" x14ac:dyDescent="0.2">
      <c r="A230" s="15">
        <f t="shared" si="18"/>
        <v>0</v>
      </c>
      <c r="B230" s="169"/>
      <c r="C230" s="17"/>
      <c r="D230" s="128"/>
      <c r="E230" s="169" t="str">
        <f t="shared" si="19"/>
        <v>Por definir</v>
      </c>
      <c r="G230" s="129"/>
      <c r="H230" s="129" t="s">
        <v>957</v>
      </c>
      <c r="I230" s="128"/>
      <c r="J230" s="130"/>
      <c r="K230" s="16">
        <f t="shared" si="20"/>
        <v>0</v>
      </c>
      <c r="L230" s="163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90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91"/>
      <c r="AK230" s="4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4"/>
    </row>
    <row r="231" spans="1:56" x14ac:dyDescent="0.2">
      <c r="A231" s="15">
        <f t="shared" si="18"/>
        <v>0</v>
      </c>
      <c r="B231" s="169"/>
      <c r="C231" s="17"/>
      <c r="D231" s="128"/>
      <c r="E231" s="169" t="str">
        <f t="shared" si="19"/>
        <v>Por definir</v>
      </c>
      <c r="G231" s="129"/>
      <c r="H231" s="129" t="s">
        <v>957</v>
      </c>
      <c r="I231" s="128"/>
      <c r="J231" s="130"/>
      <c r="K231" s="16">
        <f t="shared" si="20"/>
        <v>0</v>
      </c>
      <c r="L231" s="163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90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91"/>
      <c r="AK231" s="4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4"/>
    </row>
    <row r="232" spans="1:56" x14ac:dyDescent="0.2">
      <c r="A232" s="15">
        <f t="shared" si="18"/>
        <v>0</v>
      </c>
      <c r="B232" s="169"/>
      <c r="C232" s="17"/>
      <c r="D232" s="128"/>
      <c r="E232" s="169" t="str">
        <f t="shared" si="19"/>
        <v>Por definir</v>
      </c>
      <c r="G232" s="129"/>
      <c r="H232" s="129" t="s">
        <v>957</v>
      </c>
      <c r="I232" s="128"/>
      <c r="J232" s="130"/>
      <c r="K232" s="16">
        <f t="shared" si="20"/>
        <v>0</v>
      </c>
      <c r="L232" s="163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90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91"/>
      <c r="AK232" s="4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4"/>
    </row>
    <row r="233" spans="1:56" x14ac:dyDescent="0.2">
      <c r="A233" s="15">
        <f t="shared" si="18"/>
        <v>0</v>
      </c>
      <c r="B233" s="169"/>
      <c r="C233" s="17"/>
      <c r="D233" s="128"/>
      <c r="E233" s="169" t="str">
        <f t="shared" si="19"/>
        <v>Por definir</v>
      </c>
      <c r="G233" s="129"/>
      <c r="H233" s="129" t="s">
        <v>957</v>
      </c>
      <c r="I233" s="128"/>
      <c r="J233" s="130"/>
      <c r="K233" s="16">
        <f t="shared" si="20"/>
        <v>0</v>
      </c>
      <c r="L233" s="163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90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91"/>
      <c r="AK233" s="4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4"/>
    </row>
    <row r="234" spans="1:56" x14ac:dyDescent="0.2">
      <c r="A234" s="15">
        <f t="shared" si="18"/>
        <v>0</v>
      </c>
      <c r="B234" s="169"/>
      <c r="C234" s="17"/>
      <c r="D234" s="128"/>
      <c r="E234" s="169" t="str">
        <f t="shared" si="19"/>
        <v>Por definir</v>
      </c>
      <c r="G234" s="129"/>
      <c r="H234" s="129" t="s">
        <v>957</v>
      </c>
      <c r="I234" s="128"/>
      <c r="J234" s="130"/>
      <c r="K234" s="16">
        <f t="shared" si="20"/>
        <v>0</v>
      </c>
      <c r="L234" s="163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90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91"/>
      <c r="AK234" s="4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4"/>
    </row>
    <row r="235" spans="1:56" x14ac:dyDescent="0.2">
      <c r="A235" s="15">
        <f t="shared" si="18"/>
        <v>0</v>
      </c>
      <c r="B235" s="169"/>
      <c r="C235" s="17"/>
      <c r="D235" s="128"/>
      <c r="E235" s="169" t="str">
        <f t="shared" si="19"/>
        <v>Por definir</v>
      </c>
      <c r="G235" s="129"/>
      <c r="H235" s="129" t="s">
        <v>957</v>
      </c>
      <c r="I235" s="128"/>
      <c r="J235" s="130"/>
      <c r="K235" s="16">
        <f t="shared" si="20"/>
        <v>0</v>
      </c>
      <c r="L235" s="163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90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91"/>
      <c r="AK235" s="4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4"/>
    </row>
    <row r="236" spans="1:56" x14ac:dyDescent="0.2">
      <c r="A236" s="15">
        <f t="shared" si="18"/>
        <v>0</v>
      </c>
      <c r="B236" s="169"/>
      <c r="C236" s="17"/>
      <c r="D236" s="128"/>
      <c r="E236" s="169" t="str">
        <f t="shared" si="19"/>
        <v>Por definir</v>
      </c>
      <c r="G236" s="129"/>
      <c r="H236" s="129" t="s">
        <v>957</v>
      </c>
      <c r="I236" s="128"/>
      <c r="J236" s="130"/>
      <c r="K236" s="16">
        <f t="shared" si="20"/>
        <v>0</v>
      </c>
      <c r="L236" s="163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90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91"/>
      <c r="AK236" s="4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4"/>
    </row>
    <row r="237" spans="1:56" x14ac:dyDescent="0.2">
      <c r="A237" s="15">
        <f t="shared" si="18"/>
        <v>0</v>
      </c>
      <c r="B237" s="169"/>
      <c r="C237" s="17"/>
      <c r="D237" s="128"/>
      <c r="E237" s="169" t="str">
        <f t="shared" si="19"/>
        <v>Por definir</v>
      </c>
      <c r="G237" s="129"/>
      <c r="H237" s="129" t="s">
        <v>957</v>
      </c>
      <c r="I237" s="128"/>
      <c r="J237" s="130"/>
      <c r="K237" s="16">
        <f t="shared" si="20"/>
        <v>0</v>
      </c>
      <c r="L237" s="163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90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91"/>
      <c r="AK237" s="4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4"/>
    </row>
    <row r="238" spans="1:56" x14ac:dyDescent="0.2">
      <c r="A238" s="15">
        <f t="shared" si="18"/>
        <v>0</v>
      </c>
      <c r="B238" s="169"/>
      <c r="C238" s="17"/>
      <c r="D238" s="128"/>
      <c r="E238" s="169" t="str">
        <f t="shared" si="19"/>
        <v>Por definir</v>
      </c>
      <c r="G238" s="129"/>
      <c r="H238" s="129" t="s">
        <v>957</v>
      </c>
      <c r="I238" s="128"/>
      <c r="J238" s="130"/>
      <c r="K238" s="16">
        <f t="shared" si="20"/>
        <v>0</v>
      </c>
      <c r="L238" s="163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90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91"/>
      <c r="AK238" s="4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4"/>
    </row>
    <row r="239" spans="1:56" x14ac:dyDescent="0.2">
      <c r="A239" s="15">
        <f t="shared" si="18"/>
        <v>0</v>
      </c>
      <c r="B239" s="169"/>
      <c r="C239" s="17"/>
      <c r="D239" s="128"/>
      <c r="E239" s="169" t="str">
        <f t="shared" si="19"/>
        <v>Por definir</v>
      </c>
      <c r="G239" s="129"/>
      <c r="H239" s="129" t="s">
        <v>957</v>
      </c>
      <c r="I239" s="128"/>
      <c r="J239" s="130"/>
      <c r="K239" s="16">
        <f t="shared" si="20"/>
        <v>0</v>
      </c>
      <c r="L239" s="163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90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91"/>
      <c r="AK239" s="4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4"/>
    </row>
    <row r="240" spans="1:56" x14ac:dyDescent="0.2">
      <c r="A240" s="15">
        <f t="shared" si="18"/>
        <v>0</v>
      </c>
      <c r="B240" s="169"/>
      <c r="C240" s="17"/>
      <c r="D240" s="128"/>
      <c r="E240" s="169" t="str">
        <f t="shared" si="19"/>
        <v>Por definir</v>
      </c>
      <c r="G240" s="129"/>
      <c r="H240" s="129" t="s">
        <v>957</v>
      </c>
      <c r="I240" s="128"/>
      <c r="J240" s="130"/>
      <c r="K240" s="16">
        <f t="shared" si="20"/>
        <v>0</v>
      </c>
      <c r="L240" s="163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90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91"/>
      <c r="AK240" s="4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4"/>
    </row>
    <row r="241" spans="1:56" x14ac:dyDescent="0.2">
      <c r="A241" s="15">
        <f t="shared" si="18"/>
        <v>0</v>
      </c>
      <c r="B241" s="169"/>
      <c r="C241" s="17"/>
      <c r="D241" s="128"/>
      <c r="E241" s="169" t="str">
        <f t="shared" si="19"/>
        <v>Por definir</v>
      </c>
      <c r="G241" s="129"/>
      <c r="H241" s="129" t="s">
        <v>957</v>
      </c>
      <c r="I241" s="128"/>
      <c r="J241" s="130"/>
      <c r="K241" s="16">
        <f t="shared" si="20"/>
        <v>0</v>
      </c>
      <c r="L241" s="163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90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91"/>
      <c r="AK241" s="4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4"/>
    </row>
    <row r="242" spans="1:56" x14ac:dyDescent="0.2">
      <c r="A242" s="15">
        <f t="shared" si="18"/>
        <v>0</v>
      </c>
      <c r="B242" s="169"/>
      <c r="C242" s="17"/>
      <c r="D242" s="128"/>
      <c r="E242" s="169" t="str">
        <f t="shared" si="19"/>
        <v>Por definir</v>
      </c>
      <c r="G242" s="129"/>
      <c r="H242" s="129" t="s">
        <v>957</v>
      </c>
      <c r="I242" s="128"/>
      <c r="J242" s="130"/>
      <c r="K242" s="16">
        <f t="shared" si="20"/>
        <v>0</v>
      </c>
      <c r="L242" s="163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90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91"/>
      <c r="AK242" s="4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4"/>
    </row>
    <row r="243" spans="1:56" x14ac:dyDescent="0.2">
      <c r="A243" s="15">
        <f t="shared" si="18"/>
        <v>0</v>
      </c>
      <c r="B243" s="169"/>
      <c r="C243" s="17"/>
      <c r="D243" s="128"/>
      <c r="E243" s="169" t="str">
        <f t="shared" si="19"/>
        <v>Por definir</v>
      </c>
      <c r="G243" s="129"/>
      <c r="H243" s="129" t="s">
        <v>957</v>
      </c>
      <c r="I243" s="128"/>
      <c r="J243" s="130"/>
      <c r="K243" s="16">
        <f t="shared" si="20"/>
        <v>0</v>
      </c>
      <c r="L243" s="163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90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91"/>
      <c r="AK243" s="4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4"/>
    </row>
    <row r="244" spans="1:56" x14ac:dyDescent="0.2">
      <c r="A244" s="15">
        <f t="shared" si="18"/>
        <v>0</v>
      </c>
      <c r="B244" s="169"/>
      <c r="C244" s="17"/>
      <c r="D244" s="128"/>
      <c r="E244" s="169" t="str">
        <f t="shared" si="19"/>
        <v>Por definir</v>
      </c>
      <c r="G244" s="129"/>
      <c r="H244" s="129" t="s">
        <v>957</v>
      </c>
      <c r="I244" s="128"/>
      <c r="J244" s="130"/>
      <c r="K244" s="16">
        <f t="shared" si="20"/>
        <v>0</v>
      </c>
      <c r="L244" s="163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90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91"/>
      <c r="AK244" s="4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4"/>
    </row>
    <row r="245" spans="1:56" x14ac:dyDescent="0.2">
      <c r="A245" s="15">
        <f t="shared" si="18"/>
        <v>0</v>
      </c>
      <c r="B245" s="169"/>
      <c r="C245" s="17"/>
      <c r="D245" s="128"/>
      <c r="E245" s="169" t="str">
        <f t="shared" si="19"/>
        <v>Por definir</v>
      </c>
      <c r="G245" s="129"/>
      <c r="H245" s="129" t="s">
        <v>957</v>
      </c>
      <c r="I245" s="128"/>
      <c r="J245" s="130"/>
      <c r="K245" s="16">
        <f t="shared" si="20"/>
        <v>0</v>
      </c>
      <c r="L245" s="163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90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91"/>
      <c r="AK245" s="4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4"/>
    </row>
    <row r="246" spans="1:56" x14ac:dyDescent="0.2">
      <c r="A246" s="15">
        <f t="shared" si="18"/>
        <v>0</v>
      </c>
      <c r="B246" s="169"/>
      <c r="C246" s="17"/>
      <c r="D246" s="128"/>
      <c r="E246" s="169" t="str">
        <f t="shared" si="19"/>
        <v>Por definir</v>
      </c>
      <c r="G246" s="129"/>
      <c r="H246" s="129" t="s">
        <v>957</v>
      </c>
      <c r="I246" s="128"/>
      <c r="J246" s="130"/>
      <c r="K246" s="16">
        <f t="shared" si="20"/>
        <v>0</v>
      </c>
      <c r="L246" s="163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90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91"/>
      <c r="AK246" s="4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4"/>
    </row>
    <row r="247" spans="1:56" x14ac:dyDescent="0.2">
      <c r="A247" s="15">
        <f t="shared" si="18"/>
        <v>0</v>
      </c>
      <c r="B247" s="169"/>
      <c r="C247" s="17"/>
      <c r="D247" s="128"/>
      <c r="E247" s="169" t="str">
        <f t="shared" si="19"/>
        <v>Por definir</v>
      </c>
      <c r="G247" s="129"/>
      <c r="H247" s="129" t="s">
        <v>957</v>
      </c>
      <c r="I247" s="128"/>
      <c r="J247" s="130"/>
      <c r="K247" s="16">
        <f t="shared" si="20"/>
        <v>0</v>
      </c>
      <c r="L247" s="163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90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91"/>
      <c r="AK247" s="4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4"/>
    </row>
    <row r="248" spans="1:56" x14ac:dyDescent="0.2">
      <c r="A248" s="15">
        <f t="shared" si="18"/>
        <v>0</v>
      </c>
      <c r="B248" s="169"/>
      <c r="C248" s="17"/>
      <c r="D248" s="128"/>
      <c r="E248" s="169" t="str">
        <f t="shared" si="19"/>
        <v>Por definir</v>
      </c>
      <c r="G248" s="129"/>
      <c r="H248" s="129" t="s">
        <v>957</v>
      </c>
      <c r="I248" s="128"/>
      <c r="J248" s="130"/>
      <c r="K248" s="16">
        <f t="shared" si="20"/>
        <v>0</v>
      </c>
      <c r="L248" s="163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90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91"/>
      <c r="AK248" s="4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4"/>
    </row>
    <row r="249" spans="1:56" x14ac:dyDescent="0.2">
      <c r="A249" s="15">
        <f t="shared" si="18"/>
        <v>0</v>
      </c>
      <c r="B249" s="169"/>
      <c r="C249" s="17"/>
      <c r="D249" s="128"/>
      <c r="E249" s="169" t="str">
        <f t="shared" si="19"/>
        <v>Por definir</v>
      </c>
      <c r="G249" s="129"/>
      <c r="H249" s="129" t="s">
        <v>957</v>
      </c>
      <c r="I249" s="128"/>
      <c r="J249" s="130"/>
      <c r="K249" s="16">
        <f t="shared" si="20"/>
        <v>0</v>
      </c>
      <c r="L249" s="163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90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91"/>
      <c r="AK249" s="4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4"/>
    </row>
    <row r="250" spans="1:56" x14ac:dyDescent="0.2">
      <c r="A250" s="15">
        <f t="shared" si="18"/>
        <v>0</v>
      </c>
      <c r="B250" s="169"/>
      <c r="C250" s="17"/>
      <c r="D250" s="128"/>
      <c r="E250" s="169" t="str">
        <f t="shared" si="19"/>
        <v>Por definir</v>
      </c>
      <c r="G250" s="129"/>
      <c r="H250" s="129" t="s">
        <v>957</v>
      </c>
      <c r="I250" s="128"/>
      <c r="J250" s="130"/>
      <c r="K250" s="16">
        <f t="shared" si="20"/>
        <v>0</v>
      </c>
      <c r="L250" s="163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90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91"/>
      <c r="AK250" s="4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4"/>
    </row>
    <row r="251" spans="1:56" x14ac:dyDescent="0.2">
      <c r="A251" s="15">
        <f t="shared" si="18"/>
        <v>0</v>
      </c>
      <c r="B251" s="169"/>
      <c r="C251" s="17"/>
      <c r="D251" s="128"/>
      <c r="E251" s="169" t="str">
        <f t="shared" si="19"/>
        <v>Por definir</v>
      </c>
      <c r="G251" s="129"/>
      <c r="H251" s="129" t="s">
        <v>957</v>
      </c>
      <c r="I251" s="128"/>
      <c r="J251" s="130"/>
      <c r="K251" s="16">
        <f t="shared" si="20"/>
        <v>0</v>
      </c>
      <c r="L251" s="163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90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91"/>
      <c r="AK251" s="4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4"/>
    </row>
    <row r="252" spans="1:56" x14ac:dyDescent="0.2">
      <c r="A252" s="15">
        <f t="shared" si="18"/>
        <v>0</v>
      </c>
      <c r="B252" s="169"/>
      <c r="C252" s="17"/>
      <c r="D252" s="128"/>
      <c r="E252" s="169" t="str">
        <f t="shared" si="19"/>
        <v>Por definir</v>
      </c>
      <c r="G252" s="129"/>
      <c r="H252" s="129" t="s">
        <v>957</v>
      </c>
      <c r="I252" s="128"/>
      <c r="J252" s="130"/>
      <c r="K252" s="16">
        <f t="shared" si="20"/>
        <v>0</v>
      </c>
      <c r="L252" s="163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90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91"/>
      <c r="AK252" s="4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4"/>
    </row>
    <row r="253" spans="1:56" x14ac:dyDescent="0.2">
      <c r="A253" s="15">
        <f t="shared" si="18"/>
        <v>0</v>
      </c>
      <c r="B253" s="169"/>
      <c r="C253" s="17"/>
      <c r="D253" s="128"/>
      <c r="E253" s="169" t="str">
        <f t="shared" si="19"/>
        <v>Por definir</v>
      </c>
      <c r="G253" s="129"/>
      <c r="H253" s="129" t="s">
        <v>957</v>
      </c>
      <c r="I253" s="128"/>
      <c r="J253" s="130"/>
      <c r="K253" s="16">
        <f t="shared" si="20"/>
        <v>0</v>
      </c>
      <c r="L253" s="163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90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91"/>
      <c r="AK253" s="4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4"/>
    </row>
    <row r="254" spans="1:56" x14ac:dyDescent="0.2">
      <c r="A254" s="15">
        <f t="shared" si="18"/>
        <v>0</v>
      </c>
      <c r="B254" s="169"/>
      <c r="C254" s="17"/>
      <c r="D254" s="128"/>
      <c r="E254" s="169" t="str">
        <f t="shared" si="19"/>
        <v>Por definir</v>
      </c>
      <c r="G254" s="129"/>
      <c r="H254" s="129" t="s">
        <v>957</v>
      </c>
      <c r="I254" s="128"/>
      <c r="J254" s="130"/>
      <c r="K254" s="16">
        <f t="shared" si="20"/>
        <v>0</v>
      </c>
      <c r="L254" s="163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90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91"/>
      <c r="AK254" s="4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4"/>
    </row>
    <row r="255" spans="1:56" x14ac:dyDescent="0.2">
      <c r="A255" s="15">
        <f t="shared" si="18"/>
        <v>0</v>
      </c>
      <c r="B255" s="169"/>
      <c r="C255" s="17"/>
      <c r="D255" s="128"/>
      <c r="E255" s="169" t="str">
        <f t="shared" si="19"/>
        <v>Por definir</v>
      </c>
      <c r="G255" s="129"/>
      <c r="H255" s="129" t="s">
        <v>957</v>
      </c>
      <c r="I255" s="128"/>
      <c r="J255" s="130"/>
      <c r="K255" s="16">
        <f t="shared" si="20"/>
        <v>0</v>
      </c>
      <c r="L255" s="163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90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91"/>
      <c r="AK255" s="4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4"/>
    </row>
    <row r="256" spans="1:56" x14ac:dyDescent="0.2">
      <c r="A256" s="15">
        <f t="shared" si="18"/>
        <v>0</v>
      </c>
      <c r="B256" s="169"/>
      <c r="C256" s="17"/>
      <c r="D256" s="128"/>
      <c r="E256" s="169" t="str">
        <f t="shared" si="19"/>
        <v>Por definir</v>
      </c>
      <c r="G256" s="129"/>
      <c r="H256" s="129" t="s">
        <v>957</v>
      </c>
      <c r="I256" s="128"/>
      <c r="J256" s="130"/>
      <c r="K256" s="16">
        <f t="shared" si="20"/>
        <v>0</v>
      </c>
      <c r="L256" s="163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90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91"/>
      <c r="AK256" s="4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4"/>
    </row>
    <row r="257" spans="1:56" x14ac:dyDescent="0.2">
      <c r="A257" s="15">
        <f t="shared" si="18"/>
        <v>0</v>
      </c>
      <c r="B257" s="169"/>
      <c r="C257" s="17"/>
      <c r="D257" s="128"/>
      <c r="E257" s="169" t="str">
        <f t="shared" si="19"/>
        <v>Por definir</v>
      </c>
      <c r="G257" s="129"/>
      <c r="H257" s="129" t="s">
        <v>957</v>
      </c>
      <c r="I257" s="128"/>
      <c r="J257" s="130"/>
      <c r="K257" s="16">
        <f t="shared" si="20"/>
        <v>0</v>
      </c>
      <c r="L257" s="163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90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91"/>
      <c r="AK257" s="4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4"/>
    </row>
    <row r="258" spans="1:56" x14ac:dyDescent="0.2">
      <c r="A258" s="15">
        <f t="shared" si="18"/>
        <v>0</v>
      </c>
      <c r="B258" s="169"/>
      <c r="C258" s="17"/>
      <c r="D258" s="128"/>
      <c r="E258" s="169" t="str">
        <f t="shared" si="19"/>
        <v>Por definir</v>
      </c>
      <c r="G258" s="129"/>
      <c r="H258" s="129" t="s">
        <v>957</v>
      </c>
      <c r="I258" s="128"/>
      <c r="J258" s="130"/>
      <c r="K258" s="16">
        <f t="shared" si="20"/>
        <v>0</v>
      </c>
      <c r="L258" s="163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90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91"/>
      <c r="AK258" s="4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4"/>
    </row>
    <row r="259" spans="1:56" x14ac:dyDescent="0.2">
      <c r="A259" s="15">
        <f t="shared" si="18"/>
        <v>0</v>
      </c>
      <c r="B259" s="169"/>
      <c r="C259" s="17"/>
      <c r="D259" s="128"/>
      <c r="E259" s="169" t="str">
        <f t="shared" si="19"/>
        <v>Por definir</v>
      </c>
      <c r="G259" s="129"/>
      <c r="H259" s="129" t="s">
        <v>957</v>
      </c>
      <c r="I259" s="128"/>
      <c r="J259" s="130"/>
      <c r="K259" s="16">
        <f t="shared" si="20"/>
        <v>0</v>
      </c>
      <c r="L259" s="163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90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91"/>
      <c r="AK259" s="4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4"/>
    </row>
    <row r="260" spans="1:56" x14ac:dyDescent="0.2">
      <c r="A260" s="15">
        <f t="shared" si="18"/>
        <v>0</v>
      </c>
      <c r="B260" s="169"/>
      <c r="C260" s="17"/>
      <c r="D260" s="128"/>
      <c r="E260" s="169" t="str">
        <f t="shared" si="19"/>
        <v>Por definir</v>
      </c>
      <c r="G260" s="129"/>
      <c r="H260" s="129" t="s">
        <v>957</v>
      </c>
      <c r="I260" s="128"/>
      <c r="J260" s="130"/>
      <c r="K260" s="16">
        <f t="shared" si="20"/>
        <v>0</v>
      </c>
      <c r="L260" s="163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90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91"/>
      <c r="AK260" s="4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4"/>
    </row>
    <row r="261" spans="1:56" x14ac:dyDescent="0.2">
      <c r="A261" s="15">
        <f t="shared" si="18"/>
        <v>0</v>
      </c>
      <c r="B261" s="169"/>
      <c r="C261" s="17"/>
      <c r="D261" s="128"/>
      <c r="E261" s="169" t="str">
        <f t="shared" si="19"/>
        <v>Por definir</v>
      </c>
      <c r="G261" s="129"/>
      <c r="H261" s="129" t="s">
        <v>957</v>
      </c>
      <c r="I261" s="128"/>
      <c r="J261" s="130"/>
      <c r="K261" s="16">
        <f t="shared" si="20"/>
        <v>0</v>
      </c>
      <c r="L261" s="163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90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91"/>
      <c r="AK261" s="4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4"/>
    </row>
    <row r="262" spans="1:56" x14ac:dyDescent="0.2">
      <c r="A262" s="15">
        <f t="shared" si="18"/>
        <v>0</v>
      </c>
      <c r="B262" s="169"/>
      <c r="C262" s="17"/>
      <c r="D262" s="128"/>
      <c r="E262" s="169" t="str">
        <f t="shared" si="19"/>
        <v>Por definir</v>
      </c>
      <c r="G262" s="129"/>
      <c r="H262" s="129" t="s">
        <v>957</v>
      </c>
      <c r="I262" s="128"/>
      <c r="J262" s="130"/>
      <c r="K262" s="16">
        <f t="shared" si="20"/>
        <v>0</v>
      </c>
      <c r="L262" s="163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90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91"/>
      <c r="AK262" s="4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4"/>
    </row>
    <row r="263" spans="1:56" x14ac:dyDescent="0.2">
      <c r="A263" s="15">
        <f t="shared" si="18"/>
        <v>0</v>
      </c>
      <c r="B263" s="169"/>
      <c r="C263" s="17"/>
      <c r="D263" s="128"/>
      <c r="E263" s="169" t="str">
        <f t="shared" si="19"/>
        <v>Por definir</v>
      </c>
      <c r="G263" s="129"/>
      <c r="H263" s="129" t="s">
        <v>957</v>
      </c>
      <c r="I263" s="128"/>
      <c r="J263" s="130"/>
      <c r="K263" s="16">
        <f t="shared" si="20"/>
        <v>0</v>
      </c>
      <c r="L263" s="163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90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91"/>
      <c r="AK263" s="4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4"/>
    </row>
    <row r="264" spans="1:56" x14ac:dyDescent="0.2">
      <c r="A264" s="15">
        <f t="shared" si="18"/>
        <v>0</v>
      </c>
      <c r="B264" s="169"/>
      <c r="C264" s="17"/>
      <c r="D264" s="128"/>
      <c r="E264" s="169" t="str">
        <f t="shared" si="19"/>
        <v>Por definir</v>
      </c>
      <c r="G264" s="129"/>
      <c r="H264" s="129" t="s">
        <v>957</v>
      </c>
      <c r="I264" s="128"/>
      <c r="J264" s="130"/>
      <c r="K264" s="16">
        <f t="shared" si="20"/>
        <v>0</v>
      </c>
      <c r="L264" s="163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90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91"/>
      <c r="AK264" s="4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4"/>
    </row>
    <row r="265" spans="1:56" x14ac:dyDescent="0.2">
      <c r="A265" s="15">
        <f t="shared" si="18"/>
        <v>0</v>
      </c>
      <c r="B265" s="169"/>
      <c r="C265" s="17"/>
      <c r="D265" s="128"/>
      <c r="E265" s="169" t="str">
        <f t="shared" si="19"/>
        <v>Por definir</v>
      </c>
      <c r="G265" s="129"/>
      <c r="H265" s="129" t="s">
        <v>957</v>
      </c>
      <c r="I265" s="128"/>
      <c r="J265" s="130"/>
      <c r="K265" s="16">
        <f t="shared" si="20"/>
        <v>0</v>
      </c>
      <c r="L265" s="163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90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91"/>
      <c r="AK265" s="4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4"/>
    </row>
    <row r="266" spans="1:56" x14ac:dyDescent="0.2">
      <c r="A266" s="15">
        <f t="shared" si="18"/>
        <v>0</v>
      </c>
      <c r="B266" s="169"/>
      <c r="C266" s="17"/>
      <c r="D266" s="128"/>
      <c r="E266" s="169" t="str">
        <f t="shared" si="19"/>
        <v>Por definir</v>
      </c>
      <c r="G266" s="129"/>
      <c r="H266" s="129" t="s">
        <v>957</v>
      </c>
      <c r="I266" s="128"/>
      <c r="J266" s="130"/>
      <c r="K266" s="16">
        <f t="shared" si="20"/>
        <v>0</v>
      </c>
      <c r="L266" s="163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90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91"/>
      <c r="AK266" s="4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4"/>
    </row>
    <row r="267" spans="1:56" x14ac:dyDescent="0.2">
      <c r="A267" s="15">
        <f t="shared" si="18"/>
        <v>0</v>
      </c>
      <c r="B267" s="169"/>
      <c r="C267" s="17"/>
      <c r="D267" s="128"/>
      <c r="E267" s="169" t="str">
        <f t="shared" si="19"/>
        <v>Por definir</v>
      </c>
      <c r="G267" s="129"/>
      <c r="H267" s="129" t="s">
        <v>957</v>
      </c>
      <c r="I267" s="128"/>
      <c r="J267" s="130"/>
      <c r="K267" s="16">
        <f t="shared" si="20"/>
        <v>0</v>
      </c>
      <c r="L267" s="163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90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91"/>
      <c r="AK267" s="4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4"/>
    </row>
    <row r="268" spans="1:56" x14ac:dyDescent="0.2">
      <c r="A268" s="15">
        <f t="shared" si="18"/>
        <v>0</v>
      </c>
      <c r="B268" s="169"/>
      <c r="C268" s="17"/>
      <c r="D268" s="128"/>
      <c r="E268" s="169" t="str">
        <f t="shared" si="19"/>
        <v>Por definir</v>
      </c>
      <c r="G268" s="129"/>
      <c r="H268" s="129" t="s">
        <v>957</v>
      </c>
      <c r="I268" s="128"/>
      <c r="J268" s="130"/>
      <c r="K268" s="16">
        <f t="shared" si="20"/>
        <v>0</v>
      </c>
      <c r="L268" s="163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90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91"/>
      <c r="AK268" s="4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4"/>
    </row>
    <row r="269" spans="1:56" x14ac:dyDescent="0.2">
      <c r="A269" s="15">
        <f t="shared" si="18"/>
        <v>0</v>
      </c>
      <c r="B269" s="169"/>
      <c r="C269" s="17"/>
      <c r="D269" s="128"/>
      <c r="E269" s="169" t="str">
        <f t="shared" si="19"/>
        <v>Por definir</v>
      </c>
      <c r="G269" s="129"/>
      <c r="H269" s="129" t="s">
        <v>957</v>
      </c>
      <c r="I269" s="128"/>
      <c r="J269" s="130"/>
      <c r="K269" s="16">
        <f t="shared" si="20"/>
        <v>0</v>
      </c>
      <c r="L269" s="163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90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91"/>
      <c r="AK269" s="4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4"/>
    </row>
    <row r="270" spans="1:56" x14ac:dyDescent="0.2">
      <c r="A270" s="15">
        <f t="shared" si="18"/>
        <v>0</v>
      </c>
      <c r="B270" s="169"/>
      <c r="C270" s="17"/>
      <c r="D270" s="128"/>
      <c r="E270" s="169" t="str">
        <f t="shared" si="19"/>
        <v>Por definir</v>
      </c>
      <c r="G270" s="129"/>
      <c r="H270" s="129" t="s">
        <v>957</v>
      </c>
      <c r="I270" s="128"/>
      <c r="J270" s="130"/>
      <c r="K270" s="16">
        <f t="shared" si="20"/>
        <v>0</v>
      </c>
      <c r="L270" s="163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90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91"/>
      <c r="AK270" s="4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4"/>
    </row>
    <row r="271" spans="1:56" x14ac:dyDescent="0.2">
      <c r="A271" s="15">
        <f t="shared" si="18"/>
        <v>0</v>
      </c>
      <c r="B271" s="169"/>
      <c r="C271" s="17"/>
      <c r="D271" s="128"/>
      <c r="E271" s="169" t="str">
        <f t="shared" si="19"/>
        <v>Por definir</v>
      </c>
      <c r="G271" s="129"/>
      <c r="H271" s="129" t="s">
        <v>957</v>
      </c>
      <c r="I271" s="128"/>
      <c r="J271" s="130"/>
      <c r="K271" s="16">
        <f t="shared" si="20"/>
        <v>0</v>
      </c>
      <c r="L271" s="163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90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91"/>
      <c r="AK271" s="4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4"/>
    </row>
    <row r="272" spans="1:56" x14ac:dyDescent="0.2">
      <c r="A272" s="15">
        <f t="shared" si="18"/>
        <v>0</v>
      </c>
      <c r="B272" s="169"/>
      <c r="C272" s="17"/>
      <c r="D272" s="128"/>
      <c r="E272" s="169" t="str">
        <f t="shared" si="19"/>
        <v>Por definir</v>
      </c>
      <c r="G272" s="129"/>
      <c r="H272" s="129" t="s">
        <v>957</v>
      </c>
      <c r="I272" s="128"/>
      <c r="J272" s="130"/>
      <c r="K272" s="16">
        <f t="shared" si="20"/>
        <v>0</v>
      </c>
      <c r="L272" s="163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90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91"/>
      <c r="AK272" s="4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4"/>
    </row>
    <row r="273" spans="1:56" x14ac:dyDescent="0.2">
      <c r="A273" s="15">
        <f t="shared" si="18"/>
        <v>0</v>
      </c>
      <c r="B273" s="169"/>
      <c r="C273" s="17"/>
      <c r="D273" s="128"/>
      <c r="E273" s="169" t="str">
        <f t="shared" si="19"/>
        <v>Por definir</v>
      </c>
      <c r="G273" s="129"/>
      <c r="H273" s="129" t="s">
        <v>957</v>
      </c>
      <c r="I273" s="128"/>
      <c r="J273" s="130"/>
      <c r="K273" s="16">
        <f t="shared" si="20"/>
        <v>0</v>
      </c>
      <c r="L273" s="163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90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91"/>
      <c r="AK273" s="4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4"/>
    </row>
    <row r="274" spans="1:56" x14ac:dyDescent="0.2">
      <c r="A274" s="15">
        <f t="shared" si="18"/>
        <v>0</v>
      </c>
      <c r="B274" s="169"/>
      <c r="C274" s="17"/>
      <c r="D274" s="128"/>
      <c r="E274" s="169" t="str">
        <f t="shared" si="19"/>
        <v>Por definir</v>
      </c>
      <c r="G274" s="129"/>
      <c r="H274" s="129" t="s">
        <v>957</v>
      </c>
      <c r="I274" s="128"/>
      <c r="J274" s="130"/>
      <c r="K274" s="16">
        <f t="shared" si="20"/>
        <v>0</v>
      </c>
      <c r="L274" s="163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90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91"/>
      <c r="AK274" s="4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4"/>
    </row>
    <row r="275" spans="1:56" x14ac:dyDescent="0.2">
      <c r="A275" s="15">
        <f t="shared" si="18"/>
        <v>0</v>
      </c>
      <c r="B275" s="169"/>
      <c r="C275" s="17"/>
      <c r="D275" s="128"/>
      <c r="E275" s="169" t="str">
        <f t="shared" si="19"/>
        <v>Por definir</v>
      </c>
      <c r="G275" s="129"/>
      <c r="H275" s="129" t="s">
        <v>957</v>
      </c>
      <c r="I275" s="128"/>
      <c r="J275" s="130"/>
      <c r="K275" s="16">
        <f t="shared" si="20"/>
        <v>0</v>
      </c>
      <c r="L275" s="163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90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91"/>
      <c r="AK275" s="4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4"/>
    </row>
    <row r="276" spans="1:56" x14ac:dyDescent="0.2">
      <c r="A276" s="15">
        <f t="shared" si="18"/>
        <v>0</v>
      </c>
      <c r="B276" s="169"/>
      <c r="C276" s="17"/>
      <c r="D276" s="128"/>
      <c r="E276" s="169" t="str">
        <f t="shared" si="19"/>
        <v>Por definir</v>
      </c>
      <c r="G276" s="129"/>
      <c r="H276" s="129" t="s">
        <v>957</v>
      </c>
      <c r="I276" s="128"/>
      <c r="J276" s="130"/>
      <c r="K276" s="16">
        <f t="shared" si="20"/>
        <v>0</v>
      </c>
      <c r="L276" s="163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90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91"/>
      <c r="AK276" s="4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4"/>
    </row>
    <row r="277" spans="1:56" x14ac:dyDescent="0.2">
      <c r="A277" s="15">
        <f t="shared" si="18"/>
        <v>0</v>
      </c>
      <c r="B277" s="169"/>
      <c r="C277" s="17"/>
      <c r="D277" s="128"/>
      <c r="E277" s="169" t="str">
        <f t="shared" si="19"/>
        <v>Por definir</v>
      </c>
      <c r="G277" s="129"/>
      <c r="H277" s="129" t="s">
        <v>957</v>
      </c>
      <c r="I277" s="128"/>
      <c r="J277" s="130"/>
      <c r="K277" s="16">
        <f t="shared" si="20"/>
        <v>0</v>
      </c>
      <c r="L277" s="163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90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91"/>
      <c r="AK277" s="4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4"/>
    </row>
    <row r="278" spans="1:56" x14ac:dyDescent="0.2">
      <c r="A278" s="15">
        <f t="shared" si="18"/>
        <v>0</v>
      </c>
      <c r="B278" s="169"/>
      <c r="C278" s="17"/>
      <c r="D278" s="128"/>
      <c r="E278" s="169" t="str">
        <f t="shared" si="19"/>
        <v>Por definir</v>
      </c>
      <c r="G278" s="129"/>
      <c r="H278" s="129" t="s">
        <v>957</v>
      </c>
      <c r="I278" s="128"/>
      <c r="J278" s="130"/>
      <c r="K278" s="16">
        <f t="shared" si="20"/>
        <v>0</v>
      </c>
      <c r="L278" s="163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90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91"/>
      <c r="AK278" s="4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4"/>
    </row>
    <row r="279" spans="1:56" x14ac:dyDescent="0.2">
      <c r="A279" s="15">
        <f t="shared" si="18"/>
        <v>0</v>
      </c>
      <c r="B279" s="169"/>
      <c r="C279" s="17"/>
      <c r="D279" s="128"/>
      <c r="E279" s="169" t="str">
        <f t="shared" si="19"/>
        <v>Por definir</v>
      </c>
      <c r="G279" s="129"/>
      <c r="H279" s="129" t="s">
        <v>957</v>
      </c>
      <c r="I279" s="128"/>
      <c r="J279" s="130"/>
      <c r="K279" s="16">
        <f t="shared" si="20"/>
        <v>0</v>
      </c>
      <c r="L279" s="163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90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91"/>
      <c r="AK279" s="4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4"/>
    </row>
    <row r="280" spans="1:56" x14ac:dyDescent="0.2">
      <c r="A280" s="15">
        <f t="shared" si="18"/>
        <v>0</v>
      </c>
      <c r="B280" s="169"/>
      <c r="C280" s="17"/>
      <c r="D280" s="128"/>
      <c r="E280" s="169" t="str">
        <f t="shared" si="19"/>
        <v>Por definir</v>
      </c>
      <c r="G280" s="129"/>
      <c r="H280" s="129" t="s">
        <v>957</v>
      </c>
      <c r="I280" s="128"/>
      <c r="J280" s="130"/>
      <c r="K280" s="16">
        <f t="shared" si="20"/>
        <v>0</v>
      </c>
      <c r="L280" s="163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90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91"/>
      <c r="AK280" s="4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4"/>
    </row>
    <row r="281" spans="1:56" x14ac:dyDescent="0.2">
      <c r="A281" s="15">
        <f t="shared" si="18"/>
        <v>0</v>
      </c>
      <c r="B281" s="169"/>
      <c r="C281" s="17"/>
      <c r="D281" s="128"/>
      <c r="E281" s="169" t="str">
        <f t="shared" si="19"/>
        <v>Por definir</v>
      </c>
      <c r="G281" s="129"/>
      <c r="H281" s="129" t="s">
        <v>957</v>
      </c>
      <c r="I281" s="128"/>
      <c r="J281" s="130"/>
      <c r="K281" s="16">
        <f t="shared" si="20"/>
        <v>0</v>
      </c>
      <c r="L281" s="163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90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91"/>
      <c r="AK281" s="4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4"/>
    </row>
    <row r="282" spans="1:56" x14ac:dyDescent="0.2">
      <c r="A282" s="15">
        <f t="shared" si="18"/>
        <v>0</v>
      </c>
      <c r="B282" s="169"/>
      <c r="C282" s="17"/>
      <c r="D282" s="128"/>
      <c r="E282" s="169" t="str">
        <f t="shared" si="19"/>
        <v>Por definir</v>
      </c>
      <c r="G282" s="129"/>
      <c r="H282" s="129" t="s">
        <v>957</v>
      </c>
      <c r="I282" s="128"/>
      <c r="J282" s="130"/>
      <c r="K282" s="16">
        <f t="shared" si="20"/>
        <v>0</v>
      </c>
      <c r="L282" s="163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90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91"/>
      <c r="AK282" s="4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4"/>
    </row>
    <row r="283" spans="1:56" x14ac:dyDescent="0.2">
      <c r="A283" s="15">
        <f t="shared" si="18"/>
        <v>0</v>
      </c>
      <c r="B283" s="169"/>
      <c r="C283" s="17"/>
      <c r="D283" s="128"/>
      <c r="E283" s="169" t="str">
        <f t="shared" si="19"/>
        <v>Por definir</v>
      </c>
      <c r="G283" s="129"/>
      <c r="H283" s="129" t="s">
        <v>957</v>
      </c>
      <c r="I283" s="128"/>
      <c r="J283" s="130"/>
      <c r="K283" s="16">
        <f t="shared" si="20"/>
        <v>0</v>
      </c>
      <c r="L283" s="163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90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91"/>
      <c r="AK283" s="4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4"/>
    </row>
    <row r="284" spans="1:56" x14ac:dyDescent="0.2">
      <c r="A284" s="15">
        <f t="shared" ref="A284:A330" si="21">+LEN(B284)</f>
        <v>0</v>
      </c>
      <c r="B284" s="169"/>
      <c r="C284" s="17"/>
      <c r="D284" s="128"/>
      <c r="E284" s="169" t="str">
        <f t="shared" ref="E284:E330" si="22">+IF(D284="Chile","30 días",IF(D284="Perú","30 días",IF(D284="Brasil","60 días",IF(D284="Rusia","Indeterminado","Por definir"))))</f>
        <v>Por definir</v>
      </c>
      <c r="G284" s="129"/>
      <c r="H284" s="129" t="s">
        <v>957</v>
      </c>
      <c r="I284" s="128"/>
      <c r="J284" s="130"/>
      <c r="K284" s="16">
        <f t="shared" ref="K284:K330" si="23">+SUM(X284:AI284)</f>
        <v>0</v>
      </c>
      <c r="L284" s="163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90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91"/>
      <c r="AK284" s="4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4"/>
    </row>
    <row r="285" spans="1:56" x14ac:dyDescent="0.2">
      <c r="A285" s="15">
        <f t="shared" si="21"/>
        <v>0</v>
      </c>
      <c r="B285" s="169"/>
      <c r="C285" s="17"/>
      <c r="D285" s="128"/>
      <c r="E285" s="169" t="str">
        <f t="shared" si="22"/>
        <v>Por definir</v>
      </c>
      <c r="G285" s="129"/>
      <c r="H285" s="129" t="s">
        <v>957</v>
      </c>
      <c r="I285" s="128"/>
      <c r="J285" s="130"/>
      <c r="K285" s="16">
        <f t="shared" si="23"/>
        <v>0</v>
      </c>
      <c r="L285" s="163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90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91"/>
      <c r="AK285" s="4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4"/>
    </row>
    <row r="286" spans="1:56" x14ac:dyDescent="0.2">
      <c r="A286" s="15">
        <f t="shared" si="21"/>
        <v>0</v>
      </c>
      <c r="B286" s="169"/>
      <c r="C286" s="17"/>
      <c r="D286" s="128"/>
      <c r="E286" s="169" t="str">
        <f t="shared" si="22"/>
        <v>Por definir</v>
      </c>
      <c r="G286" s="129"/>
      <c r="H286" s="129" t="s">
        <v>957</v>
      </c>
      <c r="I286" s="128"/>
      <c r="J286" s="130"/>
      <c r="K286" s="16">
        <f t="shared" si="23"/>
        <v>0</v>
      </c>
      <c r="L286" s="163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90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91"/>
      <c r="AK286" s="4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4"/>
    </row>
    <row r="287" spans="1:56" x14ac:dyDescent="0.2">
      <c r="A287" s="15">
        <f t="shared" si="21"/>
        <v>0</v>
      </c>
      <c r="B287" s="169"/>
      <c r="C287" s="17"/>
      <c r="D287" s="128"/>
      <c r="E287" s="169" t="str">
        <f t="shared" si="22"/>
        <v>Por definir</v>
      </c>
      <c r="G287" s="129"/>
      <c r="H287" s="129" t="s">
        <v>957</v>
      </c>
      <c r="I287" s="128"/>
      <c r="J287" s="130"/>
      <c r="K287" s="16">
        <f t="shared" si="23"/>
        <v>0</v>
      </c>
      <c r="L287" s="163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90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91"/>
      <c r="AK287" s="4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4"/>
    </row>
    <row r="288" spans="1:56" x14ac:dyDescent="0.2">
      <c r="A288" s="15">
        <f t="shared" si="21"/>
        <v>0</v>
      </c>
      <c r="B288" s="169"/>
      <c r="C288" s="17"/>
      <c r="D288" s="128"/>
      <c r="E288" s="169" t="str">
        <f t="shared" si="22"/>
        <v>Por definir</v>
      </c>
      <c r="G288" s="129"/>
      <c r="H288" s="129" t="s">
        <v>957</v>
      </c>
      <c r="I288" s="128"/>
      <c r="J288" s="130"/>
      <c r="K288" s="16">
        <f t="shared" si="23"/>
        <v>0</v>
      </c>
      <c r="L288" s="163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90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91"/>
      <c r="AK288" s="4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4"/>
    </row>
    <row r="289" spans="1:56" x14ac:dyDescent="0.2">
      <c r="A289" s="15">
        <f t="shared" si="21"/>
        <v>0</v>
      </c>
      <c r="B289" s="169"/>
      <c r="C289" s="17"/>
      <c r="D289" s="128"/>
      <c r="E289" s="169" t="str">
        <f t="shared" si="22"/>
        <v>Por definir</v>
      </c>
      <c r="G289" s="129"/>
      <c r="H289" s="129" t="s">
        <v>957</v>
      </c>
      <c r="I289" s="128"/>
      <c r="J289" s="130"/>
      <c r="K289" s="16">
        <f t="shared" si="23"/>
        <v>0</v>
      </c>
      <c r="L289" s="163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90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91"/>
      <c r="AK289" s="4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4"/>
    </row>
    <row r="290" spans="1:56" x14ac:dyDescent="0.2">
      <c r="A290" s="15">
        <f t="shared" si="21"/>
        <v>0</v>
      </c>
      <c r="B290" s="169"/>
      <c r="C290" s="17"/>
      <c r="D290" s="128"/>
      <c r="E290" s="169" t="str">
        <f t="shared" si="22"/>
        <v>Por definir</v>
      </c>
      <c r="G290" s="129"/>
      <c r="H290" s="129" t="s">
        <v>957</v>
      </c>
      <c r="I290" s="128"/>
      <c r="J290" s="130"/>
      <c r="K290" s="16">
        <f t="shared" si="23"/>
        <v>0</v>
      </c>
      <c r="L290" s="163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90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91"/>
      <c r="AK290" s="4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4"/>
    </row>
    <row r="291" spans="1:56" x14ac:dyDescent="0.2">
      <c r="A291" s="15">
        <f t="shared" si="21"/>
        <v>0</v>
      </c>
      <c r="B291" s="169"/>
      <c r="C291" s="17"/>
      <c r="D291" s="128"/>
      <c r="E291" s="169" t="str">
        <f t="shared" si="22"/>
        <v>Por definir</v>
      </c>
      <c r="G291" s="129"/>
      <c r="H291" s="129" t="s">
        <v>957</v>
      </c>
      <c r="I291" s="128"/>
      <c r="J291" s="130"/>
      <c r="K291" s="16">
        <f t="shared" si="23"/>
        <v>0</v>
      </c>
      <c r="L291" s="163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90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91"/>
      <c r="AK291" s="4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4"/>
    </row>
    <row r="292" spans="1:56" x14ac:dyDescent="0.2">
      <c r="A292" s="15">
        <f t="shared" si="21"/>
        <v>0</v>
      </c>
      <c r="B292" s="169"/>
      <c r="C292" s="17"/>
      <c r="D292" s="128"/>
      <c r="E292" s="169" t="str">
        <f t="shared" si="22"/>
        <v>Por definir</v>
      </c>
      <c r="G292" s="129"/>
      <c r="H292" s="129" t="s">
        <v>957</v>
      </c>
      <c r="I292" s="128"/>
      <c r="J292" s="130"/>
      <c r="K292" s="16">
        <f t="shared" si="23"/>
        <v>0</v>
      </c>
      <c r="L292" s="163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90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91"/>
      <c r="AK292" s="4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4"/>
    </row>
    <row r="293" spans="1:56" x14ac:dyDescent="0.2">
      <c r="A293" s="15">
        <f t="shared" si="21"/>
        <v>0</v>
      </c>
      <c r="B293" s="169"/>
      <c r="C293" s="17"/>
      <c r="D293" s="128"/>
      <c r="E293" s="169" t="str">
        <f t="shared" si="22"/>
        <v>Por definir</v>
      </c>
      <c r="G293" s="129"/>
      <c r="H293" s="129" t="s">
        <v>957</v>
      </c>
      <c r="I293" s="128"/>
      <c r="J293" s="130"/>
      <c r="K293" s="16">
        <f t="shared" si="23"/>
        <v>0</v>
      </c>
      <c r="L293" s="163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90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91"/>
      <c r="AK293" s="4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4"/>
    </row>
    <row r="294" spans="1:56" x14ac:dyDescent="0.2">
      <c r="A294" s="15">
        <f t="shared" si="21"/>
        <v>0</v>
      </c>
      <c r="B294" s="169"/>
      <c r="C294" s="17"/>
      <c r="D294" s="128"/>
      <c r="E294" s="169" t="str">
        <f t="shared" si="22"/>
        <v>Por definir</v>
      </c>
      <c r="G294" s="129"/>
      <c r="H294" s="129" t="s">
        <v>957</v>
      </c>
      <c r="I294" s="128"/>
      <c r="J294" s="130"/>
      <c r="K294" s="16">
        <f t="shared" si="23"/>
        <v>0</v>
      </c>
      <c r="L294" s="163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90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91"/>
      <c r="AK294" s="4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4"/>
    </row>
    <row r="295" spans="1:56" x14ac:dyDescent="0.2">
      <c r="A295" s="15">
        <f t="shared" si="21"/>
        <v>0</v>
      </c>
      <c r="B295" s="169"/>
      <c r="C295" s="17"/>
      <c r="D295" s="128"/>
      <c r="E295" s="169" t="str">
        <f t="shared" si="22"/>
        <v>Por definir</v>
      </c>
      <c r="G295" s="129"/>
      <c r="H295" s="129" t="s">
        <v>957</v>
      </c>
      <c r="I295" s="128"/>
      <c r="J295" s="130"/>
      <c r="K295" s="16">
        <f t="shared" si="23"/>
        <v>0</v>
      </c>
      <c r="L295" s="163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90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91"/>
      <c r="AK295" s="4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4"/>
    </row>
    <row r="296" spans="1:56" x14ac:dyDescent="0.2">
      <c r="A296" s="15">
        <f t="shared" si="21"/>
        <v>0</v>
      </c>
      <c r="B296" s="169"/>
      <c r="C296" s="17"/>
      <c r="D296" s="128"/>
      <c r="E296" s="169" t="str">
        <f t="shared" si="22"/>
        <v>Por definir</v>
      </c>
      <c r="G296" s="129"/>
      <c r="H296" s="129" t="s">
        <v>957</v>
      </c>
      <c r="I296" s="128"/>
      <c r="J296" s="130"/>
      <c r="K296" s="16">
        <f t="shared" si="23"/>
        <v>0</v>
      </c>
      <c r="L296" s="163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90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91"/>
      <c r="AK296" s="4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4"/>
    </row>
    <row r="297" spans="1:56" x14ac:dyDescent="0.2">
      <c r="A297" s="15">
        <f t="shared" si="21"/>
        <v>0</v>
      </c>
      <c r="B297" s="169"/>
      <c r="C297" s="17"/>
      <c r="D297" s="128"/>
      <c r="E297" s="169" t="str">
        <f t="shared" si="22"/>
        <v>Por definir</v>
      </c>
      <c r="G297" s="129"/>
      <c r="H297" s="129" t="s">
        <v>957</v>
      </c>
      <c r="I297" s="128"/>
      <c r="J297" s="130"/>
      <c r="K297" s="16">
        <f t="shared" si="23"/>
        <v>0</v>
      </c>
      <c r="L297" s="163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90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91"/>
      <c r="AK297" s="4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4"/>
    </row>
    <row r="298" spans="1:56" x14ac:dyDescent="0.2">
      <c r="A298" s="15">
        <f t="shared" si="21"/>
        <v>0</v>
      </c>
      <c r="B298" s="169"/>
      <c r="C298" s="17"/>
      <c r="D298" s="128"/>
      <c r="E298" s="169" t="str">
        <f t="shared" si="22"/>
        <v>Por definir</v>
      </c>
      <c r="G298" s="129"/>
      <c r="H298" s="129" t="s">
        <v>957</v>
      </c>
      <c r="I298" s="128"/>
      <c r="J298" s="130"/>
      <c r="K298" s="16">
        <f t="shared" si="23"/>
        <v>0</v>
      </c>
      <c r="L298" s="163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90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91"/>
      <c r="AK298" s="4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4"/>
    </row>
    <row r="299" spans="1:56" x14ac:dyDescent="0.2">
      <c r="A299" s="15">
        <f t="shared" si="21"/>
        <v>0</v>
      </c>
      <c r="B299" s="169"/>
      <c r="C299" s="17"/>
      <c r="D299" s="128"/>
      <c r="E299" s="169" t="str">
        <f t="shared" si="22"/>
        <v>Por definir</v>
      </c>
      <c r="G299" s="129"/>
      <c r="H299" s="129" t="s">
        <v>957</v>
      </c>
      <c r="I299" s="128"/>
      <c r="J299" s="130"/>
      <c r="K299" s="16">
        <f t="shared" si="23"/>
        <v>0</v>
      </c>
      <c r="L299" s="163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90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91"/>
      <c r="AK299" s="4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4"/>
    </row>
    <row r="300" spans="1:56" x14ac:dyDescent="0.2">
      <c r="A300" s="15">
        <f t="shared" si="21"/>
        <v>0</v>
      </c>
      <c r="B300" s="169"/>
      <c r="C300" s="17"/>
      <c r="D300" s="128"/>
      <c r="E300" s="169" t="str">
        <f t="shared" si="22"/>
        <v>Por definir</v>
      </c>
      <c r="G300" s="129"/>
      <c r="H300" s="129" t="s">
        <v>957</v>
      </c>
      <c r="I300" s="128"/>
      <c r="J300" s="130"/>
      <c r="K300" s="16">
        <f t="shared" si="23"/>
        <v>0</v>
      </c>
      <c r="L300" s="163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90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91"/>
      <c r="AK300" s="4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4"/>
    </row>
    <row r="301" spans="1:56" x14ac:dyDescent="0.2">
      <c r="A301" s="15">
        <f t="shared" si="21"/>
        <v>0</v>
      </c>
      <c r="B301" s="169"/>
      <c r="C301" s="17"/>
      <c r="D301" s="128"/>
      <c r="E301" s="169" t="str">
        <f t="shared" si="22"/>
        <v>Por definir</v>
      </c>
      <c r="G301" s="129"/>
      <c r="H301" s="129" t="s">
        <v>957</v>
      </c>
      <c r="I301" s="128"/>
      <c r="J301" s="130"/>
      <c r="K301" s="16">
        <f t="shared" si="23"/>
        <v>0</v>
      </c>
      <c r="L301" s="163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90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91"/>
      <c r="AK301" s="4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4"/>
    </row>
    <row r="302" spans="1:56" x14ac:dyDescent="0.2">
      <c r="A302" s="15">
        <f t="shared" si="21"/>
        <v>0</v>
      </c>
      <c r="B302" s="169"/>
      <c r="C302" s="17"/>
      <c r="D302" s="128"/>
      <c r="E302" s="169" t="str">
        <f t="shared" si="22"/>
        <v>Por definir</v>
      </c>
      <c r="G302" s="129"/>
      <c r="H302" s="129" t="s">
        <v>957</v>
      </c>
      <c r="I302" s="128"/>
      <c r="J302" s="130"/>
      <c r="K302" s="16">
        <f t="shared" si="23"/>
        <v>0</v>
      </c>
      <c r="L302" s="163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90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91"/>
      <c r="AK302" s="4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4"/>
    </row>
    <row r="303" spans="1:56" x14ac:dyDescent="0.2">
      <c r="A303" s="15">
        <f t="shared" si="21"/>
        <v>0</v>
      </c>
      <c r="B303" s="169"/>
      <c r="C303" s="17"/>
      <c r="D303" s="128"/>
      <c r="E303" s="169" t="str">
        <f t="shared" si="22"/>
        <v>Por definir</v>
      </c>
      <c r="G303" s="129"/>
      <c r="H303" s="129" t="s">
        <v>957</v>
      </c>
      <c r="I303" s="128"/>
      <c r="J303" s="130"/>
      <c r="K303" s="16">
        <f t="shared" si="23"/>
        <v>0</v>
      </c>
      <c r="L303" s="163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90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91"/>
      <c r="AK303" s="4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4"/>
    </row>
    <row r="304" spans="1:56" x14ac:dyDescent="0.2">
      <c r="A304" s="15">
        <f t="shared" si="21"/>
        <v>0</v>
      </c>
      <c r="B304" s="169"/>
      <c r="C304" s="17"/>
      <c r="D304" s="128"/>
      <c r="E304" s="169" t="str">
        <f t="shared" si="22"/>
        <v>Por definir</v>
      </c>
      <c r="G304" s="129"/>
      <c r="H304" s="129" t="s">
        <v>957</v>
      </c>
      <c r="I304" s="128"/>
      <c r="J304" s="130"/>
      <c r="K304" s="16">
        <f t="shared" si="23"/>
        <v>0</v>
      </c>
      <c r="L304" s="163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90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91"/>
      <c r="AK304" s="4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4"/>
    </row>
    <row r="305" spans="1:56" x14ac:dyDescent="0.2">
      <c r="A305" s="15">
        <f t="shared" si="21"/>
        <v>0</v>
      </c>
      <c r="B305" s="169"/>
      <c r="C305" s="17"/>
      <c r="D305" s="128"/>
      <c r="E305" s="169" t="str">
        <f t="shared" si="22"/>
        <v>Por definir</v>
      </c>
      <c r="G305" s="129"/>
      <c r="H305" s="129" t="s">
        <v>957</v>
      </c>
      <c r="I305" s="128"/>
      <c r="J305" s="130"/>
      <c r="K305" s="16">
        <f t="shared" si="23"/>
        <v>0</v>
      </c>
      <c r="L305" s="163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90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91"/>
      <c r="AK305" s="4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4"/>
    </row>
    <row r="306" spans="1:56" x14ac:dyDescent="0.2">
      <c r="A306" s="15">
        <f t="shared" si="21"/>
        <v>0</v>
      </c>
      <c r="B306" s="169"/>
      <c r="C306" s="17"/>
      <c r="D306" s="128"/>
      <c r="E306" s="169" t="str">
        <f t="shared" si="22"/>
        <v>Por definir</v>
      </c>
      <c r="G306" s="129"/>
      <c r="H306" s="129" t="s">
        <v>957</v>
      </c>
      <c r="I306" s="128"/>
      <c r="J306" s="130"/>
      <c r="K306" s="16">
        <f t="shared" si="23"/>
        <v>0</v>
      </c>
      <c r="L306" s="163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90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91"/>
      <c r="AK306" s="4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4"/>
    </row>
    <row r="307" spans="1:56" x14ac:dyDescent="0.2">
      <c r="A307" s="15">
        <f t="shared" si="21"/>
        <v>0</v>
      </c>
      <c r="B307" s="169"/>
      <c r="C307" s="17"/>
      <c r="D307" s="128"/>
      <c r="E307" s="169" t="str">
        <f t="shared" si="22"/>
        <v>Por definir</v>
      </c>
      <c r="G307" s="129"/>
      <c r="H307" s="129" t="s">
        <v>957</v>
      </c>
      <c r="I307" s="128"/>
      <c r="J307" s="130"/>
      <c r="K307" s="16">
        <f t="shared" si="23"/>
        <v>0</v>
      </c>
      <c r="L307" s="163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90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91"/>
      <c r="AK307" s="4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4"/>
    </row>
    <row r="308" spans="1:56" x14ac:dyDescent="0.2">
      <c r="A308" s="15">
        <f t="shared" si="21"/>
        <v>0</v>
      </c>
      <c r="B308" s="169"/>
      <c r="C308" s="17"/>
      <c r="D308" s="128"/>
      <c r="E308" s="169" t="str">
        <f t="shared" si="22"/>
        <v>Por definir</v>
      </c>
      <c r="G308" s="129"/>
      <c r="H308" s="129" t="s">
        <v>957</v>
      </c>
      <c r="I308" s="128"/>
      <c r="J308" s="130"/>
      <c r="K308" s="16">
        <f t="shared" si="23"/>
        <v>0</v>
      </c>
      <c r="L308" s="163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90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91"/>
      <c r="AK308" s="4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4"/>
    </row>
    <row r="309" spans="1:56" x14ac:dyDescent="0.2">
      <c r="A309" s="15">
        <f t="shared" si="21"/>
        <v>0</v>
      </c>
      <c r="B309" s="169"/>
      <c r="C309" s="17"/>
      <c r="D309" s="128"/>
      <c r="E309" s="169" t="str">
        <f t="shared" si="22"/>
        <v>Por definir</v>
      </c>
      <c r="G309" s="129"/>
      <c r="H309" s="129" t="s">
        <v>957</v>
      </c>
      <c r="I309" s="128"/>
      <c r="J309" s="130"/>
      <c r="K309" s="16">
        <f t="shared" si="23"/>
        <v>0</v>
      </c>
      <c r="L309" s="163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90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91"/>
      <c r="AK309" s="4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4"/>
    </row>
    <row r="310" spans="1:56" x14ac:dyDescent="0.2">
      <c r="A310" s="15">
        <f t="shared" si="21"/>
        <v>0</v>
      </c>
      <c r="B310" s="169"/>
      <c r="C310" s="17"/>
      <c r="D310" s="128"/>
      <c r="E310" s="169" t="str">
        <f t="shared" si="22"/>
        <v>Por definir</v>
      </c>
      <c r="G310" s="129"/>
      <c r="H310" s="129" t="s">
        <v>957</v>
      </c>
      <c r="I310" s="128"/>
      <c r="J310" s="130"/>
      <c r="K310" s="16">
        <f t="shared" si="23"/>
        <v>0</v>
      </c>
      <c r="L310" s="163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90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91"/>
      <c r="AK310" s="4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4"/>
    </row>
    <row r="311" spans="1:56" x14ac:dyDescent="0.2">
      <c r="A311" s="15">
        <f t="shared" si="21"/>
        <v>0</v>
      </c>
      <c r="B311" s="169"/>
      <c r="C311" s="17"/>
      <c r="D311" s="128"/>
      <c r="E311" s="169" t="str">
        <f t="shared" si="22"/>
        <v>Por definir</v>
      </c>
      <c r="G311" s="129"/>
      <c r="H311" s="129" t="s">
        <v>957</v>
      </c>
      <c r="I311" s="128"/>
      <c r="J311" s="130"/>
      <c r="K311" s="16">
        <f t="shared" si="23"/>
        <v>0</v>
      </c>
      <c r="L311" s="163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90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91"/>
      <c r="AK311" s="4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4"/>
    </row>
    <row r="312" spans="1:56" x14ac:dyDescent="0.2">
      <c r="A312" s="15">
        <f t="shared" si="21"/>
        <v>0</v>
      </c>
      <c r="B312" s="169"/>
      <c r="C312" s="17"/>
      <c r="D312" s="128"/>
      <c r="E312" s="169" t="str">
        <f t="shared" si="22"/>
        <v>Por definir</v>
      </c>
      <c r="G312" s="129"/>
      <c r="H312" s="129" t="s">
        <v>957</v>
      </c>
      <c r="I312" s="128"/>
      <c r="J312" s="130"/>
      <c r="K312" s="16">
        <f t="shared" si="23"/>
        <v>0</v>
      </c>
      <c r="L312" s="163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90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91"/>
      <c r="AK312" s="4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4"/>
    </row>
    <row r="313" spans="1:56" x14ac:dyDescent="0.2">
      <c r="A313" s="15">
        <f t="shared" si="21"/>
        <v>0</v>
      </c>
      <c r="B313" s="169"/>
      <c r="C313" s="17"/>
      <c r="D313" s="128"/>
      <c r="E313" s="169" t="str">
        <f t="shared" si="22"/>
        <v>Por definir</v>
      </c>
      <c r="G313" s="129"/>
      <c r="H313" s="129" t="s">
        <v>957</v>
      </c>
      <c r="I313" s="128"/>
      <c r="J313" s="130"/>
      <c r="K313" s="16">
        <f t="shared" si="23"/>
        <v>0</v>
      </c>
      <c r="L313" s="163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90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91"/>
      <c r="AK313" s="4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4"/>
    </row>
    <row r="314" spans="1:56" x14ac:dyDescent="0.2">
      <c r="A314" s="15">
        <f t="shared" si="21"/>
        <v>0</v>
      </c>
      <c r="B314" s="169"/>
      <c r="C314" s="17"/>
      <c r="D314" s="128"/>
      <c r="E314" s="169" t="str">
        <f t="shared" si="22"/>
        <v>Por definir</v>
      </c>
      <c r="G314" s="129"/>
      <c r="H314" s="129" t="s">
        <v>957</v>
      </c>
      <c r="I314" s="128"/>
      <c r="J314" s="130"/>
      <c r="K314" s="16">
        <f t="shared" si="23"/>
        <v>0</v>
      </c>
      <c r="L314" s="163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90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91"/>
      <c r="AK314" s="4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4"/>
    </row>
    <row r="315" spans="1:56" x14ac:dyDescent="0.2">
      <c r="A315" s="15">
        <f t="shared" si="21"/>
        <v>0</v>
      </c>
      <c r="B315" s="169"/>
      <c r="C315" s="17"/>
      <c r="D315" s="128"/>
      <c r="E315" s="169" t="str">
        <f t="shared" si="22"/>
        <v>Por definir</v>
      </c>
      <c r="G315" s="129"/>
      <c r="H315" s="129" t="s">
        <v>957</v>
      </c>
      <c r="I315" s="128"/>
      <c r="J315" s="130"/>
      <c r="K315" s="16">
        <f t="shared" si="23"/>
        <v>0</v>
      </c>
      <c r="L315" s="163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90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91"/>
      <c r="AK315" s="4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4"/>
    </row>
    <row r="316" spans="1:56" x14ac:dyDescent="0.2">
      <c r="A316" s="15">
        <f t="shared" si="21"/>
        <v>0</v>
      </c>
      <c r="B316" s="169"/>
      <c r="C316" s="17"/>
      <c r="D316" s="128"/>
      <c r="E316" s="169" t="str">
        <f t="shared" si="22"/>
        <v>Por definir</v>
      </c>
      <c r="G316" s="129"/>
      <c r="H316" s="129" t="s">
        <v>957</v>
      </c>
      <c r="I316" s="128"/>
      <c r="J316" s="130"/>
      <c r="K316" s="16">
        <f t="shared" si="23"/>
        <v>0</v>
      </c>
      <c r="L316" s="163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90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91"/>
      <c r="AK316" s="4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4"/>
    </row>
    <row r="317" spans="1:56" x14ac:dyDescent="0.2">
      <c r="A317" s="15">
        <f t="shared" si="21"/>
        <v>0</v>
      </c>
      <c r="B317" s="169"/>
      <c r="C317" s="17"/>
      <c r="D317" s="128"/>
      <c r="E317" s="169" t="str">
        <f t="shared" si="22"/>
        <v>Por definir</v>
      </c>
      <c r="G317" s="129"/>
      <c r="H317" s="129" t="s">
        <v>957</v>
      </c>
      <c r="I317" s="128"/>
      <c r="J317" s="130"/>
      <c r="K317" s="16">
        <f t="shared" si="23"/>
        <v>0</v>
      </c>
      <c r="L317" s="163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90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91"/>
      <c r="AK317" s="4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4"/>
    </row>
    <row r="318" spans="1:56" x14ac:dyDescent="0.2">
      <c r="A318" s="15">
        <f t="shared" si="21"/>
        <v>0</v>
      </c>
      <c r="B318" s="169"/>
      <c r="C318" s="17"/>
      <c r="D318" s="128"/>
      <c r="E318" s="169" t="str">
        <f t="shared" si="22"/>
        <v>Por definir</v>
      </c>
      <c r="G318" s="129"/>
      <c r="H318" s="129" t="s">
        <v>957</v>
      </c>
      <c r="I318" s="128"/>
      <c r="J318" s="130"/>
      <c r="K318" s="16">
        <f t="shared" si="23"/>
        <v>0</v>
      </c>
      <c r="L318" s="163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90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91"/>
      <c r="AK318" s="4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4"/>
    </row>
    <row r="319" spans="1:56" x14ac:dyDescent="0.2">
      <c r="A319" s="15">
        <f t="shared" si="21"/>
        <v>0</v>
      </c>
      <c r="B319" s="169"/>
      <c r="C319" s="17"/>
      <c r="D319" s="128"/>
      <c r="E319" s="169" t="str">
        <f t="shared" si="22"/>
        <v>Por definir</v>
      </c>
      <c r="G319" s="129"/>
      <c r="H319" s="129" t="s">
        <v>957</v>
      </c>
      <c r="I319" s="128"/>
      <c r="J319" s="130"/>
      <c r="K319" s="16">
        <f t="shared" si="23"/>
        <v>0</v>
      </c>
      <c r="L319" s="163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90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91"/>
      <c r="AK319" s="4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4"/>
    </row>
    <row r="320" spans="1:56" x14ac:dyDescent="0.2">
      <c r="A320" s="15">
        <f t="shared" si="21"/>
        <v>0</v>
      </c>
      <c r="B320" s="169"/>
      <c r="C320" s="17"/>
      <c r="D320" s="128"/>
      <c r="E320" s="169" t="str">
        <f t="shared" si="22"/>
        <v>Por definir</v>
      </c>
      <c r="G320" s="129"/>
      <c r="H320" s="129" t="s">
        <v>957</v>
      </c>
      <c r="I320" s="128"/>
      <c r="J320" s="130"/>
      <c r="K320" s="16">
        <f t="shared" si="23"/>
        <v>0</v>
      </c>
      <c r="L320" s="163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90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91"/>
      <c r="AK320" s="4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4"/>
    </row>
    <row r="321" spans="1:56" x14ac:dyDescent="0.2">
      <c r="A321" s="15">
        <f t="shared" si="21"/>
        <v>0</v>
      </c>
      <c r="B321" s="169"/>
      <c r="C321" s="17"/>
      <c r="D321" s="128"/>
      <c r="E321" s="169" t="str">
        <f t="shared" si="22"/>
        <v>Por definir</v>
      </c>
      <c r="G321" s="129"/>
      <c r="H321" s="129" t="s">
        <v>957</v>
      </c>
      <c r="I321" s="128"/>
      <c r="J321" s="130"/>
      <c r="K321" s="16">
        <f t="shared" si="23"/>
        <v>0</v>
      </c>
      <c r="L321" s="163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90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91"/>
      <c r="AK321" s="4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4"/>
    </row>
    <row r="322" spans="1:56" x14ac:dyDescent="0.2">
      <c r="A322" s="15">
        <f t="shared" si="21"/>
        <v>0</v>
      </c>
      <c r="B322" s="169"/>
      <c r="C322" s="17"/>
      <c r="D322" s="128"/>
      <c r="E322" s="169" t="str">
        <f t="shared" si="22"/>
        <v>Por definir</v>
      </c>
      <c r="G322" s="129"/>
      <c r="H322" s="129" t="s">
        <v>957</v>
      </c>
      <c r="I322" s="128"/>
      <c r="J322" s="130"/>
      <c r="K322" s="16">
        <f t="shared" si="23"/>
        <v>0</v>
      </c>
      <c r="L322" s="163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90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91"/>
      <c r="AK322" s="4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4"/>
    </row>
    <row r="323" spans="1:56" x14ac:dyDescent="0.2">
      <c r="A323" s="15">
        <f t="shared" si="21"/>
        <v>0</v>
      </c>
      <c r="B323" s="169"/>
      <c r="C323" s="17"/>
      <c r="D323" s="128"/>
      <c r="E323" s="169" t="str">
        <f t="shared" si="22"/>
        <v>Por definir</v>
      </c>
      <c r="G323" s="129"/>
      <c r="H323" s="129" t="s">
        <v>957</v>
      </c>
      <c r="I323" s="128"/>
      <c r="J323" s="130"/>
      <c r="K323" s="16">
        <f t="shared" si="23"/>
        <v>0</v>
      </c>
      <c r="L323" s="163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90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91"/>
      <c r="AK323" s="4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4"/>
    </row>
    <row r="324" spans="1:56" x14ac:dyDescent="0.2">
      <c r="A324" s="15">
        <f t="shared" si="21"/>
        <v>0</v>
      </c>
      <c r="B324" s="169"/>
      <c r="C324" s="17"/>
      <c r="D324" s="128"/>
      <c r="E324" s="169" t="str">
        <f t="shared" si="22"/>
        <v>Por definir</v>
      </c>
      <c r="G324" s="129"/>
      <c r="H324" s="129" t="s">
        <v>957</v>
      </c>
      <c r="I324" s="128"/>
      <c r="J324" s="130"/>
      <c r="K324" s="16">
        <f t="shared" si="23"/>
        <v>0</v>
      </c>
      <c r="L324" s="163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90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91"/>
      <c r="AK324" s="4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4"/>
    </row>
    <row r="325" spans="1:56" x14ac:dyDescent="0.2">
      <c r="A325" s="15">
        <f t="shared" si="21"/>
        <v>0</v>
      </c>
      <c r="B325" s="169"/>
      <c r="C325" s="17"/>
      <c r="D325" s="128"/>
      <c r="E325" s="169" t="str">
        <f t="shared" si="22"/>
        <v>Por definir</v>
      </c>
      <c r="G325" s="129"/>
      <c r="H325" s="129" t="s">
        <v>957</v>
      </c>
      <c r="I325" s="128"/>
      <c r="J325" s="130"/>
      <c r="K325" s="16">
        <f t="shared" si="23"/>
        <v>0</v>
      </c>
      <c r="L325" s="163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90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91"/>
      <c r="AK325" s="4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4"/>
    </row>
    <row r="326" spans="1:56" x14ac:dyDescent="0.2">
      <c r="A326" s="15">
        <f t="shared" si="21"/>
        <v>0</v>
      </c>
      <c r="B326" s="169"/>
      <c r="C326" s="17"/>
      <c r="D326" s="128"/>
      <c r="E326" s="169" t="str">
        <f t="shared" si="22"/>
        <v>Por definir</v>
      </c>
      <c r="G326" s="129"/>
      <c r="H326" s="129" t="s">
        <v>957</v>
      </c>
      <c r="I326" s="128"/>
      <c r="J326" s="130"/>
      <c r="K326" s="16">
        <f t="shared" si="23"/>
        <v>0</v>
      </c>
      <c r="L326" s="163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90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91"/>
      <c r="AK326" s="4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4"/>
    </row>
    <row r="327" spans="1:56" x14ac:dyDescent="0.2">
      <c r="A327" s="15">
        <f t="shared" si="21"/>
        <v>0</v>
      </c>
      <c r="B327" s="169"/>
      <c r="C327" s="17"/>
      <c r="D327" s="128"/>
      <c r="E327" s="169" t="str">
        <f t="shared" si="22"/>
        <v>Por definir</v>
      </c>
      <c r="G327" s="129"/>
      <c r="H327" s="129" t="s">
        <v>957</v>
      </c>
      <c r="I327" s="128"/>
      <c r="J327" s="130"/>
      <c r="K327" s="16">
        <f t="shared" si="23"/>
        <v>0</v>
      </c>
      <c r="L327" s="163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90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91"/>
      <c r="AK327" s="4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4"/>
    </row>
    <row r="328" spans="1:56" x14ac:dyDescent="0.2">
      <c r="A328" s="15">
        <f t="shared" si="21"/>
        <v>0</v>
      </c>
      <c r="B328" s="169"/>
      <c r="C328" s="17"/>
      <c r="D328" s="128"/>
      <c r="E328" s="169" t="str">
        <f t="shared" si="22"/>
        <v>Por definir</v>
      </c>
      <c r="G328" s="129"/>
      <c r="H328" s="129" t="s">
        <v>957</v>
      </c>
      <c r="I328" s="128"/>
      <c r="J328" s="130"/>
      <c r="K328" s="16">
        <f t="shared" si="23"/>
        <v>0</v>
      </c>
      <c r="L328" s="163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90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91"/>
      <c r="AK328" s="4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4"/>
    </row>
    <row r="329" spans="1:56" x14ac:dyDescent="0.2">
      <c r="A329" s="15">
        <f t="shared" si="21"/>
        <v>0</v>
      </c>
      <c r="B329" s="169"/>
      <c r="C329" s="17"/>
      <c r="D329" s="128"/>
      <c r="E329" s="169" t="str">
        <f t="shared" si="22"/>
        <v>Por definir</v>
      </c>
      <c r="G329" s="129"/>
      <c r="H329" s="129" t="s">
        <v>957</v>
      </c>
      <c r="I329" s="128"/>
      <c r="J329" s="130"/>
      <c r="K329" s="16">
        <f t="shared" si="23"/>
        <v>0</v>
      </c>
      <c r="L329" s="163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90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91"/>
      <c r="AK329" s="4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4"/>
    </row>
    <row r="330" spans="1:56" ht="15" thickBot="1" x14ac:dyDescent="0.25">
      <c r="A330" s="15">
        <f t="shared" si="21"/>
        <v>0</v>
      </c>
      <c r="B330" s="171"/>
      <c r="C330" s="17"/>
      <c r="D330" s="128"/>
      <c r="E330" s="169" t="str">
        <f t="shared" si="22"/>
        <v>Por definir</v>
      </c>
      <c r="G330" s="129"/>
      <c r="H330" s="129" t="s">
        <v>957</v>
      </c>
      <c r="I330" s="128"/>
      <c r="J330" s="130"/>
      <c r="K330" s="16">
        <f t="shared" si="23"/>
        <v>0</v>
      </c>
      <c r="L330" s="165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92"/>
      <c r="Y330" s="193"/>
      <c r="Z330" s="193"/>
      <c r="AA330" s="193"/>
      <c r="AB330" s="193"/>
      <c r="AC330" s="193"/>
      <c r="AD330" s="193"/>
      <c r="AE330" s="193"/>
      <c r="AF330" s="193"/>
      <c r="AG330" s="193"/>
      <c r="AH330" s="193"/>
      <c r="AI330" s="194"/>
      <c r="AK330" s="4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4"/>
    </row>
    <row r="332" spans="1:56" x14ac:dyDescent="0.2">
      <c r="Y332" s="37"/>
    </row>
    <row r="333" spans="1:56" x14ac:dyDescent="0.2">
      <c r="Y333" s="37"/>
    </row>
    <row r="334" spans="1:56" x14ac:dyDescent="0.2">
      <c r="Y334" s="31"/>
    </row>
    <row r="336" spans="1:56" x14ac:dyDescent="0.2">
      <c r="W336" s="37"/>
    </row>
  </sheetData>
  <autoFilter ref="B27:AI27" xr:uid="{74AC6BA7-2B35-4CFD-8B7F-61A7A0CBDB5C}">
    <sortState xmlns:xlrd2="http://schemas.microsoft.com/office/spreadsheetml/2017/richdata2" ref="B28:AI377">
      <sortCondition ref="H27"/>
    </sortState>
  </autoFilter>
  <conditionalFormatting sqref="J28:J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:AI26">
    <cfRule type="iconSet" priority="1">
      <iconSet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924C4C38D87A4B9FA245AC70A7D366" ma:contentTypeVersion="16" ma:contentTypeDescription="Create a new document." ma:contentTypeScope="" ma:versionID="2f1f36b25ef374f935898f657ec7fd40">
  <xsd:schema xmlns:xsd="http://www.w3.org/2001/XMLSchema" xmlns:xs="http://www.w3.org/2001/XMLSchema" xmlns:p="http://schemas.microsoft.com/office/2006/metadata/properties" xmlns:ns2="4e9cd31b-92d1-4fef-8c4d-4e29da429c23" xmlns:ns3="3ddd9f47-aa60-42b5-ab54-71541710dd1e" targetNamespace="http://schemas.microsoft.com/office/2006/metadata/properties" ma:root="true" ma:fieldsID="fb8ae88d7cefb7bce58e3b098e4c6082" ns2:_="" ns3:_="">
    <xsd:import namespace="4e9cd31b-92d1-4fef-8c4d-4e29da429c23"/>
    <xsd:import namespace="3ddd9f47-aa60-42b5-ab54-71541710dd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d31b-92d1-4fef-8c4d-4e29da429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d9f47-aa60-42b5-ab54-71541710dd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3c919d-2a34-4a4f-970a-f3a8d04e0e24}" ma:internalName="TaxCatchAll" ma:showField="CatchAllData" ma:web="3ddd9f47-aa60-42b5-ab54-71541710dd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9cd31b-92d1-4fef-8c4d-4e29da429c23">
      <Terms xmlns="http://schemas.microsoft.com/office/infopath/2007/PartnerControls"/>
    </lcf76f155ced4ddcb4097134ff3c332f>
    <TaxCatchAll xmlns="3ddd9f47-aa60-42b5-ab54-71541710dd1e" xsi:nil="true"/>
  </documentManagement>
</p:properties>
</file>

<file path=customXml/itemProps1.xml><?xml version="1.0" encoding="utf-8"?>
<ds:datastoreItem xmlns:ds="http://schemas.openxmlformats.org/officeDocument/2006/customXml" ds:itemID="{527458CE-9D3C-48A2-9A84-9C5AF0ACDF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16141A-56C9-49B7-9CAB-6FB46452E0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cd31b-92d1-4fef-8c4d-4e29da429c23"/>
    <ds:schemaRef ds:uri="3ddd9f47-aa60-42b5-ab54-71541710d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ED8CDB-720C-4E21-8964-D7C465BF8AFD}">
  <ds:schemaRefs>
    <ds:schemaRef ds:uri="http://schemas.microsoft.com/office/2006/metadata/properties"/>
    <ds:schemaRef ds:uri="http://schemas.microsoft.com/office/infopath/2007/PartnerControls"/>
    <ds:schemaRef ds:uri="4e9cd31b-92d1-4fef-8c4d-4e29da429c23"/>
    <ds:schemaRef ds:uri="3ddd9f47-aa60-42b5-ab54-71541710d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Reportabilidad</vt:lpstr>
      <vt:lpstr>Resumen Gen N°</vt:lpstr>
      <vt:lpstr>Resumen Gen Monto</vt:lpstr>
      <vt:lpstr>KPIs</vt:lpstr>
      <vt:lpstr>Hoja7</vt:lpstr>
      <vt:lpstr>Hoja8</vt:lpstr>
      <vt:lpstr>Hoja4</vt:lpstr>
      <vt:lpstr>Base de Datos 2024</vt:lpstr>
      <vt:lpstr>Hoja5</vt:lpstr>
      <vt:lpstr>POM_Agosto</vt:lpstr>
      <vt:lpstr>Lista de proyectos</vt:lpstr>
      <vt:lpstr>POM_Septiembre</vt:lpstr>
      <vt:lpstr>Hoja3</vt:lpstr>
      <vt:lpstr>2023</vt:lpstr>
      <vt:lpstr>Hoja1</vt:lpstr>
      <vt:lpstr>Hoja2</vt:lpstr>
      <vt:lpstr>Codigos</vt:lpstr>
      <vt:lpstr>Nombres</vt:lpstr>
      <vt:lpstr>Apuntes</vt:lpstr>
      <vt:lpstr>Charts New</vt:lpstr>
      <vt:lpstr>PBI_Flujo Caja (+Pipeline) 2023</vt:lpstr>
      <vt:lpstr>Flujos 23-24 (p. actuales)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Cuevas</dc:creator>
  <cp:keywords/>
  <dc:description/>
  <cp:lastModifiedBy>Daniel Cuero</cp:lastModifiedBy>
  <cp:revision/>
  <dcterms:created xsi:type="dcterms:W3CDTF">2023-12-22T12:27:26Z</dcterms:created>
  <dcterms:modified xsi:type="dcterms:W3CDTF">2026-07-07T11:27:37Z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0x01010021924C4C38D87A4B9FA245AC70A7D366</vt:lpwstr>
  </property>
</Properties>
</file>