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acm/udd/redco_proyect/pilar_a/data/Archivos 2025/Respaldos/ventas/"/>
    </mc:Choice>
  </mc:AlternateContent>
  <xr:revisionPtr revIDLastSave="0" documentId="13_ncr:1_{6C667A89-1F7E-7140-AC5A-4FA67A1D85BB}" xr6:coauthVersionLast="47" xr6:coauthVersionMax="47" xr10:uidLastSave="{00000000-0000-0000-0000-000000000000}"/>
  <bookViews>
    <workbookView xWindow="-2400" yWindow="-21000" windowWidth="38400" windowHeight="21000" xr2:uid="{00000000-000D-0000-FFFF-FFFF00000000}"/>
  </bookViews>
  <sheets>
    <sheet name="CRM" sheetId="12" r:id="rId1"/>
    <sheet name="Hoja1" sheetId="22" r:id="rId2"/>
    <sheet name="Ventas" sheetId="18" r:id="rId3"/>
    <sheet name="Do vs At" sheetId="23" r:id="rId4"/>
    <sheet name="Perú" sheetId="5" state="hidden" r:id="rId5"/>
    <sheet name="Chile" sheetId="4" state="hidden" r:id="rId6"/>
    <sheet name="Brasil" sheetId="6" state="hidden" r:id="rId7"/>
    <sheet name="EEUU" sheetId="7" state="hidden" r:id="rId8"/>
    <sheet name="CRM (v1)" sheetId="9" state="hidden" r:id="rId9"/>
    <sheet name="Resumen cantidades" sheetId="17" r:id="rId10"/>
    <sheet name="Gestión" sheetId="19" r:id="rId11"/>
    <sheet name="Posbiles" sheetId="21" r:id="rId12"/>
    <sheet name="Tabla Budget" sheetId="15" r:id="rId13"/>
    <sheet name="Modelo Recursos" sheetId="1" state="hidden" r:id="rId14"/>
    <sheet name="Contactos" sheetId="10" state="hidden" r:id="rId15"/>
    <sheet name="Resumen" sheetId="2" state="hidden" r:id="rId16"/>
    <sheet name="Categorias" sheetId="3" state="hidden" r:id="rId17"/>
  </sheets>
  <externalReferences>
    <externalReference r:id="rId18"/>
  </externalReferences>
  <definedNames>
    <definedName name="_xlnm._FilterDatabase" localSheetId="0" hidden="1">CRM!$A$1:$AB$121</definedName>
  </definedNames>
  <calcPr calcId="191029" iterateDelta="1E-4"/>
  <pivotCaches>
    <pivotCache cacheId="10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3" l="1"/>
  <c r="C47" i="23"/>
  <c r="C48" i="23"/>
  <c r="C49" i="23"/>
  <c r="C50" i="23"/>
  <c r="C51" i="23"/>
  <c r="C52" i="23"/>
  <c r="C53" i="23"/>
  <c r="C54" i="23"/>
  <c r="C55" i="23"/>
  <c r="M55" i="23"/>
  <c r="C56" i="23"/>
  <c r="C57" i="23"/>
  <c r="C58" i="23"/>
  <c r="C59" i="23"/>
  <c r="P61" i="23"/>
  <c r="C62" i="23"/>
  <c r="C25" i="23"/>
  <c r="M25" i="23"/>
  <c r="P47" i="23" s="1"/>
  <c r="N25" i="23"/>
  <c r="O25" i="23"/>
  <c r="P25" i="23"/>
  <c r="Q25" i="23"/>
  <c r="R25" i="23"/>
  <c r="S25" i="23"/>
  <c r="T25" i="23"/>
  <c r="AA25" i="23"/>
  <c r="M47" i="23" s="1"/>
  <c r="AB25" i="23"/>
  <c r="AC25" i="23"/>
  <c r="AD25" i="23"/>
  <c r="AE25" i="23"/>
  <c r="AF25" i="23"/>
  <c r="C26" i="23"/>
  <c r="M26" i="23"/>
  <c r="P48" i="23" s="1"/>
  <c r="N26" i="23"/>
  <c r="O26" i="23"/>
  <c r="P26" i="23"/>
  <c r="Q26" i="23"/>
  <c r="R26" i="23"/>
  <c r="S26" i="23"/>
  <c r="T26" i="23"/>
  <c r="AA26" i="23"/>
  <c r="M48" i="23" s="1"/>
  <c r="AB26" i="23"/>
  <c r="AC26" i="23"/>
  <c r="AD26" i="23"/>
  <c r="AE26" i="23"/>
  <c r="AF26" i="23"/>
  <c r="C27" i="23"/>
  <c r="J27" i="23"/>
  <c r="M27" i="23"/>
  <c r="N27" i="23"/>
  <c r="O27" i="23"/>
  <c r="P49" i="23" s="1"/>
  <c r="P27" i="23"/>
  <c r="Q27" i="23"/>
  <c r="R27" i="23"/>
  <c r="S27" i="23"/>
  <c r="T27" i="23"/>
  <c r="AA27" i="23"/>
  <c r="M49" i="23" s="1"/>
  <c r="AB27" i="23"/>
  <c r="AC27" i="23"/>
  <c r="AD27" i="23"/>
  <c r="AE27" i="23"/>
  <c r="AF27" i="23"/>
  <c r="C28" i="23"/>
  <c r="J28" i="23"/>
  <c r="M28" i="23"/>
  <c r="P50" i="23" s="1"/>
  <c r="N28" i="23"/>
  <c r="O28" i="23"/>
  <c r="P28" i="23"/>
  <c r="Q28" i="23"/>
  <c r="R28" i="23"/>
  <c r="S28" i="23"/>
  <c r="T28" i="23"/>
  <c r="AA28" i="23"/>
  <c r="M50" i="23" s="1"/>
  <c r="AB28" i="23"/>
  <c r="AC28" i="23"/>
  <c r="AD28" i="23"/>
  <c r="AE28" i="23"/>
  <c r="AF28" i="23"/>
  <c r="C29" i="23"/>
  <c r="J29" i="23"/>
  <c r="M29" i="23"/>
  <c r="P51" i="23" s="1"/>
  <c r="N29" i="23"/>
  <c r="O29" i="23"/>
  <c r="P29" i="23"/>
  <c r="Q29" i="23"/>
  <c r="R29" i="23"/>
  <c r="S29" i="23"/>
  <c r="T29" i="23"/>
  <c r="AA29" i="23"/>
  <c r="M51" i="23" s="1"/>
  <c r="AB29" i="23"/>
  <c r="AC29" i="23"/>
  <c r="AD29" i="23"/>
  <c r="AE29" i="23"/>
  <c r="AF29" i="23"/>
  <c r="C30" i="23"/>
  <c r="J30" i="23"/>
  <c r="M30" i="23"/>
  <c r="N30" i="23"/>
  <c r="O30" i="23"/>
  <c r="P30" i="23"/>
  <c r="P52" i="23" s="1"/>
  <c r="Q30" i="23"/>
  <c r="R30" i="23"/>
  <c r="S30" i="23"/>
  <c r="T30" i="23"/>
  <c r="AA30" i="23"/>
  <c r="AB30" i="23"/>
  <c r="AC30" i="23"/>
  <c r="M52" i="23" s="1"/>
  <c r="AD30" i="23"/>
  <c r="AE30" i="23"/>
  <c r="AF30" i="23"/>
  <c r="C31" i="23"/>
  <c r="M31" i="23"/>
  <c r="P53" i="23" s="1"/>
  <c r="N31" i="23"/>
  <c r="O31" i="23"/>
  <c r="P31" i="23"/>
  <c r="Q31" i="23"/>
  <c r="R31" i="23"/>
  <c r="S31" i="23"/>
  <c r="T31" i="23"/>
  <c r="AA31" i="23"/>
  <c r="M53" i="23" s="1"/>
  <c r="AB31" i="23"/>
  <c r="AC31" i="23"/>
  <c r="AD31" i="23"/>
  <c r="AE31" i="23"/>
  <c r="AF31" i="23"/>
  <c r="C32" i="23"/>
  <c r="M32" i="23"/>
  <c r="P54" i="23" s="1"/>
  <c r="N32" i="23"/>
  <c r="O32" i="23"/>
  <c r="P32" i="23"/>
  <c r="Q32" i="23"/>
  <c r="R32" i="23"/>
  <c r="S32" i="23"/>
  <c r="T32" i="23"/>
  <c r="AA32" i="23"/>
  <c r="M54" i="23" s="1"/>
  <c r="AB32" i="23"/>
  <c r="AC32" i="23"/>
  <c r="AD32" i="23"/>
  <c r="AE32" i="23"/>
  <c r="AF32" i="23"/>
  <c r="C33" i="23"/>
  <c r="M33" i="23"/>
  <c r="N33" i="23"/>
  <c r="O33" i="23"/>
  <c r="P33" i="23"/>
  <c r="Q33" i="23"/>
  <c r="R33" i="23"/>
  <c r="S33" i="23"/>
  <c r="T33" i="23"/>
  <c r="P55" i="23" s="1"/>
  <c r="AA33" i="23"/>
  <c r="AB33" i="23"/>
  <c r="AC33" i="23"/>
  <c r="AD33" i="23"/>
  <c r="AE33" i="23"/>
  <c r="AF33" i="23"/>
  <c r="C34" i="23"/>
  <c r="M34" i="23"/>
  <c r="P56" i="23" s="1"/>
  <c r="N34" i="23"/>
  <c r="O34" i="23"/>
  <c r="P34" i="23"/>
  <c r="Q34" i="23"/>
  <c r="R34" i="23"/>
  <c r="S34" i="23"/>
  <c r="T34" i="23"/>
  <c r="AA34" i="23"/>
  <c r="M56" i="23" s="1"/>
  <c r="AB34" i="23"/>
  <c r="AC34" i="23"/>
  <c r="AD34" i="23"/>
  <c r="AE34" i="23"/>
  <c r="AF34" i="23"/>
  <c r="C35" i="23"/>
  <c r="M35" i="23"/>
  <c r="P57" i="23" s="1"/>
  <c r="N35" i="23"/>
  <c r="O35" i="23"/>
  <c r="P35" i="23"/>
  <c r="Q35" i="23"/>
  <c r="R35" i="23"/>
  <c r="S35" i="23"/>
  <c r="T35" i="23"/>
  <c r="AA35" i="23"/>
  <c r="M57" i="23" s="1"/>
  <c r="AB35" i="23"/>
  <c r="AC35" i="23"/>
  <c r="AD35" i="23"/>
  <c r="AE35" i="23"/>
  <c r="AF35" i="23"/>
  <c r="C36" i="23"/>
  <c r="M36" i="23"/>
  <c r="P58" i="23" s="1"/>
  <c r="N36" i="23"/>
  <c r="O36" i="23"/>
  <c r="P36" i="23"/>
  <c r="Q36" i="23"/>
  <c r="R36" i="23"/>
  <c r="S36" i="23"/>
  <c r="T36" i="23"/>
  <c r="AA36" i="23"/>
  <c r="AB36" i="23"/>
  <c r="AC36" i="23"/>
  <c r="M58" i="23" s="1"/>
  <c r="AD36" i="23"/>
  <c r="AE36" i="23"/>
  <c r="AF36" i="23"/>
  <c r="C37" i="23"/>
  <c r="M37" i="23"/>
  <c r="P59" i="23" s="1"/>
  <c r="N37" i="23"/>
  <c r="O37" i="23"/>
  <c r="P37" i="23"/>
  <c r="Q37" i="23"/>
  <c r="R37" i="23"/>
  <c r="S37" i="23"/>
  <c r="T37" i="23"/>
  <c r="AA37" i="23"/>
  <c r="M59" i="23" s="1"/>
  <c r="AB37" i="23"/>
  <c r="AC37" i="23"/>
  <c r="AD37" i="23"/>
  <c r="AE37" i="23"/>
  <c r="AF37" i="23"/>
  <c r="M38" i="23"/>
  <c r="N38" i="23"/>
  <c r="O38" i="23"/>
  <c r="P38" i="23"/>
  <c r="P60" i="23" s="1"/>
  <c r="Q38" i="23"/>
  <c r="R38" i="23"/>
  <c r="S38" i="23"/>
  <c r="T38" i="23"/>
  <c r="AA38" i="23"/>
  <c r="M60" i="23" s="1"/>
  <c r="AB38" i="23"/>
  <c r="AC38" i="23"/>
  <c r="AD38" i="23"/>
  <c r="AE38" i="23"/>
  <c r="AF38" i="23"/>
  <c r="M39" i="23"/>
  <c r="N39" i="23"/>
  <c r="O39" i="23"/>
  <c r="P39" i="23"/>
  <c r="Q39" i="23"/>
  <c r="S39" i="23"/>
  <c r="T39" i="23"/>
  <c r="AA39" i="23"/>
  <c r="M61" i="23" s="1"/>
  <c r="AB39" i="23"/>
  <c r="AC39" i="23"/>
  <c r="AD39" i="23"/>
  <c r="AE39" i="23"/>
  <c r="AF39" i="23"/>
  <c r="C40" i="23"/>
  <c r="M40" i="23"/>
  <c r="P62" i="23" s="1"/>
  <c r="N40" i="23"/>
  <c r="O40" i="23"/>
  <c r="P40" i="23"/>
  <c r="Q40" i="23"/>
  <c r="R40" i="23"/>
  <c r="S40" i="23"/>
  <c r="T40" i="23"/>
  <c r="AA40" i="23"/>
  <c r="M62" i="23" s="1"/>
  <c r="AB40" i="23"/>
  <c r="AC40" i="23"/>
  <c r="AD40" i="23"/>
  <c r="AE40" i="23"/>
  <c r="F4" i="23"/>
  <c r="G4" i="23"/>
  <c r="H4" i="23"/>
  <c r="C5" i="23"/>
  <c r="E5" i="23"/>
  <c r="F5" i="23"/>
  <c r="H5" i="23" s="1"/>
  <c r="G5" i="23"/>
  <c r="C6" i="23"/>
  <c r="E6" i="23"/>
  <c r="F6" i="23"/>
  <c r="H6" i="23" s="1"/>
  <c r="G6" i="23"/>
  <c r="C7" i="23"/>
  <c r="E7" i="23"/>
  <c r="F7" i="23"/>
  <c r="G7" i="23"/>
  <c r="H7" i="23"/>
  <c r="U7" i="23"/>
  <c r="C8" i="23"/>
  <c r="E8" i="23"/>
  <c r="F8" i="23"/>
  <c r="H8" i="23" s="1"/>
  <c r="G8" i="23"/>
  <c r="C9" i="23"/>
  <c r="E9" i="23"/>
  <c r="F9" i="23"/>
  <c r="H9" i="23" s="1"/>
  <c r="G9" i="23"/>
  <c r="C10" i="23"/>
  <c r="E10" i="23"/>
  <c r="F10" i="23"/>
  <c r="G10" i="23"/>
  <c r="H10" i="23"/>
  <c r="C11" i="23"/>
  <c r="E11" i="23"/>
  <c r="F11" i="23"/>
  <c r="G11" i="23"/>
  <c r="H11" i="23" s="1"/>
  <c r="C12" i="23"/>
  <c r="E12" i="23"/>
  <c r="F12" i="23"/>
  <c r="G12" i="23"/>
  <c r="H12" i="23"/>
  <c r="C13" i="23"/>
  <c r="E13" i="23"/>
  <c r="F13" i="23"/>
  <c r="H13" i="23" s="1"/>
  <c r="G13" i="23"/>
  <c r="U13" i="23"/>
  <c r="C14" i="23"/>
  <c r="E14" i="23"/>
  <c r="U14" i="23" s="1"/>
  <c r="F14" i="23"/>
  <c r="H14" i="23" s="1"/>
  <c r="G14" i="23"/>
  <c r="C15" i="23"/>
  <c r="E15" i="23"/>
  <c r="F15" i="23"/>
  <c r="H15" i="23" s="1"/>
  <c r="G15" i="23"/>
  <c r="C16" i="23"/>
  <c r="E16" i="23"/>
  <c r="F16" i="23"/>
  <c r="G16" i="23"/>
  <c r="H16" i="23"/>
  <c r="U16" i="23"/>
  <c r="G17" i="23"/>
  <c r="H17" i="23" s="1"/>
  <c r="C19" i="23"/>
  <c r="E19" i="23"/>
  <c r="G19" i="23" s="1"/>
  <c r="H19" i="23" s="1"/>
  <c r="F19" i="23"/>
  <c r="K121" i="12"/>
  <c r="C14" i="17"/>
  <c r="K26" i="18" l="1"/>
  <c r="N47" i="19"/>
  <c r="N48" i="19"/>
  <c r="N49" i="19"/>
  <c r="N46" i="19"/>
  <c r="M50" i="19"/>
  <c r="N57" i="19"/>
  <c r="N56" i="19"/>
  <c r="N55" i="19"/>
  <c r="M58" i="19"/>
  <c r="H20" i="19"/>
  <c r="H21" i="19"/>
  <c r="H22" i="19"/>
  <c r="H23" i="19"/>
  <c r="H24" i="19"/>
  <c r="H25" i="19"/>
  <c r="H26" i="19"/>
  <c r="H27" i="19"/>
  <c r="H28" i="19"/>
  <c r="H29" i="19"/>
  <c r="H19" i="19"/>
  <c r="O22" i="19"/>
  <c r="O21" i="19"/>
  <c r="Q10" i="19"/>
  <c r="S10" i="19"/>
  <c r="P7" i="19"/>
  <c r="P8" i="19"/>
  <c r="P9" i="19"/>
  <c r="P6" i="19"/>
  <c r="I17" i="21"/>
  <c r="I16" i="21"/>
  <c r="I15" i="21"/>
  <c r="I14" i="21"/>
  <c r="I13" i="21"/>
  <c r="I12" i="21"/>
  <c r="I11" i="21"/>
  <c r="I10" i="21"/>
  <c r="I9" i="21"/>
  <c r="I8" i="21"/>
  <c r="I3" i="21"/>
  <c r="I7" i="21" s="1"/>
  <c r="I4" i="21"/>
  <c r="I5" i="21"/>
  <c r="I2" i="21"/>
  <c r="G17" i="21"/>
  <c r="G7" i="21"/>
  <c r="R10" i="19"/>
  <c r="O10" i="19"/>
  <c r="N10" i="19"/>
  <c r="K120" i="12"/>
  <c r="K119" i="12"/>
  <c r="K118" i="12"/>
  <c r="K117" i="12"/>
  <c r="K116" i="12"/>
  <c r="K115" i="12"/>
  <c r="K114" i="12"/>
  <c r="K113" i="12"/>
  <c r="E14" i="17"/>
  <c r="F14" i="17"/>
  <c r="P10" i="19" l="1"/>
  <c r="K112" i="12"/>
  <c r="K111" i="12"/>
  <c r="D17" i="18"/>
  <c r="C16" i="18"/>
  <c r="D16" i="18"/>
  <c r="F17" i="18"/>
  <c r="D14" i="18"/>
  <c r="G14" i="17"/>
  <c r="E14" i="18"/>
  <c r="E16" i="18"/>
  <c r="F16" i="18"/>
  <c r="G14" i="18"/>
  <c r="E15" i="18"/>
  <c r="E17" i="18"/>
  <c r="G15" i="18"/>
  <c r="C17" i="18"/>
  <c r="B17" i="18"/>
  <c r="D15" i="18"/>
  <c r="B16" i="18"/>
  <c r="B15" i="18"/>
  <c r="C14" i="18"/>
  <c r="H14" i="17"/>
  <c r="D14" i="17"/>
  <c r="G16" i="18"/>
  <c r="F14" i="18"/>
  <c r="F15" i="18"/>
  <c r="C15" i="18"/>
  <c r="B14" i="18"/>
  <c r="G17" i="18"/>
  <c r="I14" i="17" l="1"/>
  <c r="H16" i="18"/>
  <c r="H17" i="18"/>
  <c r="H14" i="18"/>
  <c r="H15" i="18"/>
  <c r="G18" i="18"/>
  <c r="B18" i="18"/>
  <c r="C18" i="18"/>
  <c r="D18" i="18"/>
  <c r="E18" i="18"/>
  <c r="F18" i="18"/>
  <c r="K110" i="12"/>
  <c r="K109" i="12"/>
  <c r="K108" i="12"/>
  <c r="H18" i="18" l="1"/>
  <c r="K107" i="12"/>
  <c r="K106" i="12" l="1"/>
  <c r="K105" i="12"/>
  <c r="K104" i="12" l="1"/>
  <c r="K102" i="12"/>
  <c r="K103" i="12"/>
  <c r="K101" i="12" l="1"/>
  <c r="H84" i="12"/>
  <c r="W40" i="15" l="1"/>
  <c r="W43" i="15"/>
  <c r="AN8" i="15" l="1"/>
  <c r="AN9" i="15"/>
  <c r="AN10" i="15"/>
  <c r="AN11" i="15"/>
  <c r="AL9" i="15"/>
  <c r="AL10" i="15"/>
  <c r="AL11" i="15"/>
  <c r="AL8" i="15"/>
  <c r="AK14" i="15"/>
  <c r="AK12" i="15"/>
  <c r="AK11" i="15"/>
  <c r="AK10" i="15"/>
  <c r="AK9" i="15"/>
  <c r="AK8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26" i="15"/>
  <c r="AD8" i="15"/>
  <c r="Z7" i="15"/>
  <c r="Y7" i="15"/>
  <c r="Y9" i="15" s="1"/>
  <c r="X7" i="15"/>
  <c r="X10" i="15"/>
  <c r="W7" i="15"/>
  <c r="W10" i="15" s="1"/>
  <c r="AE12" i="15"/>
  <c r="V9" i="15"/>
  <c r="U9" i="15"/>
  <c r="AA10" i="15"/>
  <c r="T10" i="15"/>
  <c r="AB10" i="15"/>
  <c r="AC10" i="15"/>
  <c r="S10" i="15"/>
  <c r="S9" i="15"/>
  <c r="T12" i="15"/>
  <c r="U12" i="15"/>
  <c r="V12" i="15"/>
  <c r="W12" i="15"/>
  <c r="X12" i="15"/>
  <c r="Y12" i="15"/>
  <c r="Z12" i="15"/>
  <c r="AA12" i="15"/>
  <c r="AB12" i="15"/>
  <c r="AC12" i="15"/>
  <c r="AD12" i="15"/>
  <c r="S12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1" i="15"/>
  <c r="W42" i="15"/>
  <c r="W26" i="15"/>
  <c r="AC9" i="15"/>
  <c r="AA9" i="15"/>
  <c r="AB9" i="15"/>
  <c r="AE5" i="15"/>
  <c r="AE4" i="15"/>
  <c r="Y10" i="15" l="1"/>
  <c r="X9" i="15"/>
  <c r="Z10" i="15"/>
  <c r="W9" i="15"/>
  <c r="V10" i="15"/>
  <c r="U10" i="15"/>
  <c r="AE7" i="15"/>
  <c r="AE9" i="15" s="1"/>
  <c r="AD9" i="15"/>
  <c r="Z9" i="15"/>
  <c r="AE6" i="15"/>
  <c r="T9" i="15"/>
  <c r="O50" i="15"/>
  <c r="P50" i="15" s="1"/>
  <c r="Q50" i="15" s="1"/>
  <c r="O51" i="15"/>
  <c r="P51" i="15" s="1"/>
  <c r="Q51" i="15" s="1"/>
  <c r="O52" i="15"/>
  <c r="P52" i="15"/>
  <c r="Q52" i="15" s="1"/>
  <c r="O53" i="15"/>
  <c r="P53" i="15" s="1"/>
  <c r="Q53" i="15" s="1"/>
  <c r="O54" i="15"/>
  <c r="P54" i="15" s="1"/>
  <c r="Q54" i="15" s="1"/>
  <c r="O55" i="15"/>
  <c r="P55" i="15" s="1"/>
  <c r="Q55" i="15" s="1"/>
  <c r="O56" i="15"/>
  <c r="P56" i="15" s="1"/>
  <c r="Q56" i="15" s="1"/>
  <c r="O57" i="15"/>
  <c r="P57" i="15" s="1"/>
  <c r="Q57" i="15" s="1"/>
  <c r="O58" i="15"/>
  <c r="P58" i="15" s="1"/>
  <c r="Q58" i="15" s="1"/>
  <c r="O59" i="15"/>
  <c r="P59" i="15" s="1"/>
  <c r="Q59" i="15" s="1"/>
  <c r="O60" i="15"/>
  <c r="P60" i="15" s="1"/>
  <c r="Q60" i="15" s="1"/>
  <c r="O61" i="15"/>
  <c r="P61" i="15" s="1"/>
  <c r="Q61" i="15" s="1"/>
  <c r="O62" i="15"/>
  <c r="P62" i="15"/>
  <c r="Q62" i="15" s="1"/>
  <c r="O63" i="15"/>
  <c r="P63" i="15" s="1"/>
  <c r="Q63" i="15" s="1"/>
  <c r="O64" i="15"/>
  <c r="P64" i="15" s="1"/>
  <c r="Q64" i="15" s="1"/>
  <c r="O65" i="15"/>
  <c r="P65" i="15"/>
  <c r="Q65" i="15" s="1"/>
  <c r="O66" i="15"/>
  <c r="P66" i="15" s="1"/>
  <c r="Q66" i="15" s="1"/>
  <c r="O67" i="15"/>
  <c r="P67" i="15" s="1"/>
  <c r="Q67" i="15" s="1"/>
  <c r="O68" i="15"/>
  <c r="P68" i="15" s="1"/>
  <c r="Q68" i="15" s="1"/>
  <c r="O69" i="15"/>
  <c r="P69" i="15" s="1"/>
  <c r="Q69" i="15" s="1"/>
  <c r="O70" i="15"/>
  <c r="P70" i="15"/>
  <c r="Q70" i="15" s="1"/>
  <c r="O71" i="15"/>
  <c r="P71" i="15" s="1"/>
  <c r="Q71" i="15" s="1"/>
  <c r="O72" i="15"/>
  <c r="P72" i="15" s="1"/>
  <c r="Q72" i="15" s="1"/>
  <c r="R72" i="15" s="1"/>
  <c r="O73" i="15"/>
  <c r="P73" i="15"/>
  <c r="Q73" i="15" s="1"/>
  <c r="R73" i="15" s="1"/>
  <c r="S73" i="15" s="1"/>
  <c r="T73" i="15" s="1"/>
  <c r="O74" i="15"/>
  <c r="P74" i="15" s="1"/>
  <c r="Q74" i="15" s="1"/>
  <c r="O75" i="15"/>
  <c r="P75" i="15" s="1"/>
  <c r="Q75" i="15" s="1"/>
  <c r="R75" i="15" s="1"/>
  <c r="O76" i="15"/>
  <c r="P76" i="15" s="1"/>
  <c r="Q76" i="15" s="1"/>
  <c r="O77" i="15"/>
  <c r="P77" i="15" s="1"/>
  <c r="Q77" i="15" s="1"/>
  <c r="O78" i="15"/>
  <c r="P78" i="15"/>
  <c r="Q78" i="15" s="1"/>
  <c r="O79" i="15"/>
  <c r="P79" i="15" s="1"/>
  <c r="Q79" i="15" s="1"/>
  <c r="O80" i="15"/>
  <c r="P80" i="15" s="1"/>
  <c r="Q80" i="15" s="1"/>
  <c r="O81" i="15"/>
  <c r="P81" i="15"/>
  <c r="Q81" i="15"/>
  <c r="O82" i="15"/>
  <c r="P82" i="15" s="1"/>
  <c r="Q82" i="15" s="1"/>
  <c r="O83" i="15"/>
  <c r="P83" i="15" s="1"/>
  <c r="Q83" i="15" s="1"/>
  <c r="O84" i="15"/>
  <c r="P84" i="15"/>
  <c r="Q84" i="15" s="1"/>
  <c r="O85" i="15"/>
  <c r="P85" i="15" s="1"/>
  <c r="Q85" i="15" s="1"/>
  <c r="R85" i="15" s="1"/>
  <c r="O86" i="15"/>
  <c r="P86" i="15" s="1"/>
  <c r="Q86" i="15" s="1"/>
  <c r="O87" i="15"/>
  <c r="P87" i="15" s="1"/>
  <c r="Q87" i="15" s="1"/>
  <c r="O88" i="15"/>
  <c r="P88" i="15" s="1"/>
  <c r="Q88" i="15" s="1"/>
  <c r="O89" i="15"/>
  <c r="P89" i="15"/>
  <c r="Q89" i="15" s="1"/>
  <c r="O90" i="15"/>
  <c r="P90" i="15" s="1"/>
  <c r="O91" i="15"/>
  <c r="P91" i="15" s="1"/>
  <c r="Q91" i="15" s="1"/>
  <c r="O92" i="15"/>
  <c r="P92" i="15"/>
  <c r="Q92" i="15" s="1"/>
  <c r="R92" i="15" s="1"/>
  <c r="O93" i="15"/>
  <c r="P93" i="15"/>
  <c r="Q93" i="15" s="1"/>
  <c r="O94" i="15"/>
  <c r="P94" i="15" s="1"/>
  <c r="Q94" i="15" s="1"/>
  <c r="O95" i="15"/>
  <c r="P95" i="15" s="1"/>
  <c r="Q95" i="15" s="1"/>
  <c r="O96" i="15"/>
  <c r="P96" i="15"/>
  <c r="Q96" i="15" s="1"/>
  <c r="O97" i="15"/>
  <c r="P97" i="15" s="1"/>
  <c r="Q97" i="15" s="1"/>
  <c r="O98" i="15"/>
  <c r="P98" i="15" s="1"/>
  <c r="Q98" i="15" s="1"/>
  <c r="R98" i="15" s="1"/>
  <c r="O99" i="15"/>
  <c r="P99" i="15" s="1"/>
  <c r="Q99" i="15" s="1"/>
  <c r="R99" i="15" s="1"/>
  <c r="O49" i="15"/>
  <c r="P49" i="15" s="1"/>
  <c r="Q49" i="15" s="1"/>
  <c r="G43" i="15"/>
  <c r="N28" i="15"/>
  <c r="O28" i="15" s="1"/>
  <c r="O33" i="15"/>
  <c r="L40" i="15"/>
  <c r="M40" i="15" s="1"/>
  <c r="N40" i="15" s="1"/>
  <c r="O40" i="15" s="1"/>
  <c r="P40" i="15" s="1"/>
  <c r="Q40" i="15" s="1"/>
  <c r="R40" i="15" s="1"/>
  <c r="S40" i="15" s="1"/>
  <c r="T40" i="15" s="1"/>
  <c r="U40" i="15" s="1"/>
  <c r="J15" i="15"/>
  <c r="V15" i="15" s="1"/>
  <c r="K19" i="15"/>
  <c r="J18" i="15"/>
  <c r="K18" i="15" s="1"/>
  <c r="J17" i="15"/>
  <c r="K17" i="15" s="1"/>
  <c r="N17" i="15" s="1"/>
  <c r="L29" i="15"/>
  <c r="V33" i="15"/>
  <c r="L36" i="15"/>
  <c r="AA27" i="15"/>
  <c r="AA30" i="15"/>
  <c r="G100" i="15"/>
  <c r="G104" i="15" s="1"/>
  <c r="J100" i="15"/>
  <c r="K100" i="15"/>
  <c r="M42" i="15"/>
  <c r="N42" i="15" s="1"/>
  <c r="O42" i="15" s="1"/>
  <c r="M41" i="15"/>
  <c r="N41" i="15" s="1"/>
  <c r="O41" i="15" s="1"/>
  <c r="P41" i="15" s="1"/>
  <c r="Q41" i="15" s="1"/>
  <c r="R41" i="15" s="1"/>
  <c r="L39" i="15"/>
  <c r="V39" i="15" s="1"/>
  <c r="M37" i="15"/>
  <c r="N37" i="15" s="1"/>
  <c r="V34" i="15"/>
  <c r="L35" i="15"/>
  <c r="M35" i="15" s="1"/>
  <c r="N35" i="15" s="1"/>
  <c r="N32" i="15"/>
  <c r="K100" i="12"/>
  <c r="J43" i="15"/>
  <c r="D6" i="15" s="1"/>
  <c r="K43" i="15"/>
  <c r="E6" i="15" s="1"/>
  <c r="L31" i="15"/>
  <c r="V31" i="15" s="1"/>
  <c r="L30" i="15"/>
  <c r="V30" i="15" s="1"/>
  <c r="V26" i="15"/>
  <c r="J20" i="15"/>
  <c r="J16" i="15"/>
  <c r="K16" i="15" s="1"/>
  <c r="L16" i="15" s="1"/>
  <c r="U21" i="15"/>
  <c r="T21" i="15"/>
  <c r="O5" i="15" s="1"/>
  <c r="S21" i="15"/>
  <c r="N5" i="15" s="1"/>
  <c r="R21" i="15"/>
  <c r="M5" i="15" s="1"/>
  <c r="Q21" i="15"/>
  <c r="L5" i="15" s="1"/>
  <c r="P21" i="15"/>
  <c r="K5" i="15" s="1"/>
  <c r="O21" i="15"/>
  <c r="J5" i="15" s="1"/>
  <c r="G21" i="15"/>
  <c r="AF7" i="15" l="1"/>
  <c r="AG7" i="15" s="1"/>
  <c r="D8" i="15"/>
  <c r="L19" i="15"/>
  <c r="V19" i="15" s="1"/>
  <c r="Q28" i="15"/>
  <c r="R28" i="15" s="1"/>
  <c r="S28" i="15" s="1"/>
  <c r="P28" i="15"/>
  <c r="V28" i="15"/>
  <c r="L18" i="15"/>
  <c r="V18" i="15" s="1"/>
  <c r="S100" i="15"/>
  <c r="V42" i="15"/>
  <c r="L100" i="15"/>
  <c r="V35" i="15"/>
  <c r="V37" i="15"/>
  <c r="P4" i="15"/>
  <c r="V38" i="15"/>
  <c r="O43" i="15"/>
  <c r="I6" i="15" s="1"/>
  <c r="V29" i="15"/>
  <c r="V27" i="15"/>
  <c r="V20" i="15"/>
  <c r="M21" i="15"/>
  <c r="H5" i="15" s="1"/>
  <c r="K21" i="15"/>
  <c r="F5" i="15" s="1"/>
  <c r="V16" i="15"/>
  <c r="J21" i="15"/>
  <c r="E5" i="15" s="1"/>
  <c r="U79" i="12"/>
  <c r="L21" i="15" l="1"/>
  <c r="G5" i="15" s="1"/>
  <c r="E8" i="15"/>
  <c r="V41" i="15"/>
  <c r="M100" i="15"/>
  <c r="N100" i="15"/>
  <c r="P43" i="15"/>
  <c r="J6" i="15" s="1"/>
  <c r="V40" i="15"/>
  <c r="Q43" i="15"/>
  <c r="K6" i="15" s="1"/>
  <c r="R32" i="15"/>
  <c r="N21" i="15"/>
  <c r="I5" i="15" s="1"/>
  <c r="P5" i="15" s="1"/>
  <c r="K99" i="12"/>
  <c r="J7" i="15" l="1"/>
  <c r="J8" i="15" s="1"/>
  <c r="K7" i="15"/>
  <c r="K8" i="15" s="1"/>
  <c r="O100" i="15"/>
  <c r="S32" i="15"/>
  <c r="R43" i="15"/>
  <c r="L6" i="15" s="1"/>
  <c r="V17" i="15"/>
  <c r="V21" i="15" s="1"/>
  <c r="L7" i="15" l="1"/>
  <c r="L8" i="15" s="1"/>
  <c r="P100" i="15"/>
  <c r="T32" i="15"/>
  <c r="S43" i="15"/>
  <c r="M6" i="15" s="1"/>
  <c r="K98" i="12"/>
  <c r="M7" i="15" l="1"/>
  <c r="Q100" i="15"/>
  <c r="T43" i="15"/>
  <c r="N6" i="15" s="1"/>
  <c r="U32" i="15"/>
  <c r="K89" i="12"/>
  <c r="K97" i="12"/>
  <c r="K96" i="12"/>
  <c r="K95" i="12"/>
  <c r="K88" i="12"/>
  <c r="K90" i="12"/>
  <c r="K91" i="12"/>
  <c r="K92" i="12"/>
  <c r="K93" i="12"/>
  <c r="K94" i="12"/>
  <c r="K87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72" i="12"/>
  <c r="K73" i="12"/>
  <c r="K7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N7" i="15" l="1"/>
  <c r="O7" i="15" s="1"/>
  <c r="M8" i="15"/>
  <c r="U43" i="15"/>
  <c r="O6" i="15" s="1"/>
  <c r="V32" i="15"/>
  <c r="R100" i="1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" i="5"/>
  <c r="G7" i="6"/>
  <c r="G8" i="6"/>
  <c r="G9" i="6"/>
  <c r="G10" i="6"/>
  <c r="G11" i="6"/>
  <c r="G12" i="6"/>
  <c r="G13" i="6"/>
  <c r="G14" i="6"/>
  <c r="G3" i="6"/>
  <c r="G4" i="6"/>
  <c r="G5" i="6"/>
  <c r="G6" i="6"/>
  <c r="G2" i="6"/>
  <c r="K4" i="12"/>
  <c r="K2" i="12"/>
  <c r="N8" i="15" l="1"/>
  <c r="G30" i="4"/>
  <c r="H28" i="4"/>
  <c r="G28" i="4"/>
  <c r="G21" i="4"/>
  <c r="G22" i="4" s="1"/>
  <c r="G23" i="4" s="1"/>
  <c r="H21" i="4"/>
  <c r="H22" i="4" s="1"/>
  <c r="H23" i="4" s="1"/>
  <c r="H25" i="4" s="1"/>
  <c r="G22" i="2"/>
  <c r="G21" i="2"/>
  <c r="G20" i="2"/>
  <c r="G19" i="2"/>
  <c r="F19" i="2"/>
  <c r="D22" i="2"/>
  <c r="D21" i="2"/>
  <c r="D20" i="2"/>
  <c r="D19" i="2"/>
  <c r="D17" i="2"/>
  <c r="D16" i="2"/>
  <c r="D15" i="2"/>
  <c r="D14" i="2"/>
  <c r="D12" i="2"/>
  <c r="D11" i="2"/>
  <c r="D10" i="2"/>
  <c r="D9" i="2"/>
  <c r="D5" i="2"/>
  <c r="D7" i="2"/>
  <c r="D6" i="2"/>
  <c r="D4" i="2"/>
  <c r="N4" i="9"/>
  <c r="N5" i="9"/>
  <c r="N6" i="9"/>
  <c r="N7" i="9"/>
  <c r="N3" i="9"/>
  <c r="T100" i="15" l="1"/>
  <c r="F22" i="2"/>
  <c r="F21" i="2"/>
  <c r="F20" i="2"/>
  <c r="F23" i="2" s="1"/>
  <c r="F17" i="2"/>
  <c r="F16" i="2"/>
  <c r="F15" i="2"/>
  <c r="F14" i="2"/>
  <c r="F12" i="2"/>
  <c r="F11" i="2"/>
  <c r="F10" i="2"/>
  <c r="F9" i="2"/>
  <c r="F7" i="2"/>
  <c r="F6" i="2"/>
  <c r="F5" i="2"/>
  <c r="F4" i="2"/>
  <c r="U100" i="15" l="1"/>
  <c r="V100" i="15"/>
  <c r="F8" i="2"/>
  <c r="F18" i="2"/>
  <c r="F13" i="2"/>
  <c r="D13" i="2"/>
  <c r="D18" i="2"/>
  <c r="D23" i="2"/>
  <c r="D8" i="2"/>
  <c r="G10" i="2" l="1"/>
  <c r="G9" i="2"/>
  <c r="G11" i="2"/>
  <c r="G12" i="2"/>
  <c r="G15" i="2"/>
  <c r="G16" i="2"/>
  <c r="G14" i="2"/>
  <c r="G17" i="2"/>
  <c r="D24" i="2"/>
  <c r="G32" i="2" s="1"/>
  <c r="G28" i="2" s="1"/>
  <c r="G6" i="2"/>
  <c r="G7" i="2"/>
  <c r="G5" i="2"/>
  <c r="G4" i="2"/>
  <c r="F24" i="2"/>
  <c r="H32" i="2" s="1"/>
  <c r="B25" i="1"/>
  <c r="B27" i="1" s="1"/>
  <c r="B28" i="1" s="1"/>
  <c r="B20" i="1"/>
  <c r="B22" i="1" s="1"/>
  <c r="B23" i="1" s="1"/>
  <c r="B13" i="1"/>
  <c r="B15" i="1" s="1"/>
  <c r="B16" i="1" s="1"/>
  <c r="B7" i="1"/>
  <c r="F6" i="1"/>
  <c r="F5" i="1"/>
  <c r="B34" i="1" l="1"/>
  <c r="H31" i="2"/>
  <c r="H30" i="2"/>
  <c r="H29" i="2"/>
  <c r="H28" i="2"/>
  <c r="G30" i="2"/>
  <c r="G31" i="2"/>
  <c r="G29" i="2"/>
  <c r="F14" i="1"/>
  <c r="B17" i="1"/>
  <c r="B24" i="1"/>
  <c r="F22" i="1" s="1"/>
  <c r="F21" i="1"/>
  <c r="F26" i="1"/>
  <c r="B29" i="1"/>
  <c r="B30" i="1" s="1"/>
  <c r="I23" i="1" l="1"/>
  <c r="F23" i="1"/>
  <c r="F28" i="1"/>
  <c r="F27" i="1"/>
  <c r="G23" i="1"/>
  <c r="H23" i="1"/>
  <c r="F15" i="1"/>
  <c r="B18" i="1"/>
  <c r="B19" i="1" s="1"/>
  <c r="H29" i="1"/>
  <c r="F29" i="1" l="1"/>
  <c r="G29" i="1"/>
  <c r="I29" i="1"/>
  <c r="F17" i="1"/>
  <c r="F16" i="1"/>
  <c r="I18" i="1"/>
  <c r="G18" i="1"/>
  <c r="H18" i="1"/>
  <c r="H33" i="1" s="1"/>
  <c r="H34" i="1" s="1"/>
  <c r="H35" i="1" s="1"/>
  <c r="G33" i="1" l="1"/>
  <c r="G34" i="1" s="1"/>
  <c r="G35" i="1" s="1"/>
  <c r="I33" i="1"/>
  <c r="I34" i="1" s="1"/>
  <c r="I35" i="1" s="1"/>
  <c r="F18" i="1"/>
  <c r="M36" i="15"/>
  <c r="N36" i="15" s="1"/>
  <c r="N43" i="15" s="1"/>
  <c r="L43" i="15"/>
  <c r="F6" i="15" s="1"/>
  <c r="F8" i="15" l="1"/>
  <c r="V36" i="15"/>
  <c r="V43" i="15" s="1"/>
  <c r="M43" i="15"/>
  <c r="G6" i="15" s="1"/>
  <c r="P6" i="15" s="1"/>
  <c r="I8" i="15"/>
  <c r="H6" i="15"/>
  <c r="H8" i="15" s="1"/>
  <c r="G8" i="15" l="1"/>
  <c r="O8" i="15"/>
  <c r="P7" i="15"/>
  <c r="P8" i="15" s="1"/>
  <c r="AE8" i="15"/>
  <c r="AE10" i="15" s="1"/>
  <c r="AD10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tc={70A22A6A-C37F-4313-9440-5CF5F2459903}</author>
    <author>tc={0B3B3709-BE26-4D01-A816-CB940A1A57AE}</author>
  </authors>
  <commentList>
    <comment ref="E3" authorId="0" shapeId="0" xr:uid="{70A22A6A-C37F-4313-9440-5CF5F24599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Monto de contrato</t>
      </text>
    </comment>
    <comment ref="F3" authorId="1" shapeId="0" xr:uid="{0B3B3709-BE26-4D01-A816-CB940A1A57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Monto facturado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tc={D612B839-71CD-41DD-A797-0E3D4C84B924}</author>
    <author>tc={84523BFE-14F8-4E82-8899-05A383EF0052}</author>
  </authors>
  <commentList>
    <comment ref="V2" authorId="0" shapeId="0" xr:uid="{D612B839-71CD-41DD-A797-0E3D4C84B924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Propuesta
</t>
      </text>
    </comment>
    <comment ref="Y2" authorId="1" shapeId="0" xr:uid="{84523BFE-14F8-4E82-8899-05A383EF005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Esto agrupar</t>
      </text>
    </comment>
  </commentList>
</comments>
</file>

<file path=xl/sharedStrings.xml><?xml version="1.0" encoding="utf-8"?>
<sst xmlns="http://schemas.openxmlformats.org/spreadsheetml/2006/main" count="3195" uniqueCount="804">
  <si>
    <t>Peru</t>
  </si>
  <si>
    <t>Descripción</t>
  </si>
  <si>
    <t>Input</t>
  </si>
  <si>
    <t>Unidad</t>
  </si>
  <si>
    <t>Venta Esperada</t>
  </si>
  <si>
    <t>M$</t>
  </si>
  <si>
    <t>Vacaciones</t>
  </si>
  <si>
    <t>Valor de venta medio</t>
  </si>
  <si>
    <t>Feriados</t>
  </si>
  <si>
    <t>Venta Spot</t>
  </si>
  <si>
    <t>%</t>
  </si>
  <si>
    <t>Días hábiles</t>
  </si>
  <si>
    <t>Reventa</t>
  </si>
  <si>
    <t>Días efectivos</t>
  </si>
  <si>
    <t>Búsqueda de Nuevas oportunidades</t>
  </si>
  <si>
    <t>Iniciativas-Solicitud de ppta</t>
  </si>
  <si>
    <t>Cantidad</t>
  </si>
  <si>
    <t>Presentación formal de REDCO o idea</t>
  </si>
  <si>
    <t>Contacto inicial</t>
  </si>
  <si>
    <t>Indicadores de seguimiento</t>
  </si>
  <si>
    <t>Tiempo requerido (horas)</t>
  </si>
  <si>
    <t>Total HH</t>
  </si>
  <si>
    <t>GC</t>
  </si>
  <si>
    <t>C/GI</t>
  </si>
  <si>
    <t>DD</t>
  </si>
  <si>
    <t>Propuestas Adjudicadas (%)</t>
  </si>
  <si>
    <t>Propuesta Construidas</t>
  </si>
  <si>
    <t>Contacto inicial (café/llamada)</t>
  </si>
  <si>
    <t>Construcción propuesta + Ajuste</t>
  </si>
  <si>
    <t>Presentación formal de propuesta</t>
  </si>
  <si>
    <t>Construcción propuesta</t>
  </si>
  <si>
    <t>Presentación formal de idea</t>
  </si>
  <si>
    <t>Ajuste propuesta</t>
  </si>
  <si>
    <t>Total Tiempo</t>
  </si>
  <si>
    <t>Total</t>
  </si>
  <si>
    <t>Horas</t>
  </si>
  <si>
    <t>Días</t>
  </si>
  <si>
    <t>% Ocupación</t>
  </si>
  <si>
    <t>Pipeline 2025</t>
  </si>
  <si>
    <t>País</t>
  </si>
  <si>
    <t>Tipo cliente</t>
  </si>
  <si>
    <t>Monto</t>
  </si>
  <si>
    <t>Tasa de adjudicación (%)</t>
  </si>
  <si>
    <t>Monto esperado</t>
  </si>
  <si>
    <t>Venta 2023 [US$]</t>
  </si>
  <si>
    <t>Venta 2024 [US$]</t>
  </si>
  <si>
    <t>Promedio Venta 2023 [US$]</t>
  </si>
  <si>
    <t>Promedio Venta 2024 [US$]</t>
  </si>
  <si>
    <t>% Adjudicación (2024)</t>
  </si>
  <si>
    <t>Chile</t>
  </si>
  <si>
    <t>Premium</t>
  </si>
  <si>
    <t>Brasil</t>
  </si>
  <si>
    <t>Regular</t>
  </si>
  <si>
    <t>Target</t>
  </si>
  <si>
    <t>EEUU</t>
  </si>
  <si>
    <t>Leads</t>
  </si>
  <si>
    <t>Perú</t>
  </si>
  <si>
    <t>-</t>
  </si>
  <si>
    <t>Total general</t>
  </si>
  <si>
    <t>ID</t>
  </si>
  <si>
    <t>Tipo de cliente</t>
  </si>
  <si>
    <t>Tipo Cliente</t>
  </si>
  <si>
    <t>Clientes con/sin registros a los cuales REDCO le gustaria posicionarse como cliente Premium</t>
  </si>
  <si>
    <t>Tipo Ciente</t>
  </si>
  <si>
    <t>Empresa</t>
  </si>
  <si>
    <t>Mina</t>
  </si>
  <si>
    <t>Descripcion Oportunidad</t>
  </si>
  <si>
    <t>Monto (USD)</t>
  </si>
  <si>
    <t>Lundin</t>
  </si>
  <si>
    <t>Candelaria</t>
  </si>
  <si>
    <t>Caserones</t>
  </si>
  <si>
    <t>Capstone Copper</t>
  </si>
  <si>
    <t>Sierra Norte</t>
  </si>
  <si>
    <t>Codelco</t>
  </si>
  <si>
    <t>DCH</t>
  </si>
  <si>
    <t xml:space="preserve">Analisis oportunidades de recuperación de reservas colapsadas </t>
  </si>
  <si>
    <t>DRT</t>
  </si>
  <si>
    <t>DET</t>
  </si>
  <si>
    <t>Implementación de SIMPREP</t>
  </si>
  <si>
    <t>GRM</t>
  </si>
  <si>
    <t>Revisiones independientes</t>
  </si>
  <si>
    <t>CMP</t>
  </si>
  <si>
    <t>Romeral</t>
  </si>
  <si>
    <t>Corporativo</t>
  </si>
  <si>
    <t>RDP: Mejoramiento del proceso y Upgrade con FEL 2A (con opciones + Thiele)</t>
  </si>
  <si>
    <t>CNN</t>
  </si>
  <si>
    <t>Estudio FEL 2B</t>
  </si>
  <si>
    <t>Apoyo permisos</t>
  </si>
  <si>
    <t>Estudio FEL 3</t>
  </si>
  <si>
    <t>FEL 1 o FEL 2A formal</t>
  </si>
  <si>
    <t>Algarrobo</t>
  </si>
  <si>
    <t>Estudio conceptual UG - SLS + túnel + opc. OP</t>
  </si>
  <si>
    <t>Asistencia técnica Implementación Proyecto (ingeniería, permisos sectoriales)</t>
  </si>
  <si>
    <t>FEL 2A UG - SLS</t>
  </si>
  <si>
    <t>MLC</t>
  </si>
  <si>
    <t>Estudio FEL 2 B</t>
  </si>
  <si>
    <t>Implementación del estándar de planificación</t>
  </si>
  <si>
    <t>AMSA</t>
  </si>
  <si>
    <t>Centinela</t>
  </si>
  <si>
    <t>Pelambres</t>
  </si>
  <si>
    <t>Glencore</t>
  </si>
  <si>
    <t>Lomas Bayas</t>
  </si>
  <si>
    <t>MCI</t>
  </si>
  <si>
    <t>Los Bronces</t>
  </si>
  <si>
    <t>Los Bronces Mine Plan Review</t>
  </si>
  <si>
    <t>Collahuasi</t>
  </si>
  <si>
    <t>BHP</t>
  </si>
  <si>
    <t>Escondida</t>
  </si>
  <si>
    <t>Spence</t>
  </si>
  <si>
    <t>MARA</t>
  </si>
  <si>
    <t>Anglo American</t>
  </si>
  <si>
    <t>CAP</t>
  </si>
  <si>
    <t>CEMIN</t>
  </si>
  <si>
    <t>Pan American Silver</t>
  </si>
  <si>
    <t>Florida</t>
  </si>
  <si>
    <t>EL Peñon</t>
  </si>
  <si>
    <t>Tesoro Resources Limited</t>
  </si>
  <si>
    <t>PuCobre</t>
  </si>
  <si>
    <t>Punta del Cobre</t>
  </si>
  <si>
    <t>Tovaku</t>
  </si>
  <si>
    <t>El Espino</t>
  </si>
  <si>
    <t>Fuerte Metals</t>
  </si>
  <si>
    <t>Placeton</t>
  </si>
  <si>
    <t>El Cofre</t>
  </si>
  <si>
    <t>Freeport-McMoRan Inc.</t>
  </si>
  <si>
    <t>El Abra</t>
  </si>
  <si>
    <t>Sierra Gorda</t>
  </si>
  <si>
    <t>San geronimo</t>
  </si>
  <si>
    <t>Norte Abierto SpA</t>
  </si>
  <si>
    <t>Pampa Camarones SpA</t>
  </si>
  <si>
    <t>Teck</t>
  </si>
  <si>
    <t xml:space="preserve"> Quebrada Blanca</t>
  </si>
  <si>
    <t>Santiago Metals Limitada</t>
  </si>
  <si>
    <t>Delirio</t>
  </si>
  <si>
    <t>PUQUIOS</t>
  </si>
  <si>
    <t>Minsur S.A.</t>
  </si>
  <si>
    <t>San Rafael</t>
  </si>
  <si>
    <t>Apoyo transversal a la planificación: Forecast, Budget, LOM</t>
  </si>
  <si>
    <t>Proyectización e integración de zonas potenciales</t>
  </si>
  <si>
    <t>Estandarización de procesos de control, cumplimiento y reconciliación</t>
  </si>
  <si>
    <t>Compañía Minera Raura S.A.</t>
  </si>
  <si>
    <t>Raura</t>
  </si>
  <si>
    <t>Oportunidades Budget 2025</t>
  </si>
  <si>
    <t>Compilación R&amp;R</t>
  </si>
  <si>
    <t>Hochschild Mining (Peru) S.A.</t>
  </si>
  <si>
    <t>Inmaculada</t>
  </si>
  <si>
    <t>Estudio geomecánico y trade off de métodos de explotación</t>
  </si>
  <si>
    <t xml:space="preserve">Compañía de Minas Buenaventura </t>
  </si>
  <si>
    <t>Análisis de confiabilidad de planes</t>
  </si>
  <si>
    <t>Gold Fields</t>
  </si>
  <si>
    <t>Cerro Corona</t>
  </si>
  <si>
    <t>Implementación de un sistema de mapeo estructural automatizado</t>
  </si>
  <si>
    <t>Asesoría Técnica para la Identificación de Oportunidades de Mejora para Incremento de Producción Mina</t>
  </si>
  <si>
    <t>Coripuno</t>
  </si>
  <si>
    <t>Torremani</t>
  </si>
  <si>
    <t>Actualización de métodos de minado Torremani (Etapa II)</t>
  </si>
  <si>
    <t>Coroccohuayco</t>
  </si>
  <si>
    <t>Estudios Mineros para la PFS</t>
  </si>
  <si>
    <t>Hudbay Perú S.A.C</t>
  </si>
  <si>
    <t>Constancia</t>
  </si>
  <si>
    <t>Estudio de Factibilidad del WRF y Tajo Constancia para la 4ta MEIA</t>
  </si>
  <si>
    <t>Las Bambas</t>
  </si>
  <si>
    <t>Ferrobamba</t>
  </si>
  <si>
    <t>Ferrobamba UG (PFS)</t>
  </si>
  <si>
    <t>Sierra metals</t>
  </si>
  <si>
    <t>Yauricocha</t>
  </si>
  <si>
    <t>Desarrollo de Reservas</t>
  </si>
  <si>
    <t>Bolivar</t>
  </si>
  <si>
    <t>Volcan Compañía Minera S.A.A.</t>
  </si>
  <si>
    <t>Todas</t>
  </si>
  <si>
    <t>Estudio de Validación de R&amp;R</t>
  </si>
  <si>
    <t>Romina</t>
  </si>
  <si>
    <t>Servicio de apoyo para presentación a la autoridad de ROMINA actualizado</t>
  </si>
  <si>
    <t>Cerro de Pasco</t>
  </si>
  <si>
    <t>Estudio de estabilidad del rajo Cerro de Pasco</t>
  </si>
  <si>
    <t>Chungar</t>
  </si>
  <si>
    <t>Estudio Conceptual/PFS Proyecto Esperanza</t>
  </si>
  <si>
    <t>Miski Mayo</t>
  </si>
  <si>
    <t>Tantahuatay</t>
  </si>
  <si>
    <t>Compañía Minera Condestable S.A</t>
  </si>
  <si>
    <t>Pan American Dolores</t>
  </si>
  <si>
    <t>Hochschild Mining plc</t>
  </si>
  <si>
    <t>Alpayana</t>
  </si>
  <si>
    <t>Pan American Silver Corp.</t>
  </si>
  <si>
    <t>Vulco Perú S.A.</t>
  </si>
  <si>
    <t>Minera Yanacocha S.R.L.</t>
  </si>
  <si>
    <t>Southern Peru Copper</t>
  </si>
  <si>
    <t>Anglo American Quellaveco S.A.</t>
  </si>
  <si>
    <t>Barrick Latam</t>
  </si>
  <si>
    <t>Compañía Minera Zafranal S.A.C.</t>
  </si>
  <si>
    <t xml:space="preserve">Gold Fields La Cima cerro coro </t>
  </si>
  <si>
    <t>Marcobre S.A.C.</t>
  </si>
  <si>
    <t>Minera Aurifera Retamas S.A.</t>
  </si>
  <si>
    <t>Minera Bateas S.A.C.</t>
  </si>
  <si>
    <t>Chinalco</t>
  </si>
  <si>
    <t>Compañía Minera Antapaccay S.A.</t>
  </si>
  <si>
    <t>Minera Las Bambas S.A.C.</t>
  </si>
  <si>
    <t>Cori Puno S.R.L.</t>
  </si>
  <si>
    <t>Nexa Resources Perú S.A.A.</t>
  </si>
  <si>
    <t>Sociedad Minera Cerro Verde S.A</t>
  </si>
  <si>
    <t>Minera de Cobre Quebradona S.A.</t>
  </si>
  <si>
    <t>Minera Boroo Misquichilca</t>
  </si>
  <si>
    <t>Mosaic</t>
  </si>
  <si>
    <t xml:space="preserve">Cajati </t>
  </si>
  <si>
    <t>Cajati P2</t>
  </si>
  <si>
    <t>Cajati</t>
  </si>
  <si>
    <t>Mosaic CTV 5Y Plan + Fase II</t>
  </si>
  <si>
    <t>Aura Minerals</t>
  </si>
  <si>
    <t>Fase 1</t>
  </si>
  <si>
    <t>Fase 2</t>
  </si>
  <si>
    <t>Lhg</t>
  </si>
  <si>
    <t>Mina Urucum</t>
  </si>
  <si>
    <t xml:space="preserve"> Remoción Pilares y Secuecia Operativa</t>
  </si>
  <si>
    <t>Vale</t>
  </si>
  <si>
    <t>Proyectos Subeterraneaos</t>
  </si>
  <si>
    <t>IQS</t>
  </si>
  <si>
    <t>EuroChen</t>
  </si>
  <si>
    <t>Alcoa</t>
  </si>
  <si>
    <t>AngloGold Ashanti</t>
  </si>
  <si>
    <t>gerente sumintro y planeamienot mina</t>
  </si>
  <si>
    <t>Samarco</t>
  </si>
  <si>
    <t>Geotecnica y planeamiento</t>
  </si>
  <si>
    <t>gerente de geotecnica</t>
  </si>
  <si>
    <t>Nexa</t>
  </si>
  <si>
    <t>Aripuna</t>
  </si>
  <si>
    <t>Hochschild Mining plc Mara Rosa</t>
  </si>
  <si>
    <t>CBMM</t>
  </si>
  <si>
    <t>CSN</t>
  </si>
  <si>
    <t>Eurochem</t>
  </si>
  <si>
    <t>Erro Copper</t>
  </si>
  <si>
    <t>Gerdau</t>
  </si>
  <si>
    <t>BHP/OZ</t>
  </si>
  <si>
    <t>Arcelor-Mittal</t>
  </si>
  <si>
    <t>Atlantic Nickel</t>
  </si>
  <si>
    <t>Rio Tinto</t>
  </si>
  <si>
    <t>Equinox Gold</t>
  </si>
  <si>
    <t>Horizonte Minerals</t>
  </si>
  <si>
    <t>Usiminas</t>
  </si>
  <si>
    <t>Extrativa Mineral Cedro</t>
  </si>
  <si>
    <t>Mineração Taboca</t>
  </si>
  <si>
    <t xml:space="preserve">CBA </t>
  </si>
  <si>
    <t>Salobo Metais</t>
  </si>
  <si>
    <t>Mineração Maracá</t>
  </si>
  <si>
    <t>Hydro Paragominas</t>
  </si>
  <si>
    <t>Vallourec</t>
  </si>
  <si>
    <t>Votorantim Cimentos</t>
  </si>
  <si>
    <t>Itaminas</t>
  </si>
  <si>
    <t>CEFAR (Morro do Ipê)</t>
  </si>
  <si>
    <t>CMOC</t>
  </si>
  <si>
    <t>CONEMP Herculano</t>
  </si>
  <si>
    <t>Gerdau Açominas</t>
  </si>
  <si>
    <t>Mineração Vale Verde</t>
  </si>
  <si>
    <t>Imerys</t>
  </si>
  <si>
    <t>White Solder</t>
  </si>
  <si>
    <t>Mineração Serras do Oeste</t>
  </si>
  <si>
    <t xml:space="preserve">SAMA </t>
  </si>
  <si>
    <t>Mineração Apoena</t>
  </si>
  <si>
    <t>Minerita</t>
  </si>
  <si>
    <t>J Mendes Mineração</t>
  </si>
  <si>
    <t>AVB Mineração</t>
  </si>
  <si>
    <t>Mina Tucano</t>
  </si>
  <si>
    <t>Nacional de Grafite</t>
  </si>
  <si>
    <t xml:space="preserve">Copelmi </t>
  </si>
  <si>
    <t>Minetração Belocal</t>
  </si>
  <si>
    <t>CBL Cia. Brasileira de Lítio</t>
  </si>
  <si>
    <t>SAFM</t>
  </si>
  <si>
    <t>Mineração Riacho dos Machados</t>
  </si>
  <si>
    <t>Bamin Bahia Mineração</t>
  </si>
  <si>
    <t>Bemisa</t>
  </si>
  <si>
    <t>Largo Vanádio de Maracás</t>
  </si>
  <si>
    <t xml:space="preserve">Carbonífera Metropolitana </t>
  </si>
  <si>
    <t>RHI Magnesita</t>
  </si>
  <si>
    <t>Salinas Gold</t>
  </si>
  <si>
    <t>Xilotite</t>
  </si>
  <si>
    <t>Mineração Serra da Moeda</t>
  </si>
  <si>
    <t>Mineração Morro Verde</t>
  </si>
  <si>
    <t>CRM Companhia Riograndense de Mineração</t>
  </si>
  <si>
    <t>Casa Verde Holding Ltda - Morro Agudo</t>
  </si>
  <si>
    <t>Sigma Lithium</t>
  </si>
  <si>
    <t>Lithium Ionic</t>
  </si>
  <si>
    <t>Viridis Mining</t>
  </si>
  <si>
    <t>Appia Rare Earths &amp; Uranium Corp</t>
  </si>
  <si>
    <t>Harvest Minerals Limited Projeto Arapuá</t>
  </si>
  <si>
    <t>Lara Exploration Ltd</t>
  </si>
  <si>
    <t>Serabi Gold Complexo Palito</t>
  </si>
  <si>
    <t>DEV Mineração Projeto Ferro Amapá</t>
  </si>
  <si>
    <t xml:space="preserve">Mineração Martins Lanna </t>
  </si>
  <si>
    <t>Kinrross</t>
  </si>
  <si>
    <t>Monto 2025 USD</t>
  </si>
  <si>
    <t>Contrato</t>
  </si>
  <si>
    <t>Propuesta</t>
  </si>
  <si>
    <t>Cant Pptas Nuevas</t>
  </si>
  <si>
    <t>Twin Metals Minnesota</t>
  </si>
  <si>
    <t xml:space="preserve">Birch Lake - Maturi </t>
  </si>
  <si>
    <t>Pre-Prefactibilidad Birch Lake + Tunnel acceso a Maturi</t>
  </si>
  <si>
    <t>Vigente</t>
  </si>
  <si>
    <t>NA</t>
  </si>
  <si>
    <t>Prefactibilidad para el conjunto Birch Lake - Maturi</t>
  </si>
  <si>
    <t>Nuevo</t>
  </si>
  <si>
    <t>Nueva</t>
  </si>
  <si>
    <t>EMX Royalty</t>
  </si>
  <si>
    <t>Technical support for royalty acquisition</t>
  </si>
  <si>
    <t>Ivanhoe Electric</t>
  </si>
  <si>
    <t>Santa Cruz</t>
  </si>
  <si>
    <t>FS Santa Cruz Project UG - Revision Técnica</t>
  </si>
  <si>
    <t>Highland Copper</t>
  </si>
  <si>
    <t>Copperwood</t>
  </si>
  <si>
    <t>FS + Detail Engineering</t>
  </si>
  <si>
    <t>Resolution</t>
  </si>
  <si>
    <t>Caso Base Resolution: diseño , planes, evalaucion</t>
  </si>
  <si>
    <t>Estudios - Diseños - Planes</t>
  </si>
  <si>
    <t>Antamina</t>
  </si>
  <si>
    <t>CU South Australia</t>
  </si>
  <si>
    <t>PTFI</t>
  </si>
  <si>
    <t>SIMPREP</t>
  </si>
  <si>
    <t>Planificación - Diseño</t>
  </si>
  <si>
    <t>Newmont Mining</t>
  </si>
  <si>
    <t>Anglo Gold Ashanti</t>
  </si>
  <si>
    <t>South 32</t>
  </si>
  <si>
    <t>Barrick</t>
  </si>
  <si>
    <t>Eagle</t>
  </si>
  <si>
    <t>Kinross</t>
  </si>
  <si>
    <t>Cleveland-Cliffs</t>
  </si>
  <si>
    <t>Endeavour Silver Corp.</t>
  </si>
  <si>
    <t>Calibre Mining Corp.</t>
  </si>
  <si>
    <t>FMC Corporation</t>
  </si>
  <si>
    <t>Peabody Energy</t>
  </si>
  <si>
    <t>Southern Copper</t>
  </si>
  <si>
    <t>Midas Gold Corp.</t>
  </si>
  <si>
    <t>Hecla Mining Company</t>
  </si>
  <si>
    <t>Royal Gold</t>
  </si>
  <si>
    <t>Albemarle</t>
  </si>
  <si>
    <t>Alacer Gold</t>
  </si>
  <si>
    <t>Agnico-Eagle Mines Limited</t>
  </si>
  <si>
    <t>Compass minerals international inc</t>
  </si>
  <si>
    <t>Coeur mining</t>
  </si>
  <si>
    <t>Hecla mining</t>
  </si>
  <si>
    <t>Tipo</t>
  </si>
  <si>
    <t>Tipo de 
Mineria</t>
  </si>
  <si>
    <t>Tipo de Contrato</t>
  </si>
  <si>
    <t>Duracion (meses)</t>
  </si>
  <si>
    <t>PV</t>
  </si>
  <si>
    <t>UG</t>
  </si>
  <si>
    <t>Solicitud Directa</t>
  </si>
  <si>
    <t>ER</t>
  </si>
  <si>
    <t>OP</t>
  </si>
  <si>
    <t>AS</t>
  </si>
  <si>
    <t>OP/UG</t>
  </si>
  <si>
    <t>FR</t>
  </si>
  <si>
    <t>MF</t>
  </si>
  <si>
    <t>MM</t>
  </si>
  <si>
    <t>RM</t>
  </si>
  <si>
    <t>Minsur</t>
  </si>
  <si>
    <t>CH</t>
  </si>
  <si>
    <t>Licitación</t>
  </si>
  <si>
    <t>PA</t>
  </si>
  <si>
    <t>No Adjudicada</t>
  </si>
  <si>
    <t>McCarthy Abogados</t>
  </si>
  <si>
    <t>Estrategia no Adecuada</t>
  </si>
  <si>
    <t>Costos muy altos</t>
  </si>
  <si>
    <t>Alcance ineficiente</t>
  </si>
  <si>
    <t>Anulación de licitación</t>
  </si>
  <si>
    <t>Volcan</t>
  </si>
  <si>
    <t>Guarelo</t>
  </si>
  <si>
    <t>DMH</t>
  </si>
  <si>
    <t>Sierra Metals</t>
  </si>
  <si>
    <t>OCP</t>
  </si>
  <si>
    <t>Cobriza</t>
  </si>
  <si>
    <t>Diagnostico operaciónal y construcción de planes alternativos (Blue Sky y potencial)</t>
  </si>
  <si>
    <t>CTV</t>
  </si>
  <si>
    <t>PFS Ferrobamba Deep</t>
  </si>
  <si>
    <t xml:space="preserve">Plan de Estabilización Operacional y Definición de habilitadores para el Crecimiento de Candelaria UG </t>
  </si>
  <si>
    <t>Gongo Soco</t>
  </si>
  <si>
    <t>Estudio Conceptual</t>
  </si>
  <si>
    <t>Evaluación caso de negocio explotación SLS</t>
  </si>
  <si>
    <t>Oyu Tolgoi</t>
  </si>
  <si>
    <t>Soporte caso de litigio Rio Tinto vs Gobierno Mongolia</t>
  </si>
  <si>
    <t>Servicio IQS para nueve assets</t>
  </si>
  <si>
    <t>Alio Gold</t>
  </si>
  <si>
    <t>Technical Expert Support of the plaintiff’s allegation to Alio Gold Inc</t>
  </si>
  <si>
    <t>Preparación IV MEIA San German</t>
  </si>
  <si>
    <t>Revisión de validación reportes R&amp;R (15 assets)</t>
  </si>
  <si>
    <t>BPH</t>
  </si>
  <si>
    <t>Cerro Colorado</t>
  </si>
  <si>
    <t>Ing de factibilidad: Diseño de botaderos</t>
  </si>
  <si>
    <t>Ing. Pre factibilidad perforación DHH</t>
  </si>
  <si>
    <t xml:space="preserve">Sistema Integrado de Gestión de Riesgos Geotécnicos </t>
  </si>
  <si>
    <t>Ing Basica MHD UG</t>
  </si>
  <si>
    <t>Gestor Comercial</t>
  </si>
  <si>
    <t>Estudios de ing. de minas</t>
  </si>
  <si>
    <t>Planificación estratégica</t>
  </si>
  <si>
    <t>Simulación de sistemas mineros</t>
  </si>
  <si>
    <t>Mecánica de rocas</t>
  </si>
  <si>
    <t>Consultoría minera</t>
  </si>
  <si>
    <t>EL</t>
  </si>
  <si>
    <t>Información Iniciativas</t>
  </si>
  <si>
    <t>Evaluación de Riesgo</t>
  </si>
  <si>
    <t>USD/mes</t>
  </si>
  <si>
    <t>Café/Llamada</t>
  </si>
  <si>
    <t>Presentación REDCO</t>
  </si>
  <si>
    <t>Presentación Ad-hoc</t>
  </si>
  <si>
    <t>Solicitud Propuesta</t>
  </si>
  <si>
    <t>Construcción PPT</t>
  </si>
  <si>
    <t>Presentación Presencial</t>
  </si>
  <si>
    <t>Construcción Word</t>
  </si>
  <si>
    <t>Propuesta Enviada</t>
  </si>
  <si>
    <t>Seguimiento</t>
  </si>
  <si>
    <t>Status de las Iniciativas</t>
  </si>
  <si>
    <t>Estado</t>
  </si>
  <si>
    <t>Motivo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</si>
  <si>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</si>
  <si>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</si>
  <si>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</si>
  <si>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</si>
  <si>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</si>
  <si>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</si>
  <si>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</si>
  <si>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</si>
  <si>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</si>
  <si>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Comentarios Seguimiento</t>
  </si>
  <si>
    <t>Otros</t>
  </si>
  <si>
    <t>N/A</t>
  </si>
  <si>
    <t>Coordinar reunión con cliente</t>
  </si>
  <si>
    <t>Riesgo</t>
  </si>
  <si>
    <t>Valor Final</t>
  </si>
  <si>
    <t>GC/CM</t>
  </si>
  <si>
    <t>Pipeline</t>
  </si>
  <si>
    <t>V. Esperada</t>
  </si>
  <si>
    <t>Cliente con historial de trabajo previo, con baja relevancia para la estrategia de REDCO</t>
  </si>
  <si>
    <t>Cliente cercano,de confianza responsable de mayor % de venta del país</t>
  </si>
  <si>
    <t>Nuevos clientes/oportunidades</t>
  </si>
  <si>
    <t>Fecha de Inicio</t>
  </si>
  <si>
    <t>Duración</t>
  </si>
  <si>
    <t>Contacto clave</t>
  </si>
  <si>
    <t>Correo</t>
  </si>
  <si>
    <t>Cargo</t>
  </si>
  <si>
    <t>Telefono</t>
  </si>
  <si>
    <t>Fecha de contacto</t>
  </si>
  <si>
    <t>Rodrigo Quiroz</t>
  </si>
  <si>
    <t>Sebastian Pizarro</t>
  </si>
  <si>
    <t>Patricio Miranda</t>
  </si>
  <si>
    <t>Enrique tomo contacto con gerente Felipe Hidalgo</t>
  </si>
  <si>
    <t>Metodologia para establecer escenarios productivos de corto plazo (Incoporar SIMPLAN en proceso de planificación o Simprep OP)</t>
  </si>
  <si>
    <t>Actualización de estandares y procedimientos de planificación, balances, muestreo, etc  (replicar estudios realizados para otras operaciones)</t>
  </si>
  <si>
    <t>A la espera de licitación en la cual nos tienen contemplados</t>
  </si>
  <si>
    <t>Fernando Marambio</t>
  </si>
  <si>
    <t>A la espera de cerrar el estudio actual para avanzar con la etapa 2 (profundización)</t>
  </si>
  <si>
    <t>Comentarios</t>
  </si>
  <si>
    <t>Ximena Policroni Galvez</t>
  </si>
  <si>
    <t>CC</t>
  </si>
  <si>
    <t>Juan Cristobal Videla</t>
  </si>
  <si>
    <t xml:space="preserve">Estudios de oportunidad en planes OP (alargar vida del rajo, recuepeación de stocks  y  los botaderos, zonas de contacto entre ambos rajos) </t>
  </si>
  <si>
    <t>Analisis de oportunidades del plan minero, generar coberturas debido a atrasos en proyectos</t>
  </si>
  <si>
    <t>Felipe Hidalgo</t>
  </si>
  <si>
    <t>Evaluar la mejor estrategia de implementar esto (tanto para DCH y DET)</t>
  </si>
  <si>
    <t>Juan San Martin</t>
  </si>
  <si>
    <t>Distrito Norte</t>
  </si>
  <si>
    <t>XXXXXX</t>
  </si>
  <si>
    <t>Jose Miguel Castro</t>
  </si>
  <si>
    <t>CC, MM</t>
  </si>
  <si>
    <t>Eduardo Viera</t>
  </si>
  <si>
    <t>Octavio Cardenas</t>
  </si>
  <si>
    <t>Status</t>
  </si>
  <si>
    <t>Ricardo Miranda</t>
  </si>
  <si>
    <t>Alex Figueroa</t>
  </si>
  <si>
    <t>Gonzalo Diaz</t>
  </si>
  <si>
    <t>Patricio Vergara</t>
  </si>
  <si>
    <t>AA</t>
  </si>
  <si>
    <t>CA</t>
  </si>
  <si>
    <t>Cierre y Negociación</t>
  </si>
  <si>
    <t>ODS</t>
  </si>
  <si>
    <t>Contacto Inicial / Enganche</t>
  </si>
  <si>
    <t>Semana 1</t>
  </si>
  <si>
    <t>Semana 2</t>
  </si>
  <si>
    <t>Semana 3</t>
  </si>
  <si>
    <t>Construcción Propuesta</t>
  </si>
  <si>
    <t>Busqueda Activa</t>
  </si>
  <si>
    <t>Tipo de Estudio</t>
  </si>
  <si>
    <t>Etapa</t>
  </si>
  <si>
    <t>Contacto Inicial (Enganche)</t>
  </si>
  <si>
    <t>Presentación Ad-Hoc</t>
  </si>
  <si>
    <t>Cierre y Negociacón</t>
  </si>
  <si>
    <t>Ultima Acción Comprometida</t>
  </si>
  <si>
    <t xml:space="preserve">Iniciativa </t>
  </si>
  <si>
    <t>Forma de Venta</t>
  </si>
  <si>
    <t>Motivo de No Adjudicación</t>
  </si>
  <si>
    <t>Ing. de minas</t>
  </si>
  <si>
    <t>Nombre</t>
  </si>
  <si>
    <t>Claudio Hernández</t>
  </si>
  <si>
    <t>Renzo Misari</t>
  </si>
  <si>
    <t>Carolina Arcos</t>
  </si>
  <si>
    <t>Matías Fuentes</t>
  </si>
  <si>
    <t>Felipe Rojas</t>
  </si>
  <si>
    <t>Christian Caviedes</t>
  </si>
  <si>
    <t>Isabela Alves Camisassa</t>
  </si>
  <si>
    <t>Eduardo Lama</t>
  </si>
  <si>
    <t>AF</t>
  </si>
  <si>
    <t>GD</t>
  </si>
  <si>
    <t>Pedro Aguiluz</t>
  </si>
  <si>
    <t>Enrique Rubio</t>
  </si>
  <si>
    <t>Tipo de Mineria</t>
  </si>
  <si>
    <t>Tipo de 
Minería</t>
  </si>
  <si>
    <t>First Quantum</t>
  </si>
  <si>
    <t>Cobre Panama</t>
  </si>
  <si>
    <t>Estudio integral de LOM Mina Guarelo</t>
  </si>
  <si>
    <t>Estudio de productividad</t>
  </si>
  <si>
    <t>Análisis de confiabilidad y detección de cuellos de botella del LoA 25 – Proyecto SCUT</t>
  </si>
  <si>
    <t>Antonio Schettino</t>
  </si>
  <si>
    <t>Contacto Clave</t>
  </si>
  <si>
    <t>Fecha de Envío</t>
  </si>
  <si>
    <t xml:space="preserve">Hochschild Mining </t>
  </si>
  <si>
    <t>Mina Paiol</t>
  </si>
  <si>
    <t>Ingenieria Conceptual avanzada de tunel de exploración</t>
  </si>
  <si>
    <t>PLANO AMBIENTAL DE FECHAMENTO CGM</t>
  </si>
  <si>
    <t>Planificación Corto Plazo para Captura de Valor OP</t>
  </si>
  <si>
    <t>Modulos</t>
  </si>
  <si>
    <t>Jaime Rivera</t>
  </si>
  <si>
    <t>Gerente General Mantos Blancos</t>
  </si>
  <si>
    <t>Capstone Cooper</t>
  </si>
  <si>
    <t>Mantos Blancos</t>
  </si>
  <si>
    <t>Maximiliano Adrove</t>
  </si>
  <si>
    <t>Se envio SOW para validar propuesta</t>
  </si>
  <si>
    <t>A la espera de inicio de ciclos de planificación</t>
  </si>
  <si>
    <t>Contactar inicios de febrero</t>
  </si>
  <si>
    <t>Alan Angles</t>
  </si>
  <si>
    <t>Iniciar iniciativa segundo semestre</t>
  </si>
  <si>
    <t>Javier Latorre</t>
  </si>
  <si>
    <t>Este proyecto pudiera decantar según el trabajo a realizar en SR</t>
  </si>
  <si>
    <t>Contactar inicios de segundo trimestre</t>
  </si>
  <si>
    <t>Pedro Statuet</t>
  </si>
  <si>
    <t>Cliente indica que no requiere nada por ahora</t>
  </si>
  <si>
    <t>Estudios de planificación u otros</t>
  </si>
  <si>
    <t>Auditorias generales Centinela</t>
  </si>
  <si>
    <t>Coordinar con Caviedes una visita a su oficina. Fines de febrero</t>
  </si>
  <si>
    <t>Reunión lunes con Alex y Antonio para definir monto de estudio</t>
  </si>
  <si>
    <t>Optimización LOM de Cajati OP</t>
  </si>
  <si>
    <t>Contactar en Febrero al cliente, para proponer servicio previo al cierre de estudio</t>
  </si>
  <si>
    <t>Proyecto integral: Diseño y planficación del OP</t>
  </si>
  <si>
    <t>Coordinar con RM proximos pasos y seguir conversaciones con cliente</t>
  </si>
  <si>
    <t>Actualización estudio Conceptual Sierra norte + construcción de nuevo modelo</t>
  </si>
  <si>
    <t>Conversar con ER</t>
  </si>
  <si>
    <t>Preparar material y construir ppt ad-hoc</t>
  </si>
  <si>
    <t>Analisis de confiafilidad de plan Forescast + Entrenamiento de usuario</t>
  </si>
  <si>
    <t xml:space="preserve">Proxima semana llamar a Max, post cierre PV. </t>
  </si>
  <si>
    <t>Optimización plan de cierre mina recursos remanentes + stocks</t>
  </si>
  <si>
    <t>Preparar casos de éxito de optimización de stocks+ Raura</t>
  </si>
  <si>
    <t>Frank Mauricio</t>
  </si>
  <si>
    <t>Solicitar una reunión con cliente para conversar sobre el estudio (semana 13-01)</t>
  </si>
  <si>
    <t>Evaluación de cumplimiento de planes de corto plazo</t>
  </si>
  <si>
    <t>Analisis estrategico de opciones</t>
  </si>
  <si>
    <t>Implementación modelo de riesgo para casos LOM (2 operaciones)</t>
  </si>
  <si>
    <t>Profundicación de actualización de NCC31 (con apoyo consultor)</t>
  </si>
  <si>
    <t>Evaluación de oportunidades de optimización integrada Distrito Norte</t>
  </si>
  <si>
    <t>Estudio Crown pillars y metodos de explotación</t>
  </si>
  <si>
    <t>Diseño de sistema de monitoreo</t>
  </si>
  <si>
    <t>Cerro Lindo</t>
  </si>
  <si>
    <t>Orlando Chumpitaz</t>
  </si>
  <si>
    <t>Coordinar reunión presencial en lima  a fin de mes (semana 27) - Llamar semana del (13-01)</t>
  </si>
  <si>
    <t>Edgardo Zamora</t>
  </si>
  <si>
    <t>Llamar a cliente para activar iniciativa (semana 13-01)</t>
  </si>
  <si>
    <t>Contactar a Geomecanico principal para ofrecer servicios geomecanicos con apoyo de EL y gerente mina</t>
  </si>
  <si>
    <t>Richard Ordoñez</t>
  </si>
  <si>
    <t>Retomar contacto con cliente para conseguir una solicitud de propuesta</t>
  </si>
  <si>
    <t>Auditoría de las bases de datos geomecánicas y actualización de modelo geomecánico</t>
  </si>
  <si>
    <t>Definición de criterios de diseño de  caserones SLOS</t>
  </si>
  <si>
    <t>Estudio conceptual LOM con Rellenos</t>
  </si>
  <si>
    <t>Llamar al contacto para proponer un plan de trabajo integrado, para conseguir una presentación del plan (semana 13-01)</t>
  </si>
  <si>
    <t>Roberto Alfaro / Mario Guerrero</t>
  </si>
  <si>
    <t>Llamar para que cliente envie propuesta formal (fue solicitada verbalmente) (semana 13-01)</t>
  </si>
  <si>
    <t>Walter Ramos</t>
  </si>
  <si>
    <t>Diseño de sistema de monitoreo geotecnico online</t>
  </si>
  <si>
    <t>Soporte Romeral, construcción túnel exploratorio</t>
  </si>
  <si>
    <t>Coporativo</t>
  </si>
  <si>
    <t>A la espera de incorporación de cliente clave</t>
  </si>
  <si>
    <t>Etiquetas de columna</t>
  </si>
  <si>
    <t>Etiquetas de fila</t>
  </si>
  <si>
    <t>Apoyo proceso licitación y contratación empresa explotación SLS</t>
  </si>
  <si>
    <t>Construcción escenarios ing conceptual</t>
  </si>
  <si>
    <t xml:space="preserve">LOM estrategico </t>
  </si>
  <si>
    <t>Enero</t>
  </si>
  <si>
    <t>Contactar Pedro Gonzales para ofrecer el servicio post modelo de simulación</t>
  </si>
  <si>
    <t>Ing. Pre factibilidad perforación HHD</t>
  </si>
  <si>
    <t>Implementación Simprep</t>
  </si>
  <si>
    <t>Análisis de Cuellos de Botella 2YB26</t>
  </si>
  <si>
    <t>BL/Northmet Integration mine planning</t>
  </si>
  <si>
    <t>birch Lake - Northmet</t>
  </si>
  <si>
    <t>Suma de Monto (USD)</t>
  </si>
  <si>
    <t>En espera de resultados de REDCO, que se presentara el 31 de marzo para ver continuidad</t>
  </si>
  <si>
    <t>PA Contactara a Jaime Sepulveda a cargo de Guarelo para ver status de la mina y oportunidades de negocio</t>
  </si>
  <si>
    <t>Fernando Galez / Jaime Sepulveda</t>
  </si>
  <si>
    <t>Matias contactara Alex para cierre del estudio, sin embargo por conflico con jefe directo estamos menos agresivo</t>
  </si>
  <si>
    <t>Planificación de largo plazo (LOM) integrada con iniciativas</t>
  </si>
  <si>
    <t>A enviar esta semana</t>
  </si>
  <si>
    <t>Esta semana se toma contacto con Rodrigo Quiroz post reunión final de estudio</t>
  </si>
  <si>
    <t>CC se contacto con Felipe Hidalgo y se reunira con el la proxima semana</t>
  </si>
  <si>
    <t>A la espera de respuesta con cliente para coordinar reunión</t>
  </si>
  <si>
    <t xml:space="preserve"> J San Martin</t>
  </si>
  <si>
    <t>A la espera de avanzar el estudio con DMH para ver otros estudios, CC llamara para empujar inicio estudio DMH</t>
  </si>
  <si>
    <t>Octavio Cardenaz</t>
  </si>
  <si>
    <t>MM converso con cliente y el esta en proceso de digerir la auditoria realizada por REDCO, se contactara el viernes</t>
  </si>
  <si>
    <t>A la espera de post vacaciones, se reactiva en marzo</t>
  </si>
  <si>
    <t>Febrero</t>
  </si>
  <si>
    <t>Marzo</t>
  </si>
  <si>
    <t>Vendido</t>
  </si>
  <si>
    <t xml:space="preserve">Proyección </t>
  </si>
  <si>
    <t>Remanente</t>
  </si>
  <si>
    <t>Error</t>
  </si>
  <si>
    <t>EDP 1</t>
  </si>
  <si>
    <t>EDP 2</t>
  </si>
  <si>
    <t>EDP 3</t>
  </si>
  <si>
    <t>EDP 4</t>
  </si>
  <si>
    <t>EDP 5</t>
  </si>
  <si>
    <t>EDP 6</t>
  </si>
  <si>
    <t>EDP 7</t>
  </si>
  <si>
    <t>EDP 8</t>
  </si>
  <si>
    <t>EDP 9</t>
  </si>
  <si>
    <t>EDP 10</t>
  </si>
  <si>
    <t>EDP 11</t>
  </si>
  <si>
    <t>EDP 12</t>
  </si>
  <si>
    <t>Proyección</t>
  </si>
  <si>
    <t>Tasa de ajuste</t>
  </si>
  <si>
    <t>Feedback de evaluación de parte tecnica, jueves 23</t>
  </si>
  <si>
    <t>Freddy Gomez</t>
  </si>
  <si>
    <t>Verificar porque no paga el cliente</t>
  </si>
  <si>
    <t xml:space="preserve">1.Cliente indica que saldra a licitación estudio de calculo de flota. 2.AS llame a Marilsa con el apoyo de RUI </t>
  </si>
  <si>
    <t>Marilsa</t>
  </si>
  <si>
    <t xml:space="preserve">PFS  tajo Esperanza </t>
  </si>
  <si>
    <t>Contactar a cliente para ser incluido en la licitación</t>
  </si>
  <si>
    <t>Proyección EDP</t>
  </si>
  <si>
    <t>Meta</t>
  </si>
  <si>
    <t>Por Identificar</t>
  </si>
  <si>
    <t>Total Pipeline</t>
  </si>
  <si>
    <t>total</t>
  </si>
  <si>
    <t>Proyección Venta</t>
  </si>
  <si>
    <t>Implementación de Simprep para planificación de desarrollos mineros</t>
  </si>
  <si>
    <t>Zublin</t>
  </si>
  <si>
    <t>Actualización modelo hidrogeologico</t>
  </si>
  <si>
    <t>Análisis de Diseños de Ingeniería Túneles para suministro hidrico</t>
  </si>
  <si>
    <t>Worley</t>
  </si>
  <si>
    <t>Estudio de relleno hidráulico</t>
  </si>
  <si>
    <t>Porvenir</t>
  </si>
  <si>
    <t>Estudios de Precisión Diseño Correas y  Estudio de Flujo de Mineral</t>
  </si>
  <si>
    <t>Wood</t>
  </si>
  <si>
    <t>Apoyo permisos FB Deep</t>
  </si>
  <si>
    <t>Copper World</t>
  </si>
  <si>
    <t>Due diligence proyecto Copper World</t>
  </si>
  <si>
    <t>Servicios de geología y planificación (3 años)</t>
  </si>
  <si>
    <t>Juruti</t>
  </si>
  <si>
    <t>Apoyo a la planificción minera de largo plazo</t>
  </si>
  <si>
    <t>Semana de Adjudicación</t>
  </si>
  <si>
    <t>Matrix</t>
  </si>
  <si>
    <t>Actualización planes mineros</t>
  </si>
  <si>
    <t>Análisis Geomecánico y diseño de fortificación (IDIEM)</t>
  </si>
  <si>
    <t>Cuenta de Monto (USD)</t>
  </si>
  <si>
    <t>Total General</t>
  </si>
  <si>
    <t>Dif</t>
  </si>
  <si>
    <t>Planificación de largo plazo (LOM) integrada con iniciativas + Potenciales</t>
  </si>
  <si>
    <t>Opportunity Assessment para optimizar el proyecto Cerro Colorado (LOM estrategico)</t>
  </si>
  <si>
    <t>.</t>
  </si>
  <si>
    <t>Ing PFS mina UG</t>
  </si>
  <si>
    <t>Actualizacion escenarios Ing Conceptual</t>
  </si>
  <si>
    <t>Cajati P1: ingeniería de enlace operacional</t>
  </si>
  <si>
    <t>Acompañamiento LOM y capacitación Simplan para Cajati</t>
  </si>
  <si>
    <t>Evaluación estocástica de escenarios con herramienta SIMPLAN</t>
  </si>
  <si>
    <t>Planificación LOM Blue Sky</t>
  </si>
  <si>
    <t>Tunel exploración</t>
  </si>
  <si>
    <t>Ingenieria para construcción tunel de exploración</t>
  </si>
  <si>
    <t xml:space="preserve">Hudbay </t>
  </si>
  <si>
    <t>Actualización del Estudio Geomecánico</t>
  </si>
  <si>
    <t>LOM ( Remoción Pilares y Secuecia Operativa)</t>
  </si>
  <si>
    <t>PEA Projecto Furnas</t>
  </si>
  <si>
    <t>Ero Copper</t>
  </si>
  <si>
    <t>Furnas</t>
  </si>
  <si>
    <t>Revisión y actualización caso base LOM Cerro Colorado</t>
  </si>
  <si>
    <t>Diseño geomecánico/hídrico de Patrocinio</t>
  </si>
  <si>
    <t>Actualización Riesgo Sísmico UM Constancia</t>
  </si>
  <si>
    <t>Ampliación de contrato "Cierre de botaderos"</t>
  </si>
  <si>
    <t>Ventas Enero</t>
  </si>
  <si>
    <t>Ventas Febrero</t>
  </si>
  <si>
    <t>(Varios elementos)</t>
  </si>
  <si>
    <t>Proyección (vendido)</t>
  </si>
  <si>
    <t>Proyección (posibles)</t>
  </si>
  <si>
    <t>Propuestas</t>
  </si>
  <si>
    <t>Ítem</t>
  </si>
  <si>
    <t>S1 Mar-25</t>
  </si>
  <si>
    <t>Media Acu</t>
  </si>
  <si>
    <t>Propuestas emitidas</t>
  </si>
  <si>
    <t>#</t>
  </si>
  <si>
    <t>0.35</t>
  </si>
  <si>
    <t>MUS$</t>
  </si>
  <si>
    <t>2.2</t>
  </si>
  <si>
    <t>2.6</t>
  </si>
  <si>
    <t>Propuestas adjudicadas</t>
  </si>
  <si>
    <t>0.18</t>
  </si>
  <si>
    <t>kUS$</t>
  </si>
  <si>
    <t>1.1</t>
  </si>
  <si>
    <t>1.3</t>
  </si>
  <si>
    <t>9,5 seguimiento y construcción</t>
  </si>
  <si>
    <t>Proyección Abril</t>
  </si>
  <si>
    <t>Proyección  Marzo</t>
  </si>
  <si>
    <t>Ing detalle infraestructura Mina</t>
  </si>
  <si>
    <t>BR Nickel</t>
  </si>
  <si>
    <t>Niquel Piauí</t>
  </si>
  <si>
    <t>Deberiamos recibir respuesta de abril a mayo</t>
  </si>
  <si>
    <t>Posible adjudicación abril-mayo</t>
  </si>
  <si>
    <t>Atractividad</t>
  </si>
  <si>
    <t>Factor Atractividad</t>
  </si>
  <si>
    <t>Ejecutabilidad</t>
  </si>
  <si>
    <t>Factor Ejecutabilidad</t>
  </si>
  <si>
    <t>linea horizontal</t>
  </si>
  <si>
    <t>x</t>
  </si>
  <si>
    <t>y</t>
  </si>
  <si>
    <t>Variable</t>
  </si>
  <si>
    <t>Porcentaje</t>
  </si>
  <si>
    <t>ATRACTIVIDAD</t>
  </si>
  <si>
    <t>Id</t>
  </si>
  <si>
    <t>Cliente</t>
  </si>
  <si>
    <t>Nombre estudio</t>
  </si>
  <si>
    <t>Monto de venta</t>
  </si>
  <si>
    <t>Facturado</t>
  </si>
  <si>
    <t>Costo</t>
  </si>
  <si>
    <t>ROI</t>
  </si>
  <si>
    <t>Cercania con cliente</t>
  </si>
  <si>
    <t>Exposición al mercado frente a riesgos</t>
  </si>
  <si>
    <t>Escalabilidad</t>
  </si>
  <si>
    <t>Tiempo de ejecución (meses)</t>
  </si>
  <si>
    <t>% de Conocimiento en REDCO</t>
  </si>
  <si>
    <t>% de experiencia en ejecució  similar</t>
  </si>
  <si>
    <t>Cercania con el Core</t>
  </si>
  <si>
    <t>Volumen de HHs y gestión</t>
  </si>
  <si>
    <t>N° Personas</t>
  </si>
  <si>
    <t>Algarrobo Finos</t>
  </si>
  <si>
    <t>Monto de Vena</t>
  </si>
  <si>
    <t>&lt; 120 KUS$</t>
  </si>
  <si>
    <t>120 - 250 KUS$</t>
  </si>
  <si>
    <t>250-500 KUS$</t>
  </si>
  <si>
    <t>500-1000 KUS$</t>
  </si>
  <si>
    <t>&gt;1M$</t>
  </si>
  <si>
    <t>Tiempo de ejecución</t>
  </si>
  <si>
    <t>&gt;2 años</t>
  </si>
  <si>
    <t>12-24 meses</t>
  </si>
  <si>
    <t xml:space="preserve">8-12 meses </t>
  </si>
  <si>
    <t xml:space="preserve">4-8 meses </t>
  </si>
  <si>
    <t>&lt; 4 meses</t>
  </si>
  <si>
    <t>AMSA_Asesoria Centinela</t>
  </si>
  <si>
    <t>&lt;20%</t>
  </si>
  <si>
    <t>20%-25%</t>
  </si>
  <si>
    <t>25%-35%</t>
  </si>
  <si>
    <t>35%-45%</t>
  </si>
  <si>
    <t>&gt;45%</t>
  </si>
  <si>
    <t>% de conocimiento en REDCO</t>
  </si>
  <si>
    <t>Banco Santander_Yauricocha y Bolivar</t>
  </si>
  <si>
    <t>linea vertical</t>
  </si>
  <si>
    <t>Sin historia</t>
  </si>
  <si>
    <t>Referido de un cliente actual</t>
  </si>
  <si>
    <t>Actual, pero solo ejecutado 1 proy.</t>
  </si>
  <si>
    <t>actul y con 1 a 3 años historia</t>
  </si>
  <si>
    <t>actual con más de 3 años de historia</t>
  </si>
  <si>
    <t>% de experiencia en ejecución similar</t>
  </si>
  <si>
    <t>Capstone Copper_Estimacion confiabilidad de planes</t>
  </si>
  <si>
    <t>Exposición al mercado frente a riesgo</t>
  </si>
  <si>
    <t>Exposición muy alta, juicio y responsabilidad penal</t>
  </si>
  <si>
    <t>Exposición alta, se despliega a la industria</t>
  </si>
  <si>
    <t>exposicion media, se pierde la relación con la empresa</t>
  </si>
  <si>
    <t>Exposición baja, solo se pierde el proyecto</t>
  </si>
  <si>
    <t>Sin exposición</t>
  </si>
  <si>
    <t>cercania con el core</t>
  </si>
  <si>
    <t>No es core de REDCO</t>
  </si>
  <si>
    <t>&lt;30% es del core de REDCO</t>
  </si>
  <si>
    <t>30%-60% del core de REDCO</t>
  </si>
  <si>
    <t>60%-80% del core de REDCO</t>
  </si>
  <si>
    <t>Full core de REDCO</t>
  </si>
  <si>
    <t>CMP - FEL 2A</t>
  </si>
  <si>
    <t xml:space="preserve">Riesgo </t>
  </si>
  <si>
    <t>&gt;40% valor de venta</t>
  </si>
  <si>
    <t xml:space="preserve">40%-30% del valor de venta </t>
  </si>
  <si>
    <t>30%-20% del valor de venta</t>
  </si>
  <si>
    <t>20%-10% del valor de venta</t>
  </si>
  <si>
    <t>&lt;10% del valor de venta</t>
  </si>
  <si>
    <t>&gt;30.000 HHs</t>
  </si>
  <si>
    <t>30.000-20.000 HHs</t>
  </si>
  <si>
    <t xml:space="preserve">20.000-10.000 </t>
  </si>
  <si>
    <t>10.000-3.000</t>
  </si>
  <si>
    <t>&lt;3.000</t>
  </si>
  <si>
    <t>Codelco_Falla Oeste</t>
  </si>
  <si>
    <t>No es escalable</t>
  </si>
  <si>
    <t>Se puede escalar 30% de la solución</t>
  </si>
  <si>
    <t>Se puede escalar entre un 30%-60% de la solución</t>
  </si>
  <si>
    <t xml:space="preserve">60%-80% es escalable </t>
  </si>
  <si>
    <t>Todo es escalable</t>
  </si>
  <si>
    <t>CSH_LOM Mina Guarello</t>
  </si>
  <si>
    <t>Glencore_Coroccohuayco_OptimizacionLOM</t>
  </si>
  <si>
    <t>IvanhoeElectric_Santa-Cruz_PrePFS</t>
  </si>
  <si>
    <t>McCarthy_Litigio Rio Tinto</t>
  </si>
  <si>
    <t>Minsur_Apoyo Planificacion San Rafael</t>
  </si>
  <si>
    <t>NEXA_FEL2 Aripuana</t>
  </si>
  <si>
    <t>PFS Los Calatos</t>
  </si>
  <si>
    <t>Seligdar</t>
  </si>
  <si>
    <t>Seligdar_Kyuchus</t>
  </si>
  <si>
    <t>VALE</t>
  </si>
  <si>
    <t>Spence_Confiabilidad Plan 2YB 2025</t>
  </si>
  <si>
    <t>EJECUTABILIDAD</t>
  </si>
  <si>
    <t xml:space="preserve">Ejecutabilidad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</si>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</sst>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_-* #,##0.00_-;\-* #,##0.00_-;_-* &quot;-&quot;??_-;_-@_-"/>
    <numFmt numFmtId="165" formatCode="0.0"/>
    <numFmt numFmtId="166" formatCode="#,##0.0"/>
    <numFmt numFmtId="167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70C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b/>
      <sz val="9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9.9978637043366805E-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00408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indexed="64"/>
      </right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58">
    <xf numFmtId="0" fontId="0" fillId="0" borderId="0" xfId="0"/>
    <xf numFmtId="0" fontId="0" fillId="3" borderId="0" xfId="0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9" fontId="0" fillId="6" borderId="1" xfId="2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1"/>
    </xf>
    <xf numFmtId="3" fontId="4" fillId="0" borderId="2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1"/>
    </xf>
    <xf numFmtId="3" fontId="5" fillId="0" borderId="2" xfId="0" applyNumberFormat="1" applyFont="1" applyBorder="1" applyAlignment="1">
      <alignment horizontal="center" vertical="center" wrapText="1" readingOrder="1"/>
    </xf>
    <xf numFmtId="9" fontId="5" fillId="0" borderId="2" xfId="0" applyNumberFormat="1" applyFont="1" applyBorder="1" applyAlignment="1">
      <alignment horizontal="center" vertical="center" wrapText="1" readingOrder="1"/>
    </xf>
    <xf numFmtId="3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41" fontId="6" fillId="10" borderId="4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10" borderId="4" xfId="0" applyFont="1" applyFill="1" applyBorder="1" applyAlignment="1">
      <alignment vertical="center" wrapText="1"/>
    </xf>
    <xf numFmtId="0" fontId="6" fillId="10" borderId="4" xfId="0" applyFont="1" applyFill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41" fontId="10" fillId="3" borderId="1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41" fontId="6" fillId="10" borderId="4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indent="1"/>
    </xf>
    <xf numFmtId="41" fontId="7" fillId="3" borderId="1" xfId="1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7" fillId="11" borderId="1" xfId="0" applyFont="1" applyFill="1" applyBorder="1" applyAlignment="1">
      <alignment horizontal="center" vertical="center"/>
    </xf>
    <xf numFmtId="3" fontId="0" fillId="0" borderId="0" xfId="0" applyNumberFormat="1"/>
    <xf numFmtId="3" fontId="7" fillId="3" borderId="1" xfId="1" applyNumberFormat="1" applyFont="1" applyFill="1" applyBorder="1" applyAlignment="1">
      <alignment horizontal="center" vertical="center"/>
    </xf>
    <xf numFmtId="41" fontId="7" fillId="3" borderId="1" xfId="1" applyFont="1" applyFill="1" applyBorder="1" applyAlignment="1">
      <alignment horizontal="left" vertical="center"/>
    </xf>
    <xf numFmtId="0" fontId="13" fillId="1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 wrapText="1"/>
    </xf>
    <xf numFmtId="41" fontId="13" fillId="13" borderId="4" xfId="1" applyFont="1" applyFill="1" applyBorder="1" applyAlignment="1">
      <alignment horizontal="center" vertical="center" wrapText="1"/>
    </xf>
    <xf numFmtId="0" fontId="13" fillId="13" borderId="4" xfId="1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 wrapText="1"/>
    </xf>
    <xf numFmtId="0" fontId="13" fillId="16" borderId="11" xfId="0" applyFont="1" applyFill="1" applyBorder="1" applyAlignment="1">
      <alignment horizontal="center" vertical="center" wrapText="1"/>
    </xf>
    <xf numFmtId="0" fontId="13" fillId="16" borderId="12" xfId="0" applyFont="1" applyFill="1" applyBorder="1" applyAlignment="1">
      <alignment horizontal="center" vertical="center" wrapText="1"/>
    </xf>
    <xf numFmtId="3" fontId="7" fillId="3" borderId="13" xfId="1" applyNumberFormat="1" applyFont="1" applyFill="1" applyBorder="1" applyAlignment="1">
      <alignment horizontal="center" vertical="center"/>
    </xf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2" fillId="12" borderId="7" xfId="0" applyFont="1" applyFill="1" applyBorder="1" applyAlignment="1">
      <alignment horizontal="center" vertical="center" wrapText="1"/>
    </xf>
    <xf numFmtId="41" fontId="13" fillId="14" borderId="18" xfId="1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7" borderId="2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7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7" borderId="2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7" borderId="2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18" borderId="4" xfId="0" applyFont="1" applyFill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/>
    </xf>
    <xf numFmtId="0" fontId="13" fillId="20" borderId="4" xfId="0" applyFont="1" applyFill="1" applyBorder="1" applyAlignment="1">
      <alignment horizontal="center" vertical="center" wrapText="1"/>
    </xf>
    <xf numFmtId="0" fontId="13" fillId="20" borderId="11" xfId="0" applyFont="1" applyFill="1" applyBorder="1" applyAlignment="1">
      <alignment horizontal="center" vertical="center" wrapText="1"/>
    </xf>
    <xf numFmtId="0" fontId="13" fillId="20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1" fontId="7" fillId="3" borderId="13" xfId="1" applyFont="1" applyFill="1" applyBorder="1" applyAlignment="1">
      <alignment horizontal="center" vertical="center"/>
    </xf>
    <xf numFmtId="41" fontId="7" fillId="3" borderId="14" xfId="1" applyFont="1" applyFill="1" applyBorder="1" applyAlignment="1">
      <alignment horizontal="center" vertical="center"/>
    </xf>
    <xf numFmtId="41" fontId="7" fillId="3" borderId="15" xfId="1" applyFont="1" applyFill="1" applyBorder="1" applyAlignment="1">
      <alignment horizontal="center" vertical="center"/>
    </xf>
    <xf numFmtId="41" fontId="7" fillId="3" borderId="17" xfId="1" applyFont="1" applyFill="1" applyBorder="1" applyAlignment="1">
      <alignment horizontal="center" vertical="center"/>
    </xf>
    <xf numFmtId="0" fontId="13" fillId="21" borderId="11" xfId="0" applyFont="1" applyFill="1" applyBorder="1" applyAlignment="1">
      <alignment horizontal="center" vertical="center" wrapText="1"/>
    </xf>
    <xf numFmtId="0" fontId="13" fillId="21" borderId="12" xfId="0" applyFont="1" applyFill="1" applyBorder="1" applyAlignment="1">
      <alignment horizontal="center" vertical="center" wrapText="1"/>
    </xf>
    <xf numFmtId="9" fontId="0" fillId="0" borderId="0" xfId="2" applyFont="1" applyAlignment="1">
      <alignment horizontal="center"/>
    </xf>
    <xf numFmtId="9" fontId="0" fillId="0" borderId="0" xfId="2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7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11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indent="1"/>
    </xf>
    <xf numFmtId="0" fontId="0" fillId="11" borderId="1" xfId="0" applyFill="1" applyBorder="1" applyAlignment="1">
      <alignment horizontal="center"/>
    </xf>
    <xf numFmtId="3" fontId="4" fillId="11" borderId="2" xfId="0" applyNumberFormat="1" applyFont="1" applyFill="1" applyBorder="1" applyAlignment="1">
      <alignment horizontal="center" vertical="center" wrapText="1" readingOrder="1"/>
    </xf>
    <xf numFmtId="9" fontId="4" fillId="11" borderId="2" xfId="0" applyNumberFormat="1" applyFont="1" applyFill="1" applyBorder="1" applyAlignment="1">
      <alignment horizontal="center" vertical="center" wrapText="1" readingOrder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17" fontId="0" fillId="0" borderId="9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7" fontId="0" fillId="0" borderId="16" xfId="0" applyNumberForma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41" fontId="6" fillId="10" borderId="1" xfId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0" fillId="11" borderId="1" xfId="0" applyFill="1" applyBorder="1"/>
    <xf numFmtId="17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0" fillId="11" borderId="14" xfId="0" applyFill="1" applyBorder="1"/>
    <xf numFmtId="0" fontId="0" fillId="0" borderId="16" xfId="0" applyBorder="1" applyAlignment="1">
      <alignment horizontal="left"/>
    </xf>
    <xf numFmtId="0" fontId="13" fillId="12" borderId="11" xfId="0" applyFont="1" applyFill="1" applyBorder="1" applyAlignment="1">
      <alignment horizontal="center" vertical="center" textRotation="90" wrapText="1"/>
    </xf>
    <xf numFmtId="0" fontId="13" fillId="12" borderId="4" xfId="0" applyFont="1" applyFill="1" applyBorder="1" applyAlignment="1">
      <alignment horizontal="center" vertical="center" textRotation="90" wrapText="1"/>
    </xf>
    <xf numFmtId="0" fontId="13" fillId="12" borderId="12" xfId="0" applyFont="1" applyFill="1" applyBorder="1" applyAlignment="1">
      <alignment horizontal="center" vertical="center" textRotation="90" wrapText="1"/>
    </xf>
    <xf numFmtId="0" fontId="15" fillId="0" borderId="1" xfId="0" applyFont="1" applyBorder="1"/>
    <xf numFmtId="0" fontId="15" fillId="0" borderId="14" xfId="0" applyFont="1" applyBorder="1"/>
    <xf numFmtId="0" fontId="15" fillId="3" borderId="1" xfId="0" applyFont="1" applyFill="1" applyBorder="1" applyAlignment="1">
      <alignment horizontal="center"/>
    </xf>
    <xf numFmtId="0" fontId="15" fillId="0" borderId="0" xfId="0" applyFont="1"/>
    <xf numFmtId="0" fontId="16" fillId="13" borderId="4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 wrapText="1"/>
    </xf>
    <xf numFmtId="41" fontId="16" fillId="13" borderId="4" xfId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17" fillId="3" borderId="0" xfId="0" applyFont="1" applyFill="1"/>
    <xf numFmtId="0" fontId="17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3" fontId="17" fillId="3" borderId="1" xfId="1" applyNumberFormat="1" applyFont="1" applyFill="1" applyBorder="1" applyAlignment="1">
      <alignment horizontal="center" vertical="center"/>
    </xf>
    <xf numFmtId="0" fontId="17" fillId="0" borderId="1" xfId="0" applyFont="1" applyBorder="1"/>
    <xf numFmtId="0" fontId="17" fillId="3" borderId="1" xfId="0" applyFont="1" applyFill="1" applyBorder="1"/>
    <xf numFmtId="0" fontId="17" fillId="11" borderId="1" xfId="0" applyFont="1" applyFill="1" applyBorder="1"/>
    <xf numFmtId="0" fontId="17" fillId="11" borderId="0" xfId="0" applyFont="1" applyFill="1"/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0" fontId="17" fillId="0" borderId="27" xfId="0" applyFont="1" applyBorder="1"/>
    <xf numFmtId="0" fontId="17" fillId="3" borderId="27" xfId="0" applyFont="1" applyFill="1" applyBorder="1"/>
    <xf numFmtId="0" fontId="17" fillId="11" borderId="27" xfId="0" applyFont="1" applyFill="1" applyBorder="1"/>
    <xf numFmtId="16" fontId="17" fillId="3" borderId="1" xfId="0" applyNumberFormat="1" applyFont="1" applyFill="1" applyBorder="1" applyAlignment="1">
      <alignment horizontal="center" vertical="center"/>
    </xf>
    <xf numFmtId="0" fontId="0" fillId="0" borderId="0" xfId="0" pivotButton="1"/>
    <xf numFmtId="9" fontId="0" fillId="0" borderId="0" xfId="2" applyFont="1"/>
    <xf numFmtId="14" fontId="17" fillId="3" borderId="1" xfId="0" applyNumberFormat="1" applyFont="1" applyFill="1" applyBorder="1" applyAlignment="1">
      <alignment horizontal="center" vertical="center"/>
    </xf>
    <xf numFmtId="41" fontId="0" fillId="0" borderId="0" xfId="0" applyNumberFormat="1"/>
    <xf numFmtId="0" fontId="16" fillId="13" borderId="30" xfId="0" applyFont="1" applyFill="1" applyBorder="1" applyAlignment="1">
      <alignment horizontal="center" vertical="center"/>
    </xf>
    <xf numFmtId="0" fontId="16" fillId="23" borderId="30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3" fontId="3" fillId="24" borderId="0" xfId="0" applyNumberFormat="1" applyFon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17" xfId="0" applyNumberFormat="1" applyBorder="1"/>
    <xf numFmtId="41" fontId="0" fillId="0" borderId="16" xfId="0" applyNumberFormat="1" applyBorder="1" applyAlignment="1">
      <alignment horizontal="center" vertical="center"/>
    </xf>
    <xf numFmtId="0" fontId="17" fillId="0" borderId="31" xfId="0" applyFont="1" applyBorder="1" applyAlignment="1">
      <alignment horizontal="center"/>
    </xf>
    <xf numFmtId="0" fontId="17" fillId="0" borderId="31" xfId="0" applyFont="1" applyBorder="1"/>
    <xf numFmtId="0" fontId="17" fillId="0" borderId="31" xfId="0" applyFont="1" applyBorder="1" applyAlignment="1">
      <alignment horizontal="center" vertical="center"/>
    </xf>
    <xf numFmtId="3" fontId="17" fillId="3" borderId="31" xfId="1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1" fontId="0" fillId="0" borderId="31" xfId="0" applyNumberForma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17" fillId="0" borderId="9" xfId="0" applyFont="1" applyBorder="1"/>
    <xf numFmtId="0" fontId="17" fillId="0" borderId="9" xfId="0" applyFont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3" fontId="17" fillId="3" borderId="9" xfId="1" applyNumberFormat="1" applyFont="1" applyFill="1" applyBorder="1" applyAlignment="1">
      <alignment horizontal="center" vertical="center"/>
    </xf>
    <xf numFmtId="41" fontId="0" fillId="0" borderId="9" xfId="0" applyNumberFormat="1" applyBorder="1" applyAlignment="1">
      <alignment horizontal="center" vertical="center"/>
    </xf>
    <xf numFmtId="41" fontId="0" fillId="0" borderId="32" xfId="0" applyNumberFormat="1" applyBorder="1"/>
    <xf numFmtId="0" fontId="17" fillId="0" borderId="13" xfId="0" applyFont="1" applyBorder="1" applyAlignment="1">
      <alignment horizontal="center"/>
    </xf>
    <xf numFmtId="41" fontId="0" fillId="0" borderId="23" xfId="0" applyNumberFormat="1" applyBorder="1"/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6" xfId="0" applyFont="1" applyBorder="1"/>
    <xf numFmtId="0" fontId="17" fillId="0" borderId="16" xfId="0" applyFont="1" applyBorder="1" applyAlignment="1">
      <alignment horizontal="center" vertical="center"/>
    </xf>
    <xf numFmtId="3" fontId="17" fillId="3" borderId="16" xfId="1" applyNumberFormat="1" applyFont="1" applyFill="1" applyBorder="1" applyAlignment="1">
      <alignment horizontal="center" vertical="center"/>
    </xf>
    <xf numFmtId="41" fontId="0" fillId="0" borderId="26" xfId="0" applyNumberFormat="1" applyBorder="1"/>
    <xf numFmtId="0" fontId="17" fillId="0" borderId="9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8" xfId="0" applyFont="1" applyBorder="1"/>
    <xf numFmtId="3" fontId="17" fillId="3" borderId="28" xfId="1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0" fillId="0" borderId="28" xfId="0" applyNumberFormat="1" applyBorder="1" applyAlignment="1">
      <alignment horizontal="center" vertical="center"/>
    </xf>
    <xf numFmtId="41" fontId="0" fillId="0" borderId="10" xfId="0" applyNumberFormat="1" applyBorder="1"/>
    <xf numFmtId="41" fontId="0" fillId="0" borderId="14" xfId="0" applyNumberFormat="1" applyBorder="1"/>
    <xf numFmtId="9" fontId="0" fillId="0" borderId="9" xfId="2" applyFont="1" applyBorder="1" applyAlignment="1">
      <alignment horizontal="center" vertical="center"/>
    </xf>
    <xf numFmtId="9" fontId="0" fillId="0" borderId="16" xfId="2" applyFont="1" applyBorder="1" applyAlignment="1">
      <alignment horizontal="center" vertical="center"/>
    </xf>
    <xf numFmtId="9" fontId="0" fillId="0" borderId="28" xfId="2" applyFont="1" applyBorder="1" applyAlignment="1">
      <alignment horizontal="center" vertical="center"/>
    </xf>
    <xf numFmtId="9" fontId="0" fillId="11" borderId="9" xfId="2" applyFont="1" applyFill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9" fontId="0" fillId="0" borderId="31" xfId="2" applyFont="1" applyBorder="1" applyAlignment="1">
      <alignment horizontal="center" vertical="center"/>
    </xf>
    <xf numFmtId="0" fontId="16" fillId="13" borderId="10" xfId="0" applyFont="1" applyFill="1" applyBorder="1" applyAlignment="1">
      <alignment horizontal="center" vertical="center"/>
    </xf>
    <xf numFmtId="3" fontId="3" fillId="7" borderId="14" xfId="0" applyNumberFormat="1" applyFont="1" applyFill="1" applyBorder="1"/>
    <xf numFmtId="0" fontId="17" fillId="3" borderId="31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 vertical="center"/>
    </xf>
    <xf numFmtId="0" fontId="17" fillId="3" borderId="35" xfId="0" applyFont="1" applyFill="1" applyBorder="1" applyAlignment="1">
      <alignment horizontal="center"/>
    </xf>
    <xf numFmtId="0" fontId="17" fillId="0" borderId="35" xfId="0" applyFont="1" applyBorder="1"/>
    <xf numFmtId="0" fontId="17" fillId="0" borderId="35" xfId="0" applyFont="1" applyBorder="1" applyAlignment="1">
      <alignment horizontal="center" vertical="center"/>
    </xf>
    <xf numFmtId="0" fontId="17" fillId="3" borderId="35" xfId="0" applyFont="1" applyFill="1" applyBorder="1" applyAlignment="1">
      <alignment horizontal="center" vertical="center"/>
    </xf>
    <xf numFmtId="3" fontId="17" fillId="3" borderId="35" xfId="1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9" fontId="0" fillId="0" borderId="35" xfId="2" applyFont="1" applyBorder="1" applyAlignment="1">
      <alignment horizontal="center" vertical="center"/>
    </xf>
    <xf numFmtId="41" fontId="0" fillId="0" borderId="35" xfId="0" applyNumberFormat="1" applyBorder="1" applyAlignment="1">
      <alignment horizontal="center" vertical="center"/>
    </xf>
    <xf numFmtId="0" fontId="17" fillId="3" borderId="16" xfId="0" applyFont="1" applyFill="1" applyBorder="1" applyAlignment="1">
      <alignment horizontal="center"/>
    </xf>
    <xf numFmtId="0" fontId="17" fillId="3" borderId="16" xfId="0" applyFont="1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41" fontId="0" fillId="0" borderId="0" xfId="1" applyFont="1"/>
    <xf numFmtId="3" fontId="0" fillId="0" borderId="1" xfId="0" applyNumberFormat="1" applyBorder="1" applyAlignment="1">
      <alignment horizontal="center"/>
    </xf>
    <xf numFmtId="0" fontId="16" fillId="13" borderId="7" xfId="0" applyFont="1" applyFill="1" applyBorder="1" applyAlignment="1">
      <alignment horizontal="center" vertical="center"/>
    </xf>
    <xf numFmtId="0" fontId="16" fillId="13" borderId="36" xfId="0" applyFont="1" applyFill="1" applyBorder="1" applyAlignment="1">
      <alignment horizontal="center" vertical="center"/>
    </xf>
    <xf numFmtId="17" fontId="16" fillId="13" borderId="10" xfId="0" applyNumberFormat="1" applyFont="1" applyFill="1" applyBorder="1" applyAlignment="1">
      <alignment horizontal="center" vertical="center"/>
    </xf>
    <xf numFmtId="41" fontId="0" fillId="22" borderId="1" xfId="0" applyNumberFormat="1" applyFill="1" applyBorder="1" applyAlignment="1">
      <alignment horizontal="center" vertical="center"/>
    </xf>
    <xf numFmtId="41" fontId="0" fillId="26" borderId="1" xfId="0" applyNumberFormat="1" applyFill="1" applyBorder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6" fillId="27" borderId="36" xfId="0" applyFont="1" applyFill="1" applyBorder="1" applyAlignment="1">
      <alignment horizontal="center" vertical="center"/>
    </xf>
    <xf numFmtId="166" fontId="0" fillId="0" borderId="0" xfId="0" applyNumberFormat="1"/>
    <xf numFmtId="165" fontId="0" fillId="0" borderId="0" xfId="0" applyNumberFormat="1" applyAlignment="1">
      <alignment horizontal="center" vertical="center"/>
    </xf>
    <xf numFmtId="41" fontId="0" fillId="11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7" fillId="0" borderId="1" xfId="0" applyFont="1" applyBorder="1" applyAlignment="1">
      <alignment wrapText="1"/>
    </xf>
    <xf numFmtId="0" fontId="17" fillId="22" borderId="1" xfId="0" applyFont="1" applyFill="1" applyBorder="1" applyAlignment="1">
      <alignment wrapText="1"/>
    </xf>
    <xf numFmtId="0" fontId="17" fillId="3" borderId="1" xfId="0" applyFont="1" applyFill="1" applyBorder="1" applyAlignment="1">
      <alignment wrapText="1"/>
    </xf>
    <xf numFmtId="0" fontId="17" fillId="11" borderId="1" xfId="0" applyFont="1" applyFill="1" applyBorder="1" applyAlignment="1">
      <alignment wrapText="1"/>
    </xf>
    <xf numFmtId="0" fontId="17" fillId="0" borderId="0" xfId="0" applyFont="1" applyAlignment="1">
      <alignment wrapText="1"/>
    </xf>
    <xf numFmtId="0" fontId="17" fillId="0" borderId="1" xfId="0" applyFont="1" applyBorder="1" applyAlignment="1">
      <alignment vertical="center"/>
    </xf>
    <xf numFmtId="0" fontId="17" fillId="3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7" xfId="0" applyFont="1" applyBorder="1" applyAlignment="1">
      <alignment horizontal="center"/>
    </xf>
    <xf numFmtId="0" fontId="17" fillId="22" borderId="1" xfId="0" applyFont="1" applyFill="1" applyBorder="1" applyAlignment="1">
      <alignment horizontal="center" wrapText="1"/>
    </xf>
    <xf numFmtId="0" fontId="17" fillId="3" borderId="0" xfId="0" applyFont="1" applyFill="1" applyAlignment="1">
      <alignment horizontal="center"/>
    </xf>
    <xf numFmtId="0" fontId="4" fillId="0" borderId="38" xfId="0" applyFont="1" applyBorder="1" applyAlignment="1">
      <alignment horizontal="center" wrapText="1" readingOrder="1"/>
    </xf>
    <xf numFmtId="0" fontId="4" fillId="0" borderId="38" xfId="0" applyFont="1" applyBorder="1" applyAlignment="1">
      <alignment horizontal="center" vertical="center" wrapText="1" readingOrder="1"/>
    </xf>
    <xf numFmtId="0" fontId="5" fillId="0" borderId="38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wrapText="1" readingOrder="1"/>
    </xf>
    <xf numFmtId="0" fontId="19" fillId="28" borderId="37" xfId="0" applyFont="1" applyFill="1" applyBorder="1" applyAlignment="1">
      <alignment horizontal="center" vertical="center" readingOrder="1"/>
    </xf>
    <xf numFmtId="0" fontId="17" fillId="0" borderId="6" xfId="0" applyFont="1" applyBorder="1" applyAlignment="1">
      <alignment horizontal="center" vertical="center"/>
    </xf>
    <xf numFmtId="41" fontId="17" fillId="3" borderId="1" xfId="1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0" fontId="3" fillId="29" borderId="39" xfId="0" applyFont="1" applyFill="1" applyBorder="1"/>
    <xf numFmtId="0" fontId="2" fillId="30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0" fillId="9" borderId="41" xfId="0" applyFont="1" applyFill="1" applyBorder="1" applyAlignment="1">
      <alignment horizontal="center" vertical="center" wrapText="1" readingOrder="1"/>
    </xf>
    <xf numFmtId="17" fontId="20" fillId="9" borderId="41" xfId="0" applyNumberFormat="1" applyFont="1" applyFill="1" applyBorder="1" applyAlignment="1">
      <alignment horizontal="center" vertical="center" wrapText="1" readingOrder="1"/>
    </xf>
    <xf numFmtId="0" fontId="20" fillId="9" borderId="42" xfId="0" applyFont="1" applyFill="1" applyBorder="1" applyAlignment="1">
      <alignment horizontal="center" vertical="center" wrapText="1" readingOrder="1"/>
    </xf>
    <xf numFmtId="0" fontId="21" fillId="0" borderId="38" xfId="0" applyFont="1" applyBorder="1" applyAlignment="1">
      <alignment horizontal="center" vertical="center" wrapText="1" readingOrder="1"/>
    </xf>
    <xf numFmtId="0" fontId="21" fillId="32" borderId="38" xfId="0" applyFont="1" applyFill="1" applyBorder="1" applyAlignment="1">
      <alignment horizontal="center" vertical="center" wrapText="1" readingOrder="1"/>
    </xf>
    <xf numFmtId="0" fontId="21" fillId="33" borderId="45" xfId="0" applyFont="1" applyFill="1" applyBorder="1" applyAlignment="1">
      <alignment horizontal="center" vertical="center" wrapText="1" readingOrder="1"/>
    </xf>
    <xf numFmtId="0" fontId="21" fillId="0" borderId="47" xfId="0" applyFont="1" applyBorder="1" applyAlignment="1">
      <alignment horizontal="center" vertical="center" wrapText="1" readingOrder="1"/>
    </xf>
    <xf numFmtId="0" fontId="21" fillId="32" borderId="47" xfId="0" applyFont="1" applyFill="1" applyBorder="1" applyAlignment="1">
      <alignment horizontal="center" vertical="center" wrapText="1" readingOrder="1"/>
    </xf>
    <xf numFmtId="0" fontId="21" fillId="33" borderId="46" xfId="0" applyFont="1" applyFill="1" applyBorder="1" applyAlignment="1">
      <alignment horizontal="center" vertical="center" wrapText="1" readingOrder="1"/>
    </xf>
    <xf numFmtId="3" fontId="2" fillId="4" borderId="0" xfId="0" applyNumberFormat="1" applyFont="1" applyFill="1" applyAlignment="1">
      <alignment horizontal="center" vertical="center"/>
    </xf>
    <xf numFmtId="0" fontId="22" fillId="13" borderId="4" xfId="0" applyFont="1" applyFill="1" applyBorder="1" applyAlignment="1">
      <alignment horizontal="center" vertical="center"/>
    </xf>
    <xf numFmtId="0" fontId="22" fillId="13" borderId="4" xfId="0" applyFont="1" applyFill="1" applyBorder="1" applyAlignment="1">
      <alignment horizontal="center" vertical="center" wrapText="1"/>
    </xf>
    <xf numFmtId="41" fontId="22" fillId="13" borderId="4" xfId="1" applyFont="1" applyFill="1" applyBorder="1" applyAlignment="1">
      <alignment horizontal="center" vertical="center" wrapText="1"/>
    </xf>
    <xf numFmtId="9" fontId="17" fillId="3" borderId="1" xfId="2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 wrapText="1" readingOrder="1"/>
    </xf>
    <xf numFmtId="0" fontId="21" fillId="33" borderId="0" xfId="0" applyFont="1" applyFill="1" applyAlignment="1">
      <alignment horizontal="center" vertical="center" wrapText="1" readingOrder="1"/>
    </xf>
    <xf numFmtId="0" fontId="3" fillId="29" borderId="40" xfId="0" applyFont="1" applyFill="1" applyBorder="1" applyAlignment="1">
      <alignment horizontal="left"/>
    </xf>
    <xf numFmtId="167" fontId="0" fillId="0" borderId="0" xfId="3" applyNumberFormat="1" applyFont="1"/>
    <xf numFmtId="0" fontId="0" fillId="0" borderId="1" xfId="0" applyBorder="1" applyAlignment="1">
      <alignment horizontal="center" vertical="center" wrapText="1"/>
    </xf>
    <xf numFmtId="9" fontId="0" fillId="0" borderId="0" xfId="0" applyNumberFormat="1"/>
    <xf numFmtId="3" fontId="0" fillId="0" borderId="0" xfId="0" applyNumberFormat="1" applyAlignment="1">
      <alignment horizontal="center"/>
    </xf>
    <xf numFmtId="0" fontId="2" fillId="34" borderId="48" xfId="0" applyFont="1" applyFill="1" applyBorder="1" applyAlignment="1">
      <alignment horizontal="center"/>
    </xf>
    <xf numFmtId="0" fontId="0" fillId="0" borderId="48" xfId="0" applyBorder="1" applyAlignment="1">
      <alignment horizontal="center"/>
    </xf>
    <xf numFmtId="3" fontId="0" fillId="0" borderId="48" xfId="0" applyNumberFormat="1" applyBorder="1" applyAlignment="1">
      <alignment horizontal="center"/>
    </xf>
    <xf numFmtId="0" fontId="3" fillId="0" borderId="1" xfId="0" applyFont="1" applyBorder="1"/>
    <xf numFmtId="0" fontId="2" fillId="34" borderId="0" xfId="0" applyFont="1" applyFill="1"/>
    <xf numFmtId="0" fontId="2" fillId="34" borderId="48" xfId="0" applyFont="1" applyFill="1" applyBorder="1"/>
    <xf numFmtId="0" fontId="0" fillId="0" borderId="50" xfId="0" applyBorder="1" applyAlignment="1">
      <alignment horizontal="center"/>
    </xf>
    <xf numFmtId="0" fontId="0" fillId="0" borderId="50" xfId="0" applyBorder="1"/>
    <xf numFmtId="1" fontId="0" fillId="0" borderId="50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35" borderId="51" xfId="0" applyFill="1" applyBorder="1" applyAlignment="1">
      <alignment horizontal="center"/>
    </xf>
    <xf numFmtId="0" fontId="0" fillId="35" borderId="51" xfId="0" applyFill="1" applyBorder="1"/>
    <xf numFmtId="0" fontId="0" fillId="35" borderId="0" xfId="0" applyFill="1"/>
    <xf numFmtId="1" fontId="0" fillId="35" borderId="51" xfId="0" applyNumberForma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1" xfId="0" applyBorder="1"/>
    <xf numFmtId="1" fontId="0" fillId="0" borderId="51" xfId="0" applyNumberFormat="1" applyBorder="1" applyAlignment="1">
      <alignment horizontal="center"/>
    </xf>
    <xf numFmtId="0" fontId="0" fillId="0" borderId="28" xfId="0" applyBorder="1" applyAlignment="1">
      <alignment vertical="center"/>
    </xf>
    <xf numFmtId="9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36" borderId="0" xfId="0" applyNumberFormat="1" applyFill="1" applyAlignment="1">
      <alignment horizontal="center"/>
    </xf>
    <xf numFmtId="0" fontId="0" fillId="37" borderId="0" xfId="0" applyFill="1" applyAlignment="1">
      <alignment horizontal="center"/>
    </xf>
    <xf numFmtId="17" fontId="0" fillId="0" borderId="0" xfId="0" applyNumberFormat="1"/>
    <xf numFmtId="16" fontId="0" fillId="0" borderId="0" xfId="0" applyNumberFormat="1"/>
    <xf numFmtId="0" fontId="0" fillId="0" borderId="50" xfId="0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0" fontId="0" fillId="35" borderId="51" xfId="0" applyFill="1" applyBorder="1" applyAlignment="1">
      <alignment horizontal="center" vertical="center"/>
    </xf>
    <xf numFmtId="2" fontId="0" fillId="35" borderId="51" xfId="0" applyNumberForma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0" fontId="2" fillId="34" borderId="51" xfId="0" applyFont="1" applyFill="1" applyBorder="1" applyAlignment="1">
      <alignment horizontal="center"/>
    </xf>
    <xf numFmtId="2" fontId="0" fillId="0" borderId="51" xfId="0" applyNumberFormat="1" applyBorder="1" applyAlignment="1">
      <alignment horizontal="center"/>
    </xf>
    <xf numFmtId="2" fontId="0" fillId="35" borderId="5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2" fillId="34" borderId="4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center"/>
    </xf>
    <xf numFmtId="0" fontId="2" fillId="15" borderId="9" xfId="0" applyFont="1" applyFill="1" applyBorder="1" applyAlignment="1">
      <alignment horizontal="center"/>
    </xf>
    <xf numFmtId="0" fontId="2" fillId="15" borderId="10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 vertical="center" wrapText="1"/>
    </xf>
    <xf numFmtId="0" fontId="13" fillId="18" borderId="20" xfId="0" applyFont="1" applyFill="1" applyBorder="1" applyAlignment="1">
      <alignment horizontal="center" vertical="center" wrapText="1"/>
    </xf>
    <xf numFmtId="0" fontId="13" fillId="18" borderId="21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/>
    </xf>
    <xf numFmtId="0" fontId="2" fillId="19" borderId="20" xfId="0" applyFont="1" applyFill="1" applyBorder="1" applyAlignment="1">
      <alignment horizontal="center" vertical="center"/>
    </xf>
    <xf numFmtId="0" fontId="2" fillId="19" borderId="21" xfId="0" applyFont="1" applyFill="1" applyBorder="1" applyAlignment="1">
      <alignment horizontal="center" vertical="center"/>
    </xf>
    <xf numFmtId="0" fontId="13" fillId="21" borderId="19" xfId="0" applyFont="1" applyFill="1" applyBorder="1" applyAlignment="1">
      <alignment horizontal="center" vertical="center" wrapText="1"/>
    </xf>
    <xf numFmtId="0" fontId="13" fillId="21" borderId="21" xfId="0" applyFont="1" applyFill="1" applyBorder="1" applyAlignment="1">
      <alignment horizontal="center" vertical="center" wrapText="1"/>
    </xf>
    <xf numFmtId="0" fontId="21" fillId="31" borderId="43" xfId="0" applyFont="1" applyFill="1" applyBorder="1" applyAlignment="1">
      <alignment horizontal="center" vertical="center" wrapText="1" readingOrder="1"/>
    </xf>
    <xf numFmtId="0" fontId="21" fillId="31" borderId="44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/>
    </xf>
    <xf numFmtId="0" fontId="2" fillId="25" borderId="2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">
    <cellStyle name="Millares" xfId="3" builtinId="3"/>
    <cellStyle name="Millares [0]" xfId="1" builtinId="6"/>
    <cellStyle name="Normal" xfId="0" builtinId="0"/>
    <cellStyle name="Porcentaje" xfId="2" builtinId="5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[1]Producto!$M$47:$M$62</c:f>
              <c:numCache>
                <c:formatCode>General</c:formatCode>
                <c:ptCount val="16"/>
                <c:pt idx="0">
                  <c:v>1.1000000000000001</c:v>
                </c:pt>
                <c:pt idx="1">
                  <c:v>2.15</c:v>
                </c:pt>
                <c:pt idx="2">
                  <c:v>2.2000000000000002</c:v>
                </c:pt>
                <c:pt idx="3">
                  <c:v>2.15</c:v>
                </c:pt>
                <c:pt idx="4">
                  <c:v>1.45</c:v>
                </c:pt>
                <c:pt idx="5">
                  <c:v>2.15</c:v>
                </c:pt>
                <c:pt idx="6">
                  <c:v>1.9500000000000002</c:v>
                </c:pt>
                <c:pt idx="7">
                  <c:v>2.2999999999999998</c:v>
                </c:pt>
                <c:pt idx="8">
                  <c:v>2.15</c:v>
                </c:pt>
                <c:pt idx="9">
                  <c:v>1.85</c:v>
                </c:pt>
                <c:pt idx="10">
                  <c:v>2.15</c:v>
                </c:pt>
                <c:pt idx="11">
                  <c:v>1.2999999999999998</c:v>
                </c:pt>
                <c:pt idx="12">
                  <c:v>1.6</c:v>
                </c:pt>
                <c:pt idx="13">
                  <c:v>1.85</c:v>
                </c:pt>
                <c:pt idx="14">
                  <c:v>0</c:v>
                </c:pt>
                <c:pt idx="15">
                  <c:v>2.8</c:v>
                </c:pt>
              </c:numCache>
            </c:numRef>
          </c:xVal>
          <c:yVal>
            <c:numRef>
              <c:f>[1]Producto!$N$47:$N$62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9-4E98-A41F-9BEF7EE8444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[1]Producto!$M$47:$M$62</c:f>
              <c:numCache>
                <c:formatCode>General</c:formatCode>
                <c:ptCount val="16"/>
                <c:pt idx="0">
                  <c:v>1.1000000000000001</c:v>
                </c:pt>
                <c:pt idx="1">
                  <c:v>2.15</c:v>
                </c:pt>
                <c:pt idx="2">
                  <c:v>2.2000000000000002</c:v>
                </c:pt>
                <c:pt idx="3">
                  <c:v>2.15</c:v>
                </c:pt>
                <c:pt idx="4">
                  <c:v>1.45</c:v>
                </c:pt>
                <c:pt idx="5">
                  <c:v>2.15</c:v>
                </c:pt>
                <c:pt idx="6">
                  <c:v>1.9500000000000002</c:v>
                </c:pt>
                <c:pt idx="7">
                  <c:v>2.2999999999999998</c:v>
                </c:pt>
                <c:pt idx="8">
                  <c:v>2.15</c:v>
                </c:pt>
                <c:pt idx="9">
                  <c:v>1.85</c:v>
                </c:pt>
                <c:pt idx="10">
                  <c:v>2.15</c:v>
                </c:pt>
                <c:pt idx="11">
                  <c:v>1.2999999999999998</c:v>
                </c:pt>
                <c:pt idx="12">
                  <c:v>1.6</c:v>
                </c:pt>
                <c:pt idx="13">
                  <c:v>1.85</c:v>
                </c:pt>
                <c:pt idx="14">
                  <c:v>0</c:v>
                </c:pt>
                <c:pt idx="15">
                  <c:v>2.8</c:v>
                </c:pt>
              </c:numCache>
            </c:numRef>
          </c:xVal>
          <c:yVal>
            <c:numRef>
              <c:f>[1]Producto!$O$47:$O$62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99-4E98-A41F-9BEF7EE84444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7001ECD-B8B7-4236-8F46-0DD8A80B53CE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199-4E98-A41F-9BEF7EE844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7DA890A-88E5-674A-B58B-BCC17D0B050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199-4E98-A41F-9BEF7EE844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2BF2EB7-D363-EE41-8297-2173E9231367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199-4E98-A41F-9BEF7EE844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5A3E47A-20A8-FC44-88CB-2D838C46E897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199-4E98-A41F-9BEF7EE844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8BCB8AB-9422-FD46-BF24-E78617579C80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199-4E98-A41F-9BEF7EE8444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C8F6895-5FBA-8740-8F87-43423945D5B7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199-4E98-A41F-9BEF7EE844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20F048A-4771-704F-88AB-8E24114C0BCE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199-4E98-A41F-9BEF7EE8444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0397759-B584-1942-8990-0C3A49DF9F2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199-4E98-A41F-9BEF7EE8444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7D755A9-B8EA-3B43-8EE4-0D3CF3852C47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199-4E98-A41F-9BEF7EE8444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5A2271D-09C7-EE4A-AA1B-BA789EC29EDF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199-4E98-A41F-9BEF7EE8444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6AE31EF-7424-6344-939F-C767D56CAD6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199-4E98-A41F-9BEF7EE8444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5A0A1F5-A355-6444-A6D7-1369F3EA505B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199-4E98-A41F-9BEF7EE8444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9580C0C-6FC6-0D42-89DA-005A965FB7D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199-4E98-A41F-9BEF7EE8444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F3963A7-EDB6-A64F-98DC-27D1293D982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199-4E98-A41F-9BEF7EE8444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1ADA3F2-1BA1-E045-B6FC-B76E701983D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199-4E98-A41F-9BEF7EE8444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AD4FDE4-63AC-284E-B519-C816C4BE45C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199-4E98-A41F-9BEF7EE84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[1]Producto!$M$47:$M$62</c:f>
              <c:numCache>
                <c:formatCode>General</c:formatCode>
                <c:ptCount val="16"/>
                <c:pt idx="0">
                  <c:v>1.1000000000000001</c:v>
                </c:pt>
                <c:pt idx="1">
                  <c:v>2.15</c:v>
                </c:pt>
                <c:pt idx="2">
                  <c:v>2.2000000000000002</c:v>
                </c:pt>
                <c:pt idx="3">
                  <c:v>2.15</c:v>
                </c:pt>
                <c:pt idx="4">
                  <c:v>1.45</c:v>
                </c:pt>
                <c:pt idx="5">
                  <c:v>2.15</c:v>
                </c:pt>
                <c:pt idx="6">
                  <c:v>1.9500000000000002</c:v>
                </c:pt>
                <c:pt idx="7">
                  <c:v>2.2999999999999998</c:v>
                </c:pt>
                <c:pt idx="8">
                  <c:v>2.15</c:v>
                </c:pt>
                <c:pt idx="9">
                  <c:v>1.85</c:v>
                </c:pt>
                <c:pt idx="10">
                  <c:v>2.15</c:v>
                </c:pt>
                <c:pt idx="11">
                  <c:v>1.2999999999999998</c:v>
                </c:pt>
                <c:pt idx="12">
                  <c:v>1.6</c:v>
                </c:pt>
                <c:pt idx="13">
                  <c:v>1.85</c:v>
                </c:pt>
                <c:pt idx="14">
                  <c:v>0</c:v>
                </c:pt>
                <c:pt idx="15">
                  <c:v>2.8</c:v>
                </c:pt>
              </c:numCache>
            </c:numRef>
          </c:xVal>
          <c:yVal>
            <c:numRef>
              <c:f>[1]Producto!$P$47:$P$62</c:f>
              <c:numCache>
                <c:formatCode>General</c:formatCode>
                <c:ptCount val="16"/>
                <c:pt idx="0">
                  <c:v>3.85</c:v>
                </c:pt>
                <c:pt idx="1">
                  <c:v>3.7</c:v>
                </c:pt>
                <c:pt idx="2">
                  <c:v>2.95</c:v>
                </c:pt>
                <c:pt idx="3">
                  <c:v>3.3000000000000003</c:v>
                </c:pt>
                <c:pt idx="4">
                  <c:v>4.05</c:v>
                </c:pt>
                <c:pt idx="5">
                  <c:v>3.25</c:v>
                </c:pt>
                <c:pt idx="6">
                  <c:v>2.3000000000000003</c:v>
                </c:pt>
                <c:pt idx="7">
                  <c:v>3.15</c:v>
                </c:pt>
                <c:pt idx="8">
                  <c:v>3.0999999999999996</c:v>
                </c:pt>
                <c:pt idx="9">
                  <c:v>3.1500000000000004</c:v>
                </c:pt>
                <c:pt idx="10">
                  <c:v>3.5999999999999996</c:v>
                </c:pt>
                <c:pt idx="11">
                  <c:v>1.6500000000000001</c:v>
                </c:pt>
                <c:pt idx="12">
                  <c:v>2.8</c:v>
                </c:pt>
                <c:pt idx="13">
                  <c:v>3.2</c:v>
                </c:pt>
                <c:pt idx="14">
                  <c:v>0</c:v>
                </c:pt>
                <c:pt idx="15">
                  <c:v>3.25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[1]Producto!$B$47:$B$62</c15:f>
                <c15:dlblRangeCache>
                  <c:ptCount val="16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8199-4E98-A41F-9BEF7EE84444}"/>
            </c:ext>
          </c:extLst>
        </c:ser>
        <c:ser>
          <c:idx val="3"/>
          <c:order val="3"/>
          <c:tx>
            <c:strRef>
              <c:f>[1]Producto!$AI$2</c:f>
              <c:strCache>
                <c:ptCount val="1"/>
                <c:pt idx="0">
                  <c:v>linea horizontal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[1]Producto!$AJ$3:$AJ$4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xVal>
          <c:yVal>
            <c:numRef>
              <c:f>[1]Producto!$AK$3:$AK$4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99-4E98-A41F-9BEF7EE84444}"/>
            </c:ext>
          </c:extLst>
        </c:ser>
        <c:ser>
          <c:idx val="4"/>
          <c:order val="4"/>
          <c:tx>
            <c:strRef>
              <c:f>[1]Producto!$AI$6</c:f>
              <c:strCache>
                <c:ptCount val="1"/>
                <c:pt idx="0">
                  <c:v>linea vertical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[1]Producto!$AJ$7:$AJ$8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[1]Producto!$AK$7:$AK$8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99-4E98-A41F-9BEF7EE84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34672"/>
        <c:axId val="667634192"/>
      </c:scatterChart>
      <c:valAx>
        <c:axId val="667634672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Ejecutabilidad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67634192"/>
        <c:crosses val="autoZero"/>
        <c:crossBetween val="midCat"/>
      </c:valAx>
      <c:valAx>
        <c:axId val="667634192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Atractividad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6763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Ventas Enero-Feb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Gestión!$M$6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Gestión!$N$5:$Q$5</c:f>
              <c:strCache>
                <c:ptCount val="4"/>
                <c:pt idx="0">
                  <c:v>Ventas Enero</c:v>
                </c:pt>
                <c:pt idx="1">
                  <c:v>Ventas Febrero</c:v>
                </c:pt>
                <c:pt idx="2">
                  <c:v>Proyección  Marzo</c:v>
                </c:pt>
                <c:pt idx="3">
                  <c:v>Proyección Abril</c:v>
                </c:pt>
              </c:strCache>
            </c:strRef>
          </c:cat>
          <c:val>
            <c:numRef>
              <c:f>Gestión!$N$6:$Q$6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474400</c:v>
                </c:pt>
                <c:pt idx="3">
                  <c:v>630000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2-4DC6-A425-68017BB73990}"/>
            </c:ext>
          </c:extLst>
        </c:ser>
        <c:ser>
          <c:idx val="1"/>
          <c:order val="1"/>
          <c:tx>
            <c:strRef>
              <c:f>Gestión!$M$7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Gestión!$N$5:$Q$5</c:f>
              <c:strCache>
                <c:ptCount val="4"/>
                <c:pt idx="0">
                  <c:v>Ventas Enero</c:v>
                </c:pt>
                <c:pt idx="1">
                  <c:v>Ventas Febrero</c:v>
                </c:pt>
                <c:pt idx="2">
                  <c:v>Proyección  Marzo</c:v>
                </c:pt>
                <c:pt idx="3">
                  <c:v>Proyección Abril</c:v>
                </c:pt>
              </c:strCache>
            </c:strRef>
          </c:cat>
          <c:val>
            <c:numRef>
              <c:f>Gestión!$N$7:$Q$7</c:f>
              <c:numCache>
                <c:formatCode>#,##0</c:formatCode>
                <c:ptCount val="4"/>
                <c:pt idx="0">
                  <c:v>450000</c:v>
                </c:pt>
                <c:pt idx="1">
                  <c:v>211000</c:v>
                </c:pt>
                <c:pt idx="2">
                  <c:v>310000</c:v>
                </c:pt>
                <c:pt idx="3">
                  <c:v>1560000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2-4DC6-A425-68017BB73990}"/>
            </c:ext>
          </c:extLst>
        </c:ser>
        <c:ser>
          <c:idx val="2"/>
          <c:order val="2"/>
          <c:tx>
            <c:strRef>
              <c:f>Gestión!$M$8</c:f>
              <c:strCache>
                <c:ptCount val="1"/>
                <c:pt idx="0">
                  <c:v>EEUU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Gestión!$N$5:$Q$5</c:f>
              <c:strCache>
                <c:ptCount val="4"/>
                <c:pt idx="0">
                  <c:v>Ventas Enero</c:v>
                </c:pt>
                <c:pt idx="1">
                  <c:v>Ventas Febrero</c:v>
                </c:pt>
                <c:pt idx="2">
                  <c:v>Proyección  Marzo</c:v>
                </c:pt>
                <c:pt idx="3">
                  <c:v>Proyección Abril</c:v>
                </c:pt>
              </c:strCache>
            </c:strRef>
          </c:cat>
          <c:val>
            <c:numRef>
              <c:f>Gestión!$N$8:$Q$8</c:f>
              <c:numCache>
                <c:formatCode>General</c:formatCode>
                <c:ptCount val="4"/>
                <c:pt idx="0" formatCode="#,##0">
                  <c:v>116000</c:v>
                </c:pt>
                <c:pt idx="1">
                  <c:v>0</c:v>
                </c:pt>
                <c:pt idx="2" formatCode="#,##0">
                  <c:v>0</c:v>
                </c:pt>
                <c:pt idx="3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B2-4DC6-A425-68017BB73990}"/>
            </c:ext>
          </c:extLst>
        </c:ser>
        <c:ser>
          <c:idx val="3"/>
          <c:order val="3"/>
          <c:tx>
            <c:strRef>
              <c:f>Gestión!$M$9</c:f>
              <c:strCache>
                <c:ptCount val="1"/>
                <c:pt idx="0">
                  <c:v>Perú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Gestión!$N$5:$Q$5</c:f>
              <c:strCache>
                <c:ptCount val="4"/>
                <c:pt idx="0">
                  <c:v>Ventas Enero</c:v>
                </c:pt>
                <c:pt idx="1">
                  <c:v>Ventas Febrero</c:v>
                </c:pt>
                <c:pt idx="2">
                  <c:v>Proyección  Marzo</c:v>
                </c:pt>
                <c:pt idx="3">
                  <c:v>Proyección Abril</c:v>
                </c:pt>
              </c:strCache>
            </c:strRef>
          </c:cat>
          <c:val>
            <c:numRef>
              <c:f>Gestión!$N$9:$Q$9</c:f>
              <c:numCache>
                <c:formatCode>#,##0</c:formatCode>
                <c:ptCount val="4"/>
                <c:pt idx="0">
                  <c:v>490000</c:v>
                </c:pt>
                <c:pt idx="1">
                  <c:v>1035000</c:v>
                </c:pt>
                <c:pt idx="2">
                  <c:v>108000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B2-4DC6-A425-68017BB73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664800"/>
        <c:axId val="67665280"/>
      </c:barChart>
      <c:catAx>
        <c:axId val="6766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7665280"/>
        <c:crosses val="autoZero"/>
        <c:auto val="1"/>
        <c:lblAlgn val="ctr"/>
        <c:lblOffset val="100"/>
        <c:noMultiLvlLbl val="0"/>
      </c:catAx>
      <c:valAx>
        <c:axId val="676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7664800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400" b="1" i="0" u="none" strike="noStrike" kern="1200" baseline="0" dirty="0">
                <a:solidFill>
                  <a:srgbClr val="0E2841"/>
                </a:solidFill>
              </a:rPr>
              <a:t>Distribución x tipo de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B6-48C1-B8C5-9A2B57D50A1B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B6-48C1-B8C5-9A2B57D50A1B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B6-48C1-B8C5-9A2B57D50A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Gestión!$L$55:$L$57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Target</c:v>
                </c:pt>
              </c:strCache>
            </c:strRef>
          </c:cat>
          <c:val>
            <c:numRef>
              <c:f>Gestión!$N$55:$N$57</c:f>
              <c:numCache>
                <c:formatCode>0%</c:formatCode>
                <c:ptCount val="3"/>
                <c:pt idx="0">
                  <c:v>0.33711566617862371</c:v>
                </c:pt>
                <c:pt idx="1">
                  <c:v>0.13909224011713031</c:v>
                </c:pt>
                <c:pt idx="2">
                  <c:v>0.52379209370424595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C-4BB2-85E9-947A819E2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400" b="1" i="0" u="none" strike="noStrike" kern="1200" baseline="0" dirty="0">
                <a:solidFill>
                  <a:srgbClr val="0E2841"/>
                </a:solidFill>
              </a:rPr>
              <a:t>Distribución x tipo de estudio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1057081048722912"/>
          <c:y val="0.19521188064872599"/>
          <c:w val="0.44121860975705041"/>
          <c:h val="0.653078598128448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28-43EF-BBD3-D0DD38EDB9F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28-43EF-BBD3-D0DD38EDB9F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28-43EF-BBD3-D0DD38EDB9F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28-43EF-BBD3-D0DD38EDB9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Gestión!$L$46:$L$49</c:f>
              <c:strCache>
                <c:ptCount val="4"/>
                <c:pt idx="0">
                  <c:v>Consultoría minera</c:v>
                </c:pt>
                <c:pt idx="1">
                  <c:v>Ing. de minas</c:v>
                </c:pt>
                <c:pt idx="2">
                  <c:v>Planificación estratégica</c:v>
                </c:pt>
                <c:pt idx="3">
                  <c:v>Simulación de sistemas mineros</c:v>
                </c:pt>
              </c:strCache>
            </c:strRef>
          </c:cat>
          <c:val>
            <c:numRef>
              <c:f>Gestión!$N$46:$N$49</c:f>
              <c:numCache>
                <c:formatCode>0%</c:formatCode>
                <c:ptCount val="4"/>
                <c:pt idx="0">
                  <c:v>2.0497803806734993E-2</c:v>
                </c:pt>
                <c:pt idx="1">
                  <c:v>0.75805270863836016</c:v>
                </c:pt>
                <c:pt idx="2">
                  <c:v>0.14458272327964861</c:v>
                </c:pt>
                <c:pt idx="3">
                  <c:v>7.6866764275256225E-2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5-499E-9C3E-C4B4DFC93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800" b="1"/>
              <a:t>Proyección de EDP Emitidos segun Pipeline + Remanentes 2024</a:t>
            </a:r>
          </a:p>
        </c:rich>
      </c:tx>
      <c:layout>
        <c:manualLayout>
          <c:xMode val="edge"/>
          <c:yMode val="edge"/>
          <c:x val="1.1882321011888505E-2"/>
          <c:y val="1.9890182611963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6.0091095611606422E-2"/>
          <c:y val="0.10749453790468229"/>
          <c:w val="0.89917778100774814"/>
          <c:h val="0.75897520274905306"/>
        </c:manualLayout>
      </c:layout>
      <c:areaChart>
        <c:grouping val="stacked"/>
        <c:varyColors val="0"/>
        <c:ser>
          <c:idx val="0"/>
          <c:order val="0"/>
          <c:tx>
            <c:strRef>
              <c:f>'Tabla Budget'!$C$4</c:f>
              <c:strCache>
                <c:ptCount val="1"/>
                <c:pt idx="0">
                  <c:v>Remanente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'Tabla Budget'!$D$3:$O$3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Budget'!$D$4:$O$4</c:f>
              <c:numCache>
                <c:formatCode>#,##0</c:formatCode>
                <c:ptCount val="12"/>
                <c:pt idx="0">
                  <c:v>753937</c:v>
                </c:pt>
                <c:pt idx="1">
                  <c:v>565714</c:v>
                </c:pt>
                <c:pt idx="2">
                  <c:v>326816</c:v>
                </c:pt>
                <c:pt idx="3">
                  <c:v>326816</c:v>
                </c:pt>
                <c:pt idx="4">
                  <c:v>191513</c:v>
                </c:pt>
                <c:pt idx="5">
                  <c:v>191513</c:v>
                </c:pt>
                <c:pt idx="6">
                  <c:v>161442</c:v>
                </c:pt>
                <c:pt idx="7">
                  <c:v>19435</c:v>
                </c:pt>
                <c:pt idx="8">
                  <c:v>19435</c:v>
                </c:pt>
                <c:pt idx="9">
                  <c:v>19435</c:v>
                </c:pt>
                <c:pt idx="10">
                  <c:v>19435</c:v>
                </c:pt>
                <c:pt idx="11">
                  <c:v>19435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4-406D-9DBC-B1E44DAF9AB5}"/>
            </c:ext>
          </c:extLst>
        </c:ser>
        <c:ser>
          <c:idx val="1"/>
          <c:order val="1"/>
          <c:tx>
            <c:strRef>
              <c:f>'Tabla Budget'!$C$5</c:f>
              <c:strCache>
                <c:ptCount val="1"/>
                <c:pt idx="0">
                  <c:v>Vendido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'Tabla Budget'!$D$3:$O$3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Budget'!$D$5:$O$5</c:f>
              <c:numCache>
                <c:formatCode>#,##0</c:formatCode>
                <c:ptCount val="12"/>
                <c:pt idx="1">
                  <c:v>277666.66666666669</c:v>
                </c:pt>
                <c:pt idx="2">
                  <c:v>327666.66666666669</c:v>
                </c:pt>
                <c:pt idx="3">
                  <c:v>252666.66666666669</c:v>
                </c:pt>
                <c:pt idx="4">
                  <c:v>36000</c:v>
                </c:pt>
                <c:pt idx="5">
                  <c:v>36000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4-406D-9DBC-B1E44DAF9AB5}"/>
            </c:ext>
          </c:extLst>
        </c:ser>
        <c:ser>
          <c:idx val="2"/>
          <c:order val="2"/>
          <c:tx>
            <c:strRef>
              <c:f>'Tabla Budget'!$C$6</c:f>
              <c:strCache>
                <c:ptCount val="1"/>
                <c:pt idx="0">
                  <c:v>Proyección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'Tabla Budget'!$D$3:$O$3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Budget'!$D$6:$O$6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244561.66666666669</c:v>
                </c:pt>
                <c:pt idx="3">
                  <c:v>460753.33333333337</c:v>
                </c:pt>
                <c:pt idx="4">
                  <c:v>631753.33333333337</c:v>
                </c:pt>
                <c:pt idx="5">
                  <c:v>496866.66666666669</c:v>
                </c:pt>
                <c:pt idx="6">
                  <c:v>427960</c:v>
                </c:pt>
                <c:pt idx="7">
                  <c:v>342626.66666666663</c:v>
                </c:pt>
                <c:pt idx="8">
                  <c:v>342626.66666666663</c:v>
                </c:pt>
                <c:pt idx="9">
                  <c:v>310541.66666666663</c:v>
                </c:pt>
                <c:pt idx="10">
                  <c:v>134875</c:v>
                </c:pt>
                <c:pt idx="11">
                  <c:v>134875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64-406D-9DBC-B1E44DAF9AB5}"/>
            </c:ext>
          </c:extLst>
        </c:ser>
        <c:ser>
          <c:idx val="3"/>
          <c:order val="3"/>
          <c:tx>
            <c:strRef>
              <c:f>'Tabla Budget'!$C$7</c:f>
              <c:strCache>
                <c:ptCount val="1"/>
                <c:pt idx="0">
                  <c:v>Pipeline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'Tabla Budget'!$D$3:$O$3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Budget'!$D$7:$O$7</c:f>
              <c:numCache>
                <c:formatCode>#,##0</c:formatCode>
                <c:ptCount val="12"/>
                <c:pt idx="6">
                  <c:v>255598</c:v>
                </c:pt>
                <c:pt idx="7">
                  <c:v>482938.33333333337</c:v>
                </c:pt>
                <c:pt idx="8">
                  <c:v>482938.33333333337</c:v>
                </c:pt>
                <c:pt idx="9">
                  <c:v>515023.33333333337</c:v>
                </c:pt>
                <c:pt idx="10">
                  <c:v>690690</c:v>
                </c:pt>
                <c:pt idx="11">
                  <c:v>502212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64-406D-9DBC-B1E44DAF9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654112"/>
        <c:axId val="1484654592"/>
      </c:areaChart>
      <c:dateAx>
        <c:axId val="14846541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484654592"/>
        <c:crosses val="autoZero"/>
        <c:auto val="1"/>
        <c:lblOffset val="100"/>
        <c:baseTimeUnit val="months"/>
      </c:dateAx>
      <c:valAx>
        <c:axId val="148465459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48465411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Proyección</a:t>
            </a:r>
            <a:r>
              <a:rPr lang="es-CL" baseline="0"/>
              <a:t> </a:t>
            </a:r>
            <a:r>
              <a:rPr lang="es-CL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Budget'!$R$5</c:f>
              <c:strCache>
                <c:ptCount val="1"/>
                <c:pt idx="0">
                  <c:v>Vendido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'Tabla Budget'!$S$3:$AD$3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Budget'!$S$5:$AD$5</c:f>
              <c:numCache>
                <c:formatCode>#,##0</c:formatCode>
                <c:ptCount val="12"/>
                <c:pt idx="0">
                  <c:v>930000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B-4C08-83DD-A0D1BC5E5995}"/>
            </c:ext>
          </c:extLst>
        </c:ser>
        <c:ser>
          <c:idx val="1"/>
          <c:order val="1"/>
          <c:tx>
            <c:strRef>
              <c:f>'Tabla Budget'!$R$6</c:f>
              <c:strCache>
                <c:ptCount val="1"/>
                <c:pt idx="0">
                  <c:v>Proyección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'Tabla Budget'!$S$3:$AD$3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Budget'!$S$6:$AD$6</c:f>
              <c:numCache>
                <c:formatCode>#,##0</c:formatCode>
                <c:ptCount val="12"/>
                <c:pt idx="1">
                  <c:v>1008000</c:v>
                </c:pt>
                <c:pt idx="2">
                  <c:v>1590000</c:v>
                </c:pt>
                <c:pt idx="3">
                  <c:v>1406000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B-4C08-83DD-A0D1BC5E5995}"/>
            </c:ext>
          </c:extLst>
        </c:ser>
        <c:ser>
          <c:idx val="2"/>
          <c:order val="2"/>
          <c:tx>
            <c:strRef>
              <c:f>'Tabla Budget'!$R$7</c:f>
              <c:strCache>
                <c:ptCount val="1"/>
                <c:pt idx="0">
                  <c:v>Pipeline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'Tabla Budget'!$S$3:$AD$3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'Tabla Budget'!$S$7:$AD$7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732350</c:v>
                </c:pt>
                <c:pt idx="5">
                  <c:v>732350</c:v>
                </c:pt>
                <c:pt idx="6">
                  <c:v>732350</c:v>
                </c:pt>
                <c:pt idx="7">
                  <c:v>732350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7B-4C08-83DD-A0D1BC5E5995}"/>
            </c:ext>
          </c:extLst>
        </c:ser>
        <c:ser>
          <c:idx val="4"/>
          <c:order val="4"/>
          <c:tx>
            <c:strRef>
              <c:f>'Tabla Budget'!$R$8</c:f>
              <c:strCache>
                <c:ptCount val="1"/>
                <c:pt idx="0">
                  <c:v>Por Identificar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'Tabla Budget'!$S$8:$AD$8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800000</c:v>
                </c:pt>
                <c:pt idx="9">
                  <c:v>800000</c:v>
                </c:pt>
                <c:pt idx="10">
                  <c:v>800000</c:v>
                </c:pt>
                <c:pt idx="11">
                  <c:v>536600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E7B-4C08-83DD-A0D1BC5E5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4460671"/>
        <c:axId val="394466431"/>
      </c:barChart>
      <c:lineChart>
        <c:grouping val="standard"/>
        <c:varyColors val="0"/>
        <c:ser>
          <c:idx val="3"/>
          <c:order val="3"/>
          <c:tx>
            <c:strRef>
              <c:f>'Tabla Budget'!$R$12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'Tabla Budget'!$S$12:$AD$12</c:f>
              <c:numCache>
                <c:formatCode>#,##0</c:formatCode>
                <c:ptCount val="12"/>
                <c:pt idx="0">
                  <c:v>900000</c:v>
                </c:pt>
                <c:pt idx="1">
                  <c:v>900000</c:v>
                </c:pt>
                <c:pt idx="2">
                  <c:v>900000</c:v>
                </c:pt>
                <c:pt idx="3">
                  <c:v>900000</c:v>
                </c:pt>
                <c:pt idx="4">
                  <c:v>900000</c:v>
                </c:pt>
                <c:pt idx="5">
                  <c:v>900000</c:v>
                </c:pt>
                <c:pt idx="6">
                  <c:v>900000</c:v>
                </c:pt>
                <c:pt idx="7">
                  <c:v>900000</c:v>
                </c:pt>
                <c:pt idx="8">
                  <c:v>900000</c:v>
                </c:pt>
                <c:pt idx="9">
                  <c:v>900000</c:v>
                </c:pt>
                <c:pt idx="10">
                  <c:v>900000</c:v>
                </c:pt>
                <c:pt idx="11">
                  <c:v>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7B-4C08-83DD-A0D1BC5E5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573359"/>
        <c:axId val="582572879"/>
      </c:lineChart>
      <c:dateAx>
        <c:axId val="39446067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4466431"/>
        <c:crosses val="autoZero"/>
        <c:auto val="1"/>
        <c:lblOffset val="100"/>
        <c:baseTimeUnit val="months"/>
      </c:dateAx>
      <c:valAx>
        <c:axId val="394466431"/>
        <c:scaling>
          <c:orientation val="minMax"/>
          <c:max val="1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4460671"/>
        <c:crosses val="autoZero"/>
        <c:crossBetween val="between"/>
      </c:valAx>
      <c:valAx>
        <c:axId val="582572879"/>
        <c:scaling>
          <c:orientation val="minMax"/>
          <c:max val="180000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2573359"/>
        <c:crosses val="max"/>
        <c:crossBetween val="between"/>
      </c:valAx>
      <c:catAx>
        <c:axId val="582573359"/>
        <c:scaling>
          <c:orientation val="minMax"/>
        </c:scaling>
        <c:delete val="1"/>
        <c:axPos val="b"/>
        <c:majorTickMark val="out"/>
        <c:minorTickMark val="none"/>
        <c:tickLblPos val="nextTo"/>
        <c:crossAx val="582572879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1110582569740897"/>
          <c:y val="0.19460393487742483"/>
          <c:w val="0.50928350223499441"/>
          <c:h val="0.68675557277850174"/>
        </c:manualLayout>
      </c:layout>
      <c:pieChart>
        <c:varyColors val="1"/>
        <c:ser>
          <c:idx val="0"/>
          <c:order val="0"/>
          <c:tx>
            <c:strRef>
              <c:f>Resumen!$G$27</c:f>
              <c:strCache>
                <c:ptCount val="1"/>
                <c:pt idx="0">
                  <c:v>Pipeline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83-4A63-8C2F-46E307CC274F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283-4A63-8C2F-46E307CC274F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83-4A63-8C2F-46E307CC274F}"/>
              </c:ext>
            </c:extLst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7C-478F-9686-43E82C2539A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Resumen!$F$28:$F$31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EEUU</c:v>
                </c:pt>
              </c:strCache>
            </c:strRef>
          </c:cat>
          <c:val>
            <c:numRef>
              <c:f>Resumen!$G$28:$G$31</c:f>
              <c:numCache>
                <c:formatCode>0%</c:formatCode>
                <c:ptCount val="4"/>
                <c:pt idx="0">
                  <c:v>0.3366863905325444</c:v>
                </c:pt>
                <c:pt idx="1">
                  <c:v>0.22544378698224851</c:v>
                </c:pt>
                <c:pt idx="2">
                  <c:v>0.18047337278106509</c:v>
                </c:pt>
                <c:pt idx="3">
                  <c:v>0.25739644970414199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3-4A63-8C2F-46E307CC2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642451</xdr:colOff>
      <xdr:row>22</xdr:row>
      <xdr:rowOff>154907</xdr:rowOff>
    </xdr:from>
    <xdr:to>
      <xdr:col>44</xdr:col>
      <xdr:colOff>214113</xdr:colOff>
      <xdr:row>37</xdr:row>
      <xdr:rowOff>172543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024AE0C-7FC6-473D-A57C-8BEE7A62C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3496" y="4650707"/>
          <a:ext cx="9473852" cy="2871326"/>
        </a:xfrm>
        <a:prstGeom prst="rect">
          <a:avLst/>
        </a:prstGeom>
      </xdr:spPr>
    </xdr:pic>
    <xdr:clientData/>
  </xdr:twoCellAnchor>
  <xdr:twoCellAnchor>
    <xdr:from>
      <xdr:col>16</xdr:col>
      <xdr:colOff>236838</xdr:colOff>
      <xdr:row>43</xdr:row>
      <xdr:rowOff>3862</xdr:rowOff>
    </xdr:from>
    <xdr:to>
      <xdr:col>30</xdr:col>
      <xdr:colOff>726281</xdr:colOff>
      <xdr:row>68</xdr:row>
      <xdr:rowOff>83344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A709C3-6B17-4E5F-BA09-B4CC99F5B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624230</xdr:colOff>
      <xdr:row>20</xdr:row>
      <xdr:rowOff>121207</xdr:rowOff>
    </xdr:from>
    <xdr:to>
      <xdr:col>19</xdr:col>
      <xdr:colOff>625615</xdr:colOff>
      <xdr:row>39</xdr:row>
      <xdr:rowOff>81987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69B8E9-AAAC-F8BF-C46B-DB3D8C5C3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235324</xdr:colOff>
      <xdr:row>35</xdr:row>
      <xdr:rowOff>129988</xdr:rowOff>
    </xdr:from>
    <xdr:to>
      <xdr:col>10</xdr:col>
      <xdr:colOff>515471</xdr:colOff>
      <xdr:row>51</xdr:row>
      <xdr:rowOff>4482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5A6C2C-2FE5-F06B-0E47-F91BA0DCC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963706</xdr:colOff>
      <xdr:row>38</xdr:row>
      <xdr:rowOff>152399</xdr:rowOff>
    </xdr:from>
    <xdr:to>
      <xdr:col>9</xdr:col>
      <xdr:colOff>616324</xdr:colOff>
      <xdr:row>56</xdr:row>
      <xdr:rowOff>89646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1EB33FF-5709-4864-D367-6E4BA1E2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777938</xdr:colOff>
      <xdr:row>47</xdr:row>
      <xdr:rowOff>174526</xdr:rowOff>
    </xdr:from>
    <xdr:to>
      <xdr:col>35</xdr:col>
      <xdr:colOff>746073</xdr:colOff>
      <xdr:row>71</xdr:row>
      <xdr:rowOff>165357</xdr:rowOff>
    </xdr:to>
    <xdr:graphicFrame macro="">
      <xdr:nvGraphicFramePr>
        <xdr:cNvPr id="13" name="Gráfico 3">
          <a:extLst>
            <a:ext uri="{FF2B5EF4-FFF2-40B4-BE49-F238E27FC236}">
              <a16:creationId xmlns:a16="http://schemas.microsoft.com/office/drawing/2014/main" id="{6911F969-3BD1-C14F-29E1-8D1CC13E2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471350</xdr:colOff>
      <xdr:row>14</xdr:row>
      <xdr:rowOff>62865</xdr:rowOff>
    </xdr:from>
    <xdr:to>
      <xdr:col>30</xdr:col>
      <xdr:colOff>855345</xdr:colOff>
      <xdr:row>32</xdr:row>
      <xdr:rowOff>91439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591D920-8C89-BD12-D4D5-5607ABAE2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139521</xdr:colOff>
      <xdr:row>9</xdr:row>
      <xdr:rowOff>66540</xdr:rowOff>
    </xdr:from>
    <xdr:to>
      <xdr:col>14</xdr:col>
      <xdr:colOff>482958</xdr:colOff>
      <xdr:row>25</xdr:row>
      <xdr:rowOff>171718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787791-33BE-D377-5264-D0E1C5450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15241</xdr:colOff>
      <xdr:row>1</xdr:row>
      <xdr:rowOff>15240</xdr:rowOff>
    </xdr:from>
    <xdr:to>
      <xdr:col>16</xdr:col>
      <xdr:colOff>304801</xdr:colOff>
      <xdr:row>20</xdr:row>
      <xdr:rowOff>165556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7B862A-6E8A-7FB2-75A0-2A29AE08C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11101" y="198120"/>
          <a:ext cx="6568440" cy="36250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dcoglobalcl.sharepoint.com/sites/REDCOComercial234/Shared%20Documents/General/Pipeline%20&amp;%20Control%20de%20propuestas/A&#241;os%20Anteriores/Base%20de%20datos%20&amp;%20Pipeline/REDCO_Propuestas_Do-Ability_vs_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o"/>
      <sheetName val="#¡REF"/>
    </sheetNames>
    <sheetDataSet>
      <sheetData sheetId="0">
        <row r="2">
          <cell r="AI2" t="str">
            <v>linea horizontal</v>
          </cell>
        </row>
        <row r="3">
          <cell r="AJ3">
            <v>1</v>
          </cell>
          <cell r="AK3">
            <v>3</v>
          </cell>
        </row>
        <row r="4">
          <cell r="AJ4">
            <v>5</v>
          </cell>
          <cell r="AK4">
            <v>3</v>
          </cell>
        </row>
        <row r="6">
          <cell r="AI6" t="str">
            <v>linea vertical</v>
          </cell>
        </row>
        <row r="7">
          <cell r="AJ7">
            <v>3</v>
          </cell>
          <cell r="AK7">
            <v>1</v>
          </cell>
        </row>
        <row r="8">
          <cell r="AJ8">
            <v>3</v>
          </cell>
          <cell r="AK8">
            <v>5</v>
          </cell>
        </row>
        <row r="47">
          <cell r="B47">
            <v>1</v>
          </cell>
          <cell r="M47">
            <v>1.1000000000000001</v>
          </cell>
          <cell r="P47">
            <v>3.85</v>
          </cell>
        </row>
        <row r="48">
          <cell r="B48">
            <v>2</v>
          </cell>
          <cell r="M48">
            <v>2.15</v>
          </cell>
          <cell r="P48">
            <v>3.7</v>
          </cell>
        </row>
        <row r="49">
          <cell r="B49">
            <v>3</v>
          </cell>
          <cell r="M49">
            <v>2.2000000000000002</v>
          </cell>
          <cell r="P49">
            <v>2.95</v>
          </cell>
        </row>
        <row r="50">
          <cell r="B50">
            <v>4</v>
          </cell>
          <cell r="M50">
            <v>2.15</v>
          </cell>
          <cell r="P50">
            <v>3.3000000000000003</v>
          </cell>
        </row>
        <row r="51">
          <cell r="B51">
            <v>5</v>
          </cell>
          <cell r="M51">
            <v>1.45</v>
          </cell>
          <cell r="P51">
            <v>4.05</v>
          </cell>
        </row>
        <row r="52">
          <cell r="B52">
            <v>6</v>
          </cell>
          <cell r="M52">
            <v>2.15</v>
          </cell>
          <cell r="P52">
            <v>3.25</v>
          </cell>
        </row>
        <row r="53">
          <cell r="B53">
            <v>7</v>
          </cell>
          <cell r="M53">
            <v>1.9500000000000002</v>
          </cell>
          <cell r="P53">
            <v>2.3000000000000003</v>
          </cell>
        </row>
        <row r="54">
          <cell r="B54">
            <v>8</v>
          </cell>
          <cell r="M54">
            <v>2.2999999999999998</v>
          </cell>
          <cell r="P54">
            <v>3.15</v>
          </cell>
        </row>
        <row r="55">
          <cell r="B55">
            <v>9</v>
          </cell>
          <cell r="M55">
            <v>2.15</v>
          </cell>
          <cell r="P55">
            <v>3.0999999999999996</v>
          </cell>
        </row>
        <row r="56">
          <cell r="B56">
            <v>10</v>
          </cell>
          <cell r="M56">
            <v>1.85</v>
          </cell>
          <cell r="P56">
            <v>3.1500000000000004</v>
          </cell>
        </row>
        <row r="57">
          <cell r="B57">
            <v>11</v>
          </cell>
          <cell r="M57">
            <v>2.15</v>
          </cell>
          <cell r="P57">
            <v>3.5999999999999996</v>
          </cell>
        </row>
        <row r="58">
          <cell r="B58">
            <v>12</v>
          </cell>
          <cell r="M58">
            <v>1.2999999999999998</v>
          </cell>
          <cell r="P58">
            <v>1.6500000000000001</v>
          </cell>
        </row>
        <row r="59">
          <cell r="B59">
            <v>13</v>
          </cell>
          <cell r="M59">
            <v>1.6</v>
          </cell>
          <cell r="P59">
            <v>2.8</v>
          </cell>
        </row>
        <row r="60">
          <cell r="B60">
            <v>14</v>
          </cell>
          <cell r="M60">
            <v>1.85</v>
          </cell>
          <cell r="P60">
            <v>3.2</v>
          </cell>
        </row>
        <row r="61">
          <cell r="B61">
            <v>15</v>
          </cell>
          <cell r="M61">
            <v>0</v>
          </cell>
          <cell r="P61">
            <v>0</v>
          </cell>
        </row>
        <row r="62">
          <cell r="B62">
            <v>16</v>
          </cell>
          <cell r="M62">
            <v>2.8</v>
          </cell>
          <cell r="P62">
            <v>3.25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duardo Cuevas" id="{54D23F40-6AA6-EB4B-856D-440F7EAED13A}" userId="S::ecuevas@redcoglobal.com::1895eeda-fe30-4958-a15c-75961a407efe" providerId="AD"/>
  <person displayName="Pedro Aguiluz" id="{62F0E504-4ECD-4BDF-A279-42ACAFB2CCAB}" userId="S::paguiluz@redcoglobal.com::86d19a04-0507-4d06-bd77-f95e1bb8ebd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dcoPA" refreshedDate="45733.447010069445" createdVersion="8" refreshedVersion="8" minRefreshableVersion="3" recordCount="589" xr:uid="{27DFBCB5-C85A-4634-ABBA-953FD92DD021}">
  <cacheSource type="worksheet">
    <worksheetSource ref="A1:V1048576" sheet="CRM"/>
  </cacheSource>
  <cacheFields count="22">
    <cacheField name="ID" numFmtId="0">
      <sharedItems containsString="0" containsBlank="1" containsNumber="1" containsInteger="1" minValue="1" maxValue="120"/>
    </cacheField>
    <cacheField name="País" numFmtId="0">
      <sharedItems containsBlank="1" count="5">
        <s v="Perú"/>
        <s v="Chile"/>
        <s v="EEUU"/>
        <s v="Brasil"/>
        <m/>
      </sharedItems>
    </cacheField>
    <cacheField name="Descripcion Oportunidad" numFmtId="0">
      <sharedItems containsBlank="1"/>
    </cacheField>
    <cacheField name="Empresa" numFmtId="0">
      <sharedItems containsBlank="1"/>
    </cacheField>
    <cacheField name="Mina" numFmtId="0">
      <sharedItems containsBlank="1"/>
    </cacheField>
    <cacheField name="Tipo de Estudio" numFmtId="0">
      <sharedItems containsBlank="1"/>
    </cacheField>
    <cacheField name="Gestor Comercial" numFmtId="0">
      <sharedItems containsBlank="1"/>
    </cacheField>
    <cacheField name="Monto (USD)" numFmtId="0">
      <sharedItems containsString="0" containsBlank="1" containsNumber="1" containsInteger="1" minValue="0" maxValue="1380000"/>
    </cacheField>
    <cacheField name="Modulos" numFmtId="0">
      <sharedItems containsNonDate="0" containsString="0" containsBlank="1"/>
    </cacheField>
    <cacheField name="Duracion (meses)" numFmtId="0">
      <sharedItems containsBlank="1" containsMixedTypes="1" containsNumber="1" minValue="0.5" maxValue="18"/>
    </cacheField>
    <cacheField name="USD/mes" numFmtId="0">
      <sharedItems containsString="0" containsBlank="1" containsNumber="1" minValue="0" maxValue="276000"/>
    </cacheField>
    <cacheField name="Tipo Cliente" numFmtId="0">
      <sharedItems containsBlank="1" count="5">
        <s v="Regular"/>
        <m/>
        <s v="Premium"/>
        <s v="Target"/>
        <s v="Leads"/>
      </sharedItems>
    </cacheField>
    <cacheField name="Tipo de _x000a_Minería" numFmtId="0">
      <sharedItems containsBlank="1"/>
    </cacheField>
    <cacheField name="Forma de Venta" numFmtId="0">
      <sharedItems containsBlank="1"/>
    </cacheField>
    <cacheField name="Etapa" numFmtId="0">
      <sharedItems containsBlank="1" count="9">
        <s v="ODS"/>
        <s v="Presentación Ad-Hoc"/>
        <s v="Seguimiento"/>
        <s v="No Adjudicada"/>
        <s v="Cierre y Negociacón"/>
        <s v="Iniciativa "/>
        <s v="Construcción Propuesta"/>
        <s v="Contacto Inicial (Enganche)"/>
        <m/>
      </sharedItems>
    </cacheField>
    <cacheField name="Fecha de Envío" numFmtId="0">
      <sharedItems containsNonDate="0" containsDate="1" containsString="0" containsBlank="1" minDate="2024-12-20T00:00:00" maxDate="2025-12-26T00:00:00"/>
    </cacheField>
    <cacheField name="Semana de Adjudicación" numFmtId="0">
      <sharedItems containsDate="1" containsBlank="1" containsMixedTypes="1" minDate="2025-02-10T00:00:00" maxDate="2025-03-16T00:00:00"/>
    </cacheField>
    <cacheField name="Motivo de No Adjudicación" numFmtId="0">
      <sharedItems containsBlank="1"/>
    </cacheField>
    <cacheField name="Comentarios" numFmtId="0">
      <sharedItems containsBlank="1"/>
    </cacheField>
    <cacheField name="Contacto Clave" numFmtId="0">
      <sharedItems containsBlank="1"/>
    </cacheField>
    <cacheField name="Ultima Acción Comprometida" numFmtId="0">
      <sharedItems containsBlank="1"/>
    </cacheField>
    <cacheField name="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9">
  <r>
    <n v="1"/>
    <x v="0"/>
    <s v="Diagnostico operaciónal y construcción de planes alternativos (Blue Sky y potencial)"/>
    <s v="OCP"/>
    <s v="Cobriza"/>
    <s v="Planificación estratégica"/>
    <s v="PA"/>
    <n v="180000"/>
    <m/>
    <n v="3"/>
    <n v="60000"/>
    <x v="0"/>
    <s v="UG"/>
    <s v="Solicitud Directa"/>
    <x v="0"/>
    <d v="2024-12-27T00:00:00"/>
    <s v="Enero"/>
    <m/>
    <m/>
    <m/>
    <m/>
    <m/>
  </r>
  <r>
    <n v="2"/>
    <x v="1"/>
    <s v="."/>
    <m/>
    <m/>
    <m/>
    <m/>
    <n v="0"/>
    <m/>
    <m/>
    <m/>
    <x v="1"/>
    <m/>
    <m/>
    <x v="1"/>
    <m/>
    <m/>
    <m/>
    <m/>
    <m/>
    <m/>
    <m/>
  </r>
  <r>
    <n v="3"/>
    <x v="0"/>
    <s v="PFS Ferrobamba Deep"/>
    <s v="Las Bambas"/>
    <s v="Ferrobamba"/>
    <s v="Ing. de minas"/>
    <s v="MF"/>
    <n v="1035000"/>
    <m/>
    <n v="13"/>
    <n v="79615.38461538461"/>
    <x v="2"/>
    <s v="UG"/>
    <s v="Reventa"/>
    <x v="0"/>
    <m/>
    <s v="Febrero"/>
    <m/>
    <m/>
    <s v="Maximiliano Adrove"/>
    <s v="En espera de resultados de REDCO, que se presentara el 31 de marzo para ver continuidad"/>
    <m/>
  </r>
  <r>
    <n v="4"/>
    <x v="1"/>
    <s v="Evaluación caso de negocio explotación SLS"/>
    <s v="CMP"/>
    <s v="Algarrobo"/>
    <s v="Planificación estratégica"/>
    <s v="FR"/>
    <n v="170000"/>
    <m/>
    <n v="3"/>
    <n v="56666.666666666664"/>
    <x v="2"/>
    <s v="UG"/>
    <s v="Solicitud Directa"/>
    <x v="2"/>
    <m/>
    <m/>
    <m/>
    <m/>
    <m/>
    <m/>
    <m/>
  </r>
  <r>
    <n v="5"/>
    <x v="2"/>
    <s v="Soporte caso de litigio Rio Tinto vs Gobierno Mongolia"/>
    <s v="McCarthy Abogados"/>
    <s v="Oyu Tolgoi"/>
    <s v="Consultoría minera"/>
    <s v="PV"/>
    <n v="566000"/>
    <m/>
    <n v="3"/>
    <n v="188666.66666666666"/>
    <x v="3"/>
    <s v="UG"/>
    <s v="Solicitud Directa"/>
    <x v="2"/>
    <m/>
    <m/>
    <m/>
    <m/>
    <m/>
    <m/>
    <m/>
  </r>
  <r>
    <n v="6"/>
    <x v="3"/>
    <s v="Servicio IQS para nueve assets"/>
    <s v="Vale"/>
    <m/>
    <s v="Mecánica de rocas"/>
    <s v="AS"/>
    <n v="450000"/>
    <m/>
    <n v="12"/>
    <n v="37500"/>
    <x v="3"/>
    <s v="OP/UG"/>
    <s v="Busqueda Activa"/>
    <x v="3"/>
    <m/>
    <m/>
    <m/>
    <m/>
    <m/>
    <m/>
    <m/>
  </r>
  <r>
    <n v="7"/>
    <x v="1"/>
    <s v="Estudio integral de LOM Mina Guarelo"/>
    <s v="CAP"/>
    <s v="Guarelo"/>
    <s v="Planificación estratégica"/>
    <s v="MF"/>
    <n v="60000"/>
    <m/>
    <n v="2"/>
    <n v="30000"/>
    <x v="0"/>
    <s v="OP"/>
    <s v="Reventa"/>
    <x v="2"/>
    <m/>
    <m/>
    <m/>
    <m/>
    <s v="Fernando Galez / Jaime Sepulveda"/>
    <s v="PA Contactara a Jaime Sepulveda a cargo de Guarelo para ver status de la mina y oportunidades de negocio"/>
    <m/>
  </r>
  <r>
    <n v="8"/>
    <x v="2"/>
    <s v="Technical Expert Support of the plaintiff’s allegation to Alio Gold Inc"/>
    <s v="McCarthy Abogados"/>
    <s v="Alio Gold"/>
    <s v="Consultoría minera"/>
    <s v="PV"/>
    <n v="340000"/>
    <m/>
    <n v="3"/>
    <n v="113333.33333333333"/>
    <x v="0"/>
    <s v="OP"/>
    <s v="Reventa"/>
    <x v="2"/>
    <m/>
    <m/>
    <m/>
    <m/>
    <m/>
    <m/>
    <m/>
  </r>
  <r>
    <n v="9"/>
    <x v="0"/>
    <s v="Preparación IV MEIA San German"/>
    <s v="Minsur"/>
    <s v="San Rafael"/>
    <s v="Ing. de minas"/>
    <s v="MF"/>
    <n v="240000"/>
    <m/>
    <n v="3"/>
    <n v="80000"/>
    <x v="2"/>
    <s v="UG"/>
    <s v="Solicitud Directa"/>
    <x v="4"/>
    <d v="2025-12-01T00:00:00"/>
    <s v="Enero"/>
    <m/>
    <s v="Se envio SOW para validar propuesta"/>
    <m/>
    <s v="Matias contactara Alex para cierre del estudio, sin embargo por conflico con jefe directo estamos menos agresivo"/>
    <m/>
  </r>
  <r>
    <n v="10"/>
    <x v="0"/>
    <s v="Revisión de validación reportes R&amp;R (15 assets)"/>
    <s v="Volcan"/>
    <m/>
    <s v="Consultoría minera"/>
    <s v="EL"/>
    <n v="220000"/>
    <m/>
    <n v="3"/>
    <n v="73333.333333333328"/>
    <x v="0"/>
    <s v="OP/UG"/>
    <s v="Licitación"/>
    <x v="3"/>
    <d v="2025-01-24T00:00:00"/>
    <m/>
    <m/>
    <m/>
    <s v="Freddy Gomez"/>
    <s v="Feedback de evaluación de parte tecnica, jueves 23"/>
    <m/>
  </r>
  <r>
    <n v="11"/>
    <x v="1"/>
    <s v="Ing. Pre factibilidad perforación HHD"/>
    <s v="Anglo American"/>
    <s v="Los Bronces"/>
    <s v="Ing. de minas"/>
    <s v="RM"/>
    <n v="180000"/>
    <m/>
    <n v="5"/>
    <n v="36000"/>
    <x v="3"/>
    <s v="OP"/>
    <s v="Busqueda Activa"/>
    <x v="0"/>
    <d v="2025-12-24T00:00:00"/>
    <s v="Enero"/>
    <m/>
    <m/>
    <m/>
    <m/>
    <m/>
  </r>
  <r>
    <n v="12"/>
    <x v="1"/>
    <s v="LOM estrategico "/>
    <s v="First Quantum"/>
    <s v="Cobre Panama"/>
    <s v="Planificación estratégica"/>
    <s v="PA"/>
    <n v="200000"/>
    <m/>
    <n v="3"/>
    <n v="66666.666666666672"/>
    <x v="0"/>
    <s v="OP"/>
    <s v="Solicitud Directa"/>
    <x v="0"/>
    <d v="2025-12-25T00:00:00"/>
    <s v="Enero"/>
    <m/>
    <m/>
    <m/>
    <m/>
    <m/>
  </r>
  <r>
    <n v="13"/>
    <x v="1"/>
    <s v="Estudio de productividad"/>
    <s v="Anglo American"/>
    <s v="Los Bronces"/>
    <s v="Consultoría minera"/>
    <s v="FR"/>
    <n v="56000"/>
    <m/>
    <n v="2"/>
    <n v="28000"/>
    <x v="3"/>
    <s v="OP"/>
    <s v="Solicitud Directa"/>
    <x v="4"/>
    <d v="2024-12-20T00:00:00"/>
    <s v="Febrero"/>
    <m/>
    <m/>
    <m/>
    <m/>
    <m/>
  </r>
  <r>
    <n v="14"/>
    <x v="1"/>
    <s v="Análisis de confiabilidad y detección de cuellos de botella del LoA 25 – Proyecto SCUT"/>
    <s v="BHP"/>
    <s v="Spence"/>
    <s v="Simulación de sistemas mineros"/>
    <s v="PA"/>
    <n v="35000"/>
    <m/>
    <n v="1"/>
    <n v="35000"/>
    <x v="3"/>
    <s v="OP"/>
    <s v="Reventa"/>
    <x v="0"/>
    <d v="2025-01-10T00:00:00"/>
    <s v="Enero"/>
    <m/>
    <m/>
    <m/>
    <m/>
    <m/>
  </r>
  <r>
    <n v="15"/>
    <x v="3"/>
    <s v="Estudio Conceptual"/>
    <s v="Vale"/>
    <s v="Gongo Soco"/>
    <s v="Mecánica de rocas"/>
    <s v="AS"/>
    <n v="150000"/>
    <m/>
    <n v="3"/>
    <n v="50000"/>
    <x v="3"/>
    <s v="OP"/>
    <s v="Busqueda Activa"/>
    <x v="5"/>
    <m/>
    <m/>
    <m/>
    <m/>
    <m/>
    <s v="Retomar contacto con cliente para conseguir una solicitud de propuesta"/>
    <m/>
  </r>
  <r>
    <n v="16"/>
    <x v="1"/>
    <s v="Sistema Integrado de Gestión de Riesgos Geotécnicos "/>
    <s v="Capstone Copper"/>
    <s v="Todas"/>
    <s v="Mecánica de rocas"/>
    <s v="ER"/>
    <n v="900000"/>
    <m/>
    <n v="12"/>
    <n v="75000"/>
    <x v="2"/>
    <s v="OP"/>
    <s v="Busqueda Activa"/>
    <x v="6"/>
    <m/>
    <m/>
    <m/>
    <m/>
    <m/>
    <m/>
    <m/>
  </r>
  <r>
    <n v="17"/>
    <x v="1"/>
    <s v="Ing Basica MHD UG"/>
    <s v="Lundin"/>
    <s v="Candelaria"/>
    <s v="Ing. de minas"/>
    <s v="RM"/>
    <n v="1380000"/>
    <m/>
    <n v="5"/>
    <n v="276000"/>
    <x v="2"/>
    <s v="UG"/>
    <s v="Licitación"/>
    <x v="2"/>
    <d v="2025-01-17T00:00:00"/>
    <m/>
    <m/>
    <m/>
    <m/>
    <m/>
    <m/>
  </r>
  <r>
    <n v="18"/>
    <x v="3"/>
    <s v="PLANO AMBIENTAL DE FECHAMENTO CGM"/>
    <s v="Alcoa"/>
    <m/>
    <s v="Ing. de minas"/>
    <s v="AS"/>
    <n v="207000"/>
    <m/>
    <n v="6"/>
    <n v="34500"/>
    <x v="0"/>
    <s v="OP"/>
    <s v="Licitación"/>
    <x v="3"/>
    <d v="2025-01-08T00:00:00"/>
    <m/>
    <m/>
    <m/>
    <m/>
    <m/>
    <m/>
  </r>
  <r>
    <n v="19"/>
    <x v="1"/>
    <s v="Planificación Corto Plazo para Captura de Valor OP"/>
    <s v="AMSA"/>
    <s v="Centinela"/>
    <s v="Planificación estratégica"/>
    <s v="ER"/>
    <n v="150000"/>
    <m/>
    <n v="3"/>
    <n v="50000"/>
    <x v="2"/>
    <s v="OP"/>
    <s v="Busqueda Activa"/>
    <x v="5"/>
    <m/>
    <m/>
    <m/>
    <s v="A la espera de incorporación de cliente clave"/>
    <m/>
    <m/>
    <m/>
  </r>
  <r>
    <n v="20"/>
    <x v="2"/>
    <s v="Pre-Prefactibilidad Birch Lake + Tunnel acceso a Maturi"/>
    <s v="Twin Metals Minnesota"/>
    <s v="Birch Lake - Maturi "/>
    <s v="Planificación estratégica"/>
    <s v="PV"/>
    <n v="300000"/>
    <m/>
    <n v="3"/>
    <n v="100000"/>
    <x v="2"/>
    <s v="UG"/>
    <s v="Busqueda Activa"/>
    <x v="5"/>
    <m/>
    <m/>
    <m/>
    <m/>
    <m/>
    <m/>
    <m/>
  </r>
  <r>
    <n v="21"/>
    <x v="2"/>
    <s v="Prefactibilidad para el conjunto Birch Lake - Maturi"/>
    <s v="Twin Metals Minnesota"/>
    <s v="Birch Lake - Maturi "/>
    <s v="Ing. de minas"/>
    <s v="PV"/>
    <n v="800000"/>
    <m/>
    <n v="5"/>
    <n v="160000"/>
    <x v="2"/>
    <s v="UG"/>
    <s v="Busqueda Activa"/>
    <x v="5"/>
    <m/>
    <m/>
    <m/>
    <m/>
    <m/>
    <m/>
    <m/>
  </r>
  <r>
    <n v="22"/>
    <x v="2"/>
    <s v="Technical support for royalty acquisition"/>
    <s v="EMX Royalty"/>
    <m/>
    <s v="Consultoría minera"/>
    <s v="PV"/>
    <n v="300000"/>
    <m/>
    <n v="3"/>
    <n v="100000"/>
    <x v="0"/>
    <s v="OP/UG"/>
    <s v="Solicitud Directa"/>
    <x v="5"/>
    <m/>
    <m/>
    <m/>
    <m/>
    <m/>
    <m/>
    <m/>
  </r>
  <r>
    <n v="23"/>
    <x v="2"/>
    <s v="FS Santa Cruz Project UG - Revision Técnica"/>
    <s v="Ivanhoe Electric"/>
    <s v="Santa Cruz"/>
    <s v="Planificación estratégica"/>
    <s v="PV"/>
    <n v="100000"/>
    <m/>
    <n v="3"/>
    <n v="33333.333333333336"/>
    <x v="3"/>
    <s v="UG"/>
    <s v="Busqueda Activa"/>
    <x v="5"/>
    <m/>
    <m/>
    <m/>
    <m/>
    <m/>
    <m/>
    <m/>
  </r>
  <r>
    <n v="24"/>
    <x v="2"/>
    <s v="Caso Base Resolution: diseño , planes, evalaucion"/>
    <s v="BHP"/>
    <s v="Resolution"/>
    <s v="Planificación estratégica"/>
    <s v="PV"/>
    <n v="200000"/>
    <m/>
    <n v="3"/>
    <n v="66666.666666666672"/>
    <x v="3"/>
    <s v="UG"/>
    <s v="Busqueda Activa"/>
    <x v="5"/>
    <m/>
    <m/>
    <m/>
    <m/>
    <m/>
    <m/>
    <m/>
  </r>
  <r>
    <n v="25"/>
    <x v="2"/>
    <s v="Estudios - Diseños - Planes"/>
    <s v="BHP"/>
    <s v="Resolution"/>
    <s v="Planificación estratégica"/>
    <s v="PV"/>
    <n v="300000"/>
    <m/>
    <n v="3"/>
    <n v="100000"/>
    <x v="3"/>
    <s v="UG"/>
    <s v="Busqueda Activa"/>
    <x v="5"/>
    <m/>
    <m/>
    <m/>
    <m/>
    <m/>
    <m/>
    <m/>
  </r>
  <r>
    <n v="26"/>
    <x v="2"/>
    <s v="Estudios - Diseños - Planes"/>
    <s v="BHP"/>
    <s v="Antamina"/>
    <s v="Planificación estratégica"/>
    <s v="PV"/>
    <n v="150000"/>
    <m/>
    <n v="3"/>
    <n v="50000"/>
    <x v="3"/>
    <s v="OP"/>
    <s v="Busqueda Activa"/>
    <x v="5"/>
    <m/>
    <m/>
    <m/>
    <m/>
    <m/>
    <m/>
    <m/>
  </r>
  <r>
    <n v="27"/>
    <x v="2"/>
    <s v="Estudios - Diseños - Planes"/>
    <s v="BHP"/>
    <s v="CU South Australia"/>
    <s v="Planificación estratégica"/>
    <s v="PV"/>
    <n v="200000"/>
    <m/>
    <n v="3"/>
    <n v="66666.666666666672"/>
    <x v="3"/>
    <s v="OP/UG"/>
    <s v="Busqueda Activa"/>
    <x v="5"/>
    <m/>
    <m/>
    <m/>
    <m/>
    <m/>
    <m/>
    <m/>
  </r>
  <r>
    <n v="28"/>
    <x v="2"/>
    <s v="SIMPREP"/>
    <s v="Freeport-McMoRan Inc."/>
    <s v="PTFI"/>
    <s v="Simulación de sistemas mineros"/>
    <s v="PV"/>
    <n v="150000"/>
    <m/>
    <n v="3"/>
    <n v="50000"/>
    <x v="3"/>
    <s v="UG"/>
    <s v="Busqueda Activa"/>
    <x v="5"/>
    <m/>
    <m/>
    <m/>
    <m/>
    <m/>
    <m/>
    <m/>
  </r>
  <r>
    <n v="29"/>
    <x v="2"/>
    <s v="Planificación - Diseño"/>
    <s v="Freeport-McMoRan Inc."/>
    <s v="PTFI"/>
    <s v="Planificación estratégica"/>
    <s v="PV"/>
    <n v="200000"/>
    <m/>
    <n v="3"/>
    <n v="66666.666666666672"/>
    <x v="3"/>
    <s v="UG"/>
    <s v="Busqueda Activa"/>
    <x v="5"/>
    <m/>
    <m/>
    <m/>
    <m/>
    <m/>
    <m/>
    <m/>
  </r>
  <r>
    <n v="30"/>
    <x v="2"/>
    <s v="Planificación - Diseño"/>
    <s v="Newmont Mining"/>
    <m/>
    <s v="Planificación estratégica"/>
    <s v="PV"/>
    <n v="200000"/>
    <m/>
    <n v="3"/>
    <n v="66666.666666666672"/>
    <x v="3"/>
    <s v="OP"/>
    <s v="Busqueda Activa"/>
    <x v="5"/>
    <m/>
    <m/>
    <m/>
    <m/>
    <m/>
    <m/>
    <m/>
  </r>
  <r>
    <n v="31"/>
    <x v="2"/>
    <s v="Planificación - Diseño"/>
    <s v="Anglo Gold Ashanti"/>
    <m/>
    <s v="Planificación estratégica"/>
    <s v="PV"/>
    <n v="200000"/>
    <m/>
    <n v="3"/>
    <n v="66666.666666666672"/>
    <x v="3"/>
    <s v="UG"/>
    <s v="Busqueda Activa"/>
    <x v="5"/>
    <m/>
    <m/>
    <m/>
    <m/>
    <m/>
    <m/>
    <m/>
  </r>
  <r>
    <n v="32"/>
    <x v="2"/>
    <s v="Planificación - Diseño"/>
    <s v="Vale"/>
    <m/>
    <s v="Planificación estratégica"/>
    <s v="PV"/>
    <n v="150000"/>
    <m/>
    <n v="3"/>
    <n v="50000"/>
    <x v="4"/>
    <s v="OP/UG"/>
    <s v="Busqueda Activa"/>
    <x v="5"/>
    <m/>
    <m/>
    <m/>
    <m/>
    <m/>
    <m/>
    <m/>
  </r>
  <r>
    <n v="33"/>
    <x v="2"/>
    <s v="Planificación - Diseño"/>
    <s v="South 32"/>
    <m/>
    <s v="Planificación estratégica"/>
    <s v="PV"/>
    <n v="100000"/>
    <m/>
    <n v="3"/>
    <n v="33333.333333333336"/>
    <x v="4"/>
    <s v="UG"/>
    <s v="Busqueda Activa"/>
    <x v="5"/>
    <m/>
    <m/>
    <m/>
    <m/>
    <m/>
    <m/>
    <m/>
  </r>
  <r>
    <n v="34"/>
    <x v="2"/>
    <s v="Planificación - Diseño"/>
    <s v="Barrick"/>
    <m/>
    <s v="Planificación estratégica"/>
    <s v="PV"/>
    <n v="100000"/>
    <m/>
    <n v="3"/>
    <n v="33333.333333333336"/>
    <x v="4"/>
    <s v="OP"/>
    <s v="Busqueda Activa"/>
    <x v="5"/>
    <m/>
    <m/>
    <m/>
    <m/>
    <m/>
    <m/>
    <m/>
  </r>
  <r>
    <n v="35"/>
    <x v="2"/>
    <s v="Planificación - Diseño"/>
    <s v="Lundin"/>
    <s v="Eagle"/>
    <s v="Planificación estratégica"/>
    <s v="PV"/>
    <n v="100000"/>
    <m/>
    <n v="3"/>
    <n v="33333.333333333336"/>
    <x v="4"/>
    <s v="UG"/>
    <s v="Busqueda Activa"/>
    <x v="5"/>
    <m/>
    <m/>
    <m/>
    <m/>
    <m/>
    <m/>
    <m/>
  </r>
  <r>
    <n v="36"/>
    <x v="2"/>
    <s v="Planificación - Diseño"/>
    <s v="Kinross"/>
    <m/>
    <s v="Planificación estratégica"/>
    <s v="PV"/>
    <n v="200000"/>
    <m/>
    <n v="3"/>
    <n v="66666.666666666672"/>
    <x v="4"/>
    <s v="OP"/>
    <s v="Busqueda Activa"/>
    <x v="5"/>
    <m/>
    <m/>
    <m/>
    <m/>
    <m/>
    <m/>
    <m/>
  </r>
  <r>
    <n v="37"/>
    <x v="3"/>
    <s v="Cajati P1: ingeniería de enlace operacional"/>
    <s v="Mosaic"/>
    <s v="Cajati "/>
    <s v="Ing. de minas"/>
    <s v="AS"/>
    <n v="140000"/>
    <m/>
    <n v="7"/>
    <n v="20000"/>
    <x v="2"/>
    <s v="UG"/>
    <s v="Busqueda Activa"/>
    <x v="4"/>
    <d v="2025-03-11T00:00:00"/>
    <d v="2025-03-15T00:00:00"/>
    <m/>
    <m/>
    <m/>
    <m/>
    <m/>
  </r>
  <r>
    <n v="38"/>
    <x v="3"/>
    <s v="Mosaic CTV 5Y Plan + Fase II"/>
    <s v="Mosaic"/>
    <s v="Cajati"/>
    <s v="Planificación estratégica"/>
    <s v="AS"/>
    <n v="358000"/>
    <m/>
    <n v="5"/>
    <n v="71600"/>
    <x v="2"/>
    <s v="UG"/>
    <s v="Busqueda Activa"/>
    <x v="5"/>
    <m/>
    <m/>
    <m/>
    <m/>
    <m/>
    <m/>
    <m/>
  </r>
  <r>
    <n v="39"/>
    <x v="3"/>
    <s v="Ing PFS mina UG"/>
    <s v="Aura Minerals"/>
    <s v="Mina Paiol"/>
    <s v="Planificación estratégica"/>
    <s v="AS"/>
    <n v="288000"/>
    <m/>
    <n v="3"/>
    <n v="96000"/>
    <x v="3"/>
    <s v="UG"/>
    <s v="Reventa"/>
    <x v="6"/>
    <m/>
    <m/>
    <m/>
    <m/>
    <m/>
    <m/>
    <m/>
  </r>
  <r>
    <n v="40"/>
    <x v="3"/>
    <s v="LOM ( Remoción Pilares y Secuecia Operativa)"/>
    <s v="Lhg"/>
    <s v="Mina Urucum"/>
    <s v="Planificación estratégica"/>
    <s v="AS"/>
    <n v="299000"/>
    <m/>
    <n v="3"/>
    <n v="99666.666666666672"/>
    <x v="3"/>
    <s v="UG"/>
    <s v="Busqueda Activa"/>
    <x v="5"/>
    <m/>
    <m/>
    <m/>
    <m/>
    <m/>
    <m/>
    <m/>
  </r>
  <r>
    <n v="41"/>
    <x v="3"/>
    <s v="Proyectos Subeterraneaos"/>
    <s v="Vale"/>
    <m/>
    <s v="Planificación estratégica"/>
    <s v="AS"/>
    <n v="220000"/>
    <m/>
    <n v="3"/>
    <n v="73333.333333333328"/>
    <x v="3"/>
    <s v="UG"/>
    <s v="Busqueda Activa"/>
    <x v="5"/>
    <m/>
    <m/>
    <m/>
    <m/>
    <m/>
    <m/>
    <m/>
  </r>
  <r>
    <n v="42"/>
    <x v="3"/>
    <s v="Planificación - Diseño"/>
    <s v="EuroChen"/>
    <m/>
    <s v="Planificación estratégica"/>
    <s v="AS"/>
    <n v="130000"/>
    <m/>
    <n v="3"/>
    <n v="43333.333333333336"/>
    <x v="3"/>
    <s v="OP/UG"/>
    <s v="Busqueda Activa"/>
    <x v="5"/>
    <m/>
    <m/>
    <m/>
    <m/>
    <m/>
    <m/>
    <m/>
  </r>
  <r>
    <n v="43"/>
    <x v="3"/>
    <s v="Planificación - Diseño"/>
    <s v="AngloGold Ashanti"/>
    <m/>
    <s v="Planificación estratégica"/>
    <s v="AS"/>
    <n v="150000"/>
    <m/>
    <n v="3"/>
    <n v="50000"/>
    <x v="3"/>
    <s v="UG"/>
    <s v="Busqueda Activa"/>
    <x v="5"/>
    <m/>
    <m/>
    <m/>
    <m/>
    <m/>
    <m/>
    <m/>
  </r>
  <r>
    <n v="44"/>
    <x v="3"/>
    <s v="Geotecnica y planeamiento"/>
    <s v="Samarco"/>
    <m/>
    <s v="Mecánica de rocas"/>
    <s v="AS"/>
    <n v="150000"/>
    <m/>
    <n v="4"/>
    <n v="37500"/>
    <x v="3"/>
    <s v="UG"/>
    <s v="Busqueda Activa"/>
    <x v="5"/>
    <m/>
    <m/>
    <m/>
    <m/>
    <m/>
    <m/>
    <m/>
  </r>
  <r>
    <n v="45"/>
    <x v="3"/>
    <s v="Planificación - Diseño"/>
    <s v="Anglo American"/>
    <m/>
    <s v="Planificación estratégica"/>
    <s v="AS"/>
    <n v="200000"/>
    <m/>
    <n v="6"/>
    <n v="33333.333333333336"/>
    <x v="3"/>
    <s v="OP"/>
    <s v="Busqueda Activa"/>
    <x v="5"/>
    <m/>
    <m/>
    <m/>
    <m/>
    <m/>
    <m/>
    <m/>
  </r>
  <r>
    <n v="46"/>
    <x v="3"/>
    <s v="Planificación - Diseño"/>
    <s v="Nexa"/>
    <s v="Aripuna"/>
    <s v="Planificación estratégica"/>
    <s v="AS"/>
    <n v="150000"/>
    <m/>
    <n v="3"/>
    <n v="50000"/>
    <x v="0"/>
    <s v="UG"/>
    <s v="Busqueda Activa"/>
    <x v="5"/>
    <m/>
    <m/>
    <m/>
    <m/>
    <m/>
    <m/>
    <m/>
  </r>
  <r>
    <n v="47"/>
    <x v="0"/>
    <s v="Apoyo transversal a la planificación: Forecast, Budget, LOM"/>
    <s v="Minsur"/>
    <s v="San Rafael"/>
    <s v="Ing. de minas"/>
    <s v="MF"/>
    <n v="200000"/>
    <m/>
    <n v="4"/>
    <n v="50000"/>
    <x v="2"/>
    <s v="UG"/>
    <s v="Busqueda Activa"/>
    <x v="7"/>
    <m/>
    <m/>
    <m/>
    <s v="A la espera de inicio de ciclos de planificación"/>
    <m/>
    <s v="Contactar inicios de febrero"/>
    <m/>
  </r>
  <r>
    <n v="48"/>
    <x v="0"/>
    <s v="Planificación de largo plazo (LOM) integrada con iniciativas + Potenciales"/>
    <s v="Minsur"/>
    <s v="San Rafael"/>
    <s v="Planificación estratégica"/>
    <s v="MF"/>
    <n v="160000"/>
    <m/>
    <n v="3"/>
    <n v="53333.333333333336"/>
    <x v="2"/>
    <s v="UG"/>
    <s v="Reventa"/>
    <x v="6"/>
    <d v="2025-01-15T00:00:00"/>
    <m/>
    <m/>
    <m/>
    <s v="Alan Angles"/>
    <s v="A enviar esta semana"/>
    <m/>
  </r>
  <r>
    <n v="49"/>
    <x v="0"/>
    <s v="Estandarización de procesos de control, cumplimiento y reconciliación"/>
    <s v="Minsur"/>
    <s v="San Rafael"/>
    <s v="Planificación estratégica"/>
    <s v="MF"/>
    <n v="150000"/>
    <m/>
    <n v="3"/>
    <n v="50000"/>
    <x v="2"/>
    <s v="UG"/>
    <s v="Busqueda Activa"/>
    <x v="5"/>
    <m/>
    <m/>
    <m/>
    <s v="Iniciar iniciativa segundo semestre"/>
    <m/>
    <s v="Contactar inicios de segundo trimestre"/>
    <m/>
  </r>
  <r>
    <n v="50"/>
    <x v="0"/>
    <s v="Apoyo transversal a la planificación: Forecast, Budget, LOM"/>
    <s v="Raura"/>
    <s v="Raura"/>
    <s v="Planificación estratégica"/>
    <s v="MF"/>
    <n v="200000"/>
    <m/>
    <n v="3"/>
    <n v="66666.666666666672"/>
    <x v="2"/>
    <s v="UG"/>
    <s v="Busqueda Activa"/>
    <x v="5"/>
    <m/>
    <m/>
    <m/>
    <s v="Este proyecto pudiera decantar según el trabajo a realizar en SR"/>
    <s v="Javier Latorre"/>
    <s v="Contactar inicios de segundo trimestre"/>
    <m/>
  </r>
  <r>
    <n v="51"/>
    <x v="0"/>
    <s v="Compilación R&amp;R"/>
    <s v="Minsur"/>
    <m/>
    <s v="Consultoría minera"/>
    <s v="PA"/>
    <n v="100000"/>
    <m/>
    <n v="4"/>
    <n v="25000"/>
    <x v="0"/>
    <s v="UG"/>
    <s v="Busqueda Activa"/>
    <x v="5"/>
    <m/>
    <m/>
    <m/>
    <s v="Cliente indica que no requiere nada por ahora"/>
    <s v="Pedro Statuet"/>
    <m/>
    <m/>
  </r>
  <r>
    <n v="52"/>
    <x v="0"/>
    <s v="Estudio geomecánico y trade off de métodos de explotación"/>
    <s v="Hochschild Mining "/>
    <s v="Inmaculada"/>
    <s v="Mecánica de rocas"/>
    <s v="CH"/>
    <n v="50000"/>
    <m/>
    <n v="3"/>
    <n v="16666.666666666668"/>
    <x v="0"/>
    <s v="UG"/>
    <s v="Busqueda Activa"/>
    <x v="5"/>
    <m/>
    <m/>
    <m/>
    <m/>
    <m/>
    <m/>
    <m/>
  </r>
  <r>
    <n v="53"/>
    <x v="0"/>
    <s v="Implementación de un sistema de mapeo estructural automatizado"/>
    <s v="Gold Fields"/>
    <s v="Cerro Corona"/>
    <s v="Mecánica de rocas"/>
    <s v="CH"/>
    <n v="100000"/>
    <m/>
    <n v="3"/>
    <n v="33333.333333333336"/>
    <x v="3"/>
    <s v="UG"/>
    <s v="Busqueda Activa"/>
    <x v="7"/>
    <m/>
    <m/>
    <m/>
    <m/>
    <s v="Richard Ordoñez"/>
    <s v="Contactar a Geomecanico principal para ofrecer servicios geomecanicos con apoyo de EL y gerente mina"/>
    <m/>
  </r>
  <r>
    <n v="54"/>
    <x v="0"/>
    <s v="Asesoría Técnica para la Identificación de Oportunidades de Mejora para Incremento de Producción Mina"/>
    <s v="Hochschild Mining "/>
    <s v="Inmaculada"/>
    <s v="Consultoría minera"/>
    <s v="CH"/>
    <n v="100000"/>
    <m/>
    <n v="3"/>
    <n v="33333.333333333336"/>
    <x v="0"/>
    <s v="UG"/>
    <s v="Busqueda Activa"/>
    <x v="3"/>
    <d v="2025-02-07T00:00:00"/>
    <s v="Febrero"/>
    <s v="Costos muy altos"/>
    <m/>
    <m/>
    <m/>
    <m/>
  </r>
  <r>
    <n v="55"/>
    <x v="0"/>
    <s v="Actualización de métodos de minado Torremani (Etapa II)"/>
    <s v="Coripuno"/>
    <s v="Torremani"/>
    <s v="Ing. de minas"/>
    <s v="CH"/>
    <n v="100000"/>
    <m/>
    <n v="3"/>
    <n v="33333.333333333336"/>
    <x v="0"/>
    <s v="OP"/>
    <s v="Busqueda Activa"/>
    <x v="7"/>
    <m/>
    <m/>
    <m/>
    <m/>
    <s v="Frank Mauricio"/>
    <s v="Solicitar una reunión con cliente para conversar sobre el estudio (semana 13-01)"/>
    <m/>
  </r>
  <r>
    <n v="56"/>
    <x v="0"/>
    <s v="Estudios de planificación u otros"/>
    <s v="Sierra Metals"/>
    <s v="Yauricocha"/>
    <s v="Planificación estratégica"/>
    <s v="EL"/>
    <n v="150000"/>
    <m/>
    <n v="3"/>
    <n v="50000"/>
    <x v="3"/>
    <s v="UG"/>
    <s v="Busqueda Activa"/>
    <x v="5"/>
    <m/>
    <m/>
    <m/>
    <m/>
    <m/>
    <s v="Verificar porque no paga el cliente"/>
    <m/>
  </r>
  <r>
    <n v="57"/>
    <x v="0"/>
    <s v="Servicio de apoyo para presentación a la autoridad de ROMINA actualizado"/>
    <s v="Volcan"/>
    <s v="Romina"/>
    <s v="Consultoría minera"/>
    <s v="CH"/>
    <n v="80000"/>
    <m/>
    <n v="3"/>
    <n v="26666.666666666668"/>
    <x v="3"/>
    <s v="UG"/>
    <s v="Busqueda Activa"/>
    <x v="5"/>
    <m/>
    <m/>
    <m/>
    <m/>
    <s v="Edgardo Zamora"/>
    <s v="Llamar a cliente para activar iniciativa (semana 13-01)"/>
    <m/>
  </r>
  <r>
    <n v="58"/>
    <x v="0"/>
    <s v="Estudio Crown pillars y metodos de explotación"/>
    <s v="Volcan"/>
    <s v="Chungar"/>
    <s v="Mecánica de rocas"/>
    <s v="CH"/>
    <n v="100000"/>
    <m/>
    <n v="3"/>
    <n v="33333.333333333336"/>
    <x v="3"/>
    <s v="UG"/>
    <s v="Busqueda Activa"/>
    <x v="7"/>
    <m/>
    <m/>
    <m/>
    <m/>
    <s v="Orlando Chumpitaz"/>
    <s v="Coordinar reunión presencial en lima  a fin de mes (semana 27) - Llamar semana del (13-01)"/>
    <m/>
  </r>
  <r>
    <n v="59"/>
    <x v="0"/>
    <s v="Apoyo transversal a la planificación: Forecast, Budget, LOM"/>
    <s v="Miski Mayo"/>
    <m/>
    <s v="Planificación estratégica"/>
    <s v="EL"/>
    <n v="150000"/>
    <m/>
    <n v="3"/>
    <n v="50000"/>
    <x v="3"/>
    <s v="UG"/>
    <s v="Busqueda Activa"/>
    <x v="7"/>
    <m/>
    <m/>
    <m/>
    <m/>
    <s v="Marilsa"/>
    <s v="1.Cliente indica que saldra a licitación estudio de calculo de flota. 2.AS llame a Marilsa con el apoyo de RUI "/>
    <m/>
  </r>
  <r>
    <n v="60"/>
    <x v="3"/>
    <s v="Ingenieria para construcción tunel de exploración"/>
    <s v="Aura Minerals"/>
    <s v="Mina Paiol"/>
    <s v="Ing. de minas"/>
    <s v="AF"/>
    <n v="120000"/>
    <m/>
    <n v="3"/>
    <n v="40000"/>
    <x v="3"/>
    <s v="UG"/>
    <s v="Reventa"/>
    <x v="2"/>
    <d v="2025-02-25T00:00:00"/>
    <m/>
    <m/>
    <m/>
    <m/>
    <s v="Reunión lunes con Alex y Antonio para definir monto de estudio"/>
    <m/>
  </r>
  <r>
    <n v="61"/>
    <x v="1"/>
    <s v="Análisis de Cuellos de Botella 2YB26"/>
    <s v="BHP"/>
    <s v="Spence"/>
    <s v="Simulación de sistemas mineros"/>
    <s v="PA"/>
    <n v="35000"/>
    <m/>
    <n v="1"/>
    <n v="35000"/>
    <x v="3"/>
    <s v="OP"/>
    <s v="Reventa"/>
    <x v="0"/>
    <d v="2025-01-17T00:00:00"/>
    <s v="Enero"/>
    <m/>
    <m/>
    <m/>
    <m/>
    <m/>
  </r>
  <r>
    <n v="62"/>
    <x v="1"/>
    <s v="Auditorias generales Centinela"/>
    <s v="AMSA"/>
    <s v="Centinela"/>
    <s v="Consultoría minera"/>
    <s v="GD"/>
    <n v="100000"/>
    <m/>
    <n v="2"/>
    <n v="50000"/>
    <x v="2"/>
    <s v="OP"/>
    <s v="Busqueda Activa"/>
    <x v="5"/>
    <m/>
    <m/>
    <m/>
    <m/>
    <m/>
    <s v="Coordinar con Caviedes una visita a su oficina. Fines de febrero"/>
    <m/>
  </r>
  <r>
    <n v="63"/>
    <x v="3"/>
    <s v="Optimización LOM de Cajati OP"/>
    <s v="Mosaic"/>
    <s v="Cajati"/>
    <s v="Planificación estratégica"/>
    <s v="AF"/>
    <n v="120000"/>
    <m/>
    <n v="3"/>
    <n v="40000"/>
    <x v="2"/>
    <s v="OP"/>
    <s v="Reventa"/>
    <x v="7"/>
    <m/>
    <m/>
    <m/>
    <m/>
    <m/>
    <s v="Contactar en Febrero al cliente, para proponer servicio previo al cierre de estudio"/>
    <m/>
  </r>
  <r>
    <n v="64"/>
    <x v="1"/>
    <s v="Opportunity Assessment para optimizar el proyecto Cerro Colorado (LOM estrategico)"/>
    <s v="BHP"/>
    <s v="Cerro Colorado"/>
    <s v="Planificación estratégica"/>
    <s v="ER"/>
    <n v="240000"/>
    <m/>
    <n v="5"/>
    <n v="48000"/>
    <x v="3"/>
    <s v="OP"/>
    <s v="Reventa"/>
    <x v="3"/>
    <d v="2025-03-07T00:00:00"/>
    <m/>
    <m/>
    <m/>
    <m/>
    <s v="Coordinar con RM proximos pasos y seguir conversaciones con cliente"/>
    <m/>
  </r>
  <r>
    <n v="65"/>
    <x v="1"/>
    <s v="Actualización estudio Conceptual Sierra norte + construcción de nuevo modelo"/>
    <s v="Capstone Copper"/>
    <s v="Sierra Norte"/>
    <s v="Ing. de minas"/>
    <s v="GD"/>
    <n v="300000"/>
    <m/>
    <n v="5"/>
    <n v="60000"/>
    <x v="2"/>
    <s v="OP"/>
    <s v="Reventa"/>
    <x v="7"/>
    <m/>
    <m/>
    <m/>
    <m/>
    <m/>
    <s v="Conversar con ER"/>
    <m/>
  </r>
  <r>
    <n v="66"/>
    <x v="1"/>
    <s v="Planificación LOM Blue Sky"/>
    <s v="Lundin"/>
    <s v="Caserones"/>
    <s v="Planificación estratégica"/>
    <s v="ER"/>
    <n v="200000"/>
    <m/>
    <n v="3"/>
    <n v="66666.666666666672"/>
    <x v="3"/>
    <s v="OP"/>
    <s v="Reventa"/>
    <x v="6"/>
    <m/>
    <m/>
    <m/>
    <m/>
    <m/>
    <s v="Preparar material y construir ppt ad-hoc"/>
    <m/>
  </r>
  <r>
    <n v="67"/>
    <x v="1"/>
    <s v="Analisis de confiafilidad de plan Forescast + Entrenamiento de usuario"/>
    <s v="Capstone Copper"/>
    <m/>
    <s v="Simulación de sistemas mineros"/>
    <s v="GD"/>
    <n v="100000"/>
    <m/>
    <n v="3"/>
    <n v="33333.333333333336"/>
    <x v="2"/>
    <s v="OP"/>
    <s v="Reventa"/>
    <x v="7"/>
    <m/>
    <m/>
    <m/>
    <m/>
    <m/>
    <s v="Proxima semana llamar a Max, post cierre PV. "/>
    <m/>
  </r>
  <r>
    <n v="68"/>
    <x v="0"/>
    <s v="Evaluación de cumplimiento de planes de corto plazo"/>
    <s v="Antamina"/>
    <s v="Antamina"/>
    <s v="Simulación de sistemas mineros"/>
    <s v="EL"/>
    <n v="108000"/>
    <m/>
    <n v="3"/>
    <n v="36000"/>
    <x v="3"/>
    <s v="OP"/>
    <s v="Busqueda Activa"/>
    <x v="2"/>
    <m/>
    <m/>
    <m/>
    <m/>
    <m/>
    <m/>
    <m/>
  </r>
  <r>
    <n v="69"/>
    <x v="0"/>
    <s v="Optimización plan de cierre mina recursos remanentes + stocks"/>
    <s v="Gold Fields"/>
    <s v="Cerro Corona"/>
    <s v="Planificación estratégica"/>
    <s v="EL"/>
    <n v="100000"/>
    <m/>
    <n v="3"/>
    <n v="33333.333333333336"/>
    <x v="0"/>
    <s v="OP"/>
    <s v="Busqueda Activa"/>
    <x v="5"/>
    <m/>
    <m/>
    <m/>
    <m/>
    <m/>
    <s v="Preparar casos de éxito de optimización de stocks+ Raura"/>
    <m/>
  </r>
  <r>
    <n v="70"/>
    <x v="1"/>
    <s v="Analisis estrategico de opciones"/>
    <s v="BHP"/>
    <s v="Spence"/>
    <s v="Planificación estratégica"/>
    <s v="ER"/>
    <n v="150000"/>
    <m/>
    <n v="3"/>
    <n v="50000"/>
    <x v="3"/>
    <s v="OP"/>
    <s v="Busqueda Activa"/>
    <x v="5"/>
    <m/>
    <m/>
    <m/>
    <m/>
    <m/>
    <s v="Contactar Pedro Gonzales para ofrecer el servicio post modelo de simulación"/>
    <m/>
  </r>
  <r>
    <n v="71"/>
    <x v="1"/>
    <s v="Analisis oportunidades de recuperación de reservas colapsadas "/>
    <s v="Codelco"/>
    <s v="DCH"/>
    <s v="Mecánica de rocas"/>
    <s v="CC"/>
    <n v="100000"/>
    <m/>
    <n v="2"/>
    <n v="50000"/>
    <x v="3"/>
    <m/>
    <m/>
    <x v="5"/>
    <m/>
    <m/>
    <m/>
    <m/>
    <s v="Rodrigo Quiroz"/>
    <s v="Esta semana se toma contacto con Rodrigo Quiroz post reunión final de estudio"/>
    <m/>
  </r>
  <r>
    <n v="72"/>
    <x v="1"/>
    <s v="Metodologia para establecer escenarios productivos de corto plazo (Incoporar SIMPLAN en proceso de planificación o Simprep OP)"/>
    <s v="Codelco"/>
    <s v="DRT"/>
    <s v="Simulación de sistemas mineros"/>
    <s v="CC"/>
    <n v="120000"/>
    <m/>
    <n v="3"/>
    <n v="40000"/>
    <x v="3"/>
    <m/>
    <m/>
    <x v="5"/>
    <m/>
    <m/>
    <m/>
    <m/>
    <s v="Sebastian Pizarro"/>
    <s v="A la espera de post vacaciones, se reactiva en marzo"/>
    <m/>
  </r>
  <r>
    <n v="73"/>
    <x v="1"/>
    <s v="Implementación de SIMPREP"/>
    <s v="Codelco"/>
    <s v="DET"/>
    <s v="Simulación de sistemas mineros"/>
    <s v="CC"/>
    <n v="100000"/>
    <m/>
    <n v="4"/>
    <n v="25000"/>
    <x v="3"/>
    <m/>
    <m/>
    <x v="5"/>
    <m/>
    <m/>
    <m/>
    <s v="Enrique tomo contacto con gerente Felipe Hidalgo"/>
    <s v="Patricio Miranda"/>
    <s v="CC se contacto con Felipe Hidalgo y se reunira con el la proxima semana"/>
    <m/>
  </r>
  <r>
    <n v="74"/>
    <x v="1"/>
    <s v="Actualización de estandares y procedimientos de planificación, balances, muestreo, etc  (replicar estudios realizados para otras operaciones)"/>
    <s v="Codelco"/>
    <s v="DRT"/>
    <s v="Consultoría minera"/>
    <s v="CC"/>
    <n v="120000"/>
    <m/>
    <n v="3"/>
    <n v="40000"/>
    <x v="3"/>
    <m/>
    <m/>
    <x v="5"/>
    <m/>
    <m/>
    <m/>
    <m/>
    <s v="Sebastian Pizarro"/>
    <s v="A la espera de post vacaciones, se reactiva en marzo"/>
    <m/>
  </r>
  <r>
    <n v="75"/>
    <x v="1"/>
    <s v="Revisiones independientes"/>
    <s v="Codelco"/>
    <s v="GRM"/>
    <s v="Consultoría minera"/>
    <s v="CC"/>
    <n v="150000"/>
    <m/>
    <n v="3"/>
    <n v="50000"/>
    <x v="3"/>
    <m/>
    <m/>
    <x v="5"/>
    <m/>
    <m/>
    <m/>
    <s v="A la espera de licitación en la cual nos tienen contemplados"/>
    <s v="Ximena Policroni Galvez"/>
    <s v="A la espera de licitación en la cual nos tienen contemplados"/>
    <m/>
  </r>
  <r>
    <n v="76"/>
    <x v="1"/>
    <s v="Profundicación de actualización de NCC31 (con apoyo consultor)"/>
    <s v="Codelco"/>
    <s v="GRM"/>
    <s v="Consultoría minera"/>
    <s v="CC"/>
    <n v="100000"/>
    <m/>
    <n v="3"/>
    <n v="33333.333333333336"/>
    <x v="3"/>
    <m/>
    <m/>
    <x v="5"/>
    <m/>
    <m/>
    <m/>
    <s v="A la espera de cerrar el estudio actual para avanzar con la etapa 2 (profundización)"/>
    <s v="Fernando Marambio"/>
    <s v="A la espera de cerrar el estudio actual para avanzar con la etapa 2 (profundización)"/>
    <m/>
  </r>
  <r>
    <n v="77"/>
    <x v="1"/>
    <s v="Estudios de oportunidad en planes OP (alargar vida del rajo, recuepeación de stocks  y  los botaderos, zonas de contacto entre ambos rajos) "/>
    <s v="Codelco"/>
    <s v="DCH"/>
    <s v="Planificación estratégica"/>
    <s v="CC"/>
    <n v="200000"/>
    <m/>
    <n v="3"/>
    <n v="66666.666666666672"/>
    <x v="3"/>
    <m/>
    <m/>
    <x v="5"/>
    <m/>
    <m/>
    <m/>
    <m/>
    <s v="Juan Cristobal Videla"/>
    <s v="A la espera de respuesta con cliente para coordinar reunión"/>
    <m/>
  </r>
  <r>
    <n v="78"/>
    <x v="1"/>
    <s v="Analisis de oportunidades del plan minero, generar coberturas debido a atrasos en proyectos"/>
    <s v="Codelco"/>
    <s v="DET"/>
    <s v="Planificación estratégica"/>
    <s v="CC"/>
    <n v="150000"/>
    <m/>
    <n v="3"/>
    <n v="50000"/>
    <x v="3"/>
    <m/>
    <m/>
    <x v="5"/>
    <m/>
    <m/>
    <m/>
    <m/>
    <s v="Felipe Hidalgo"/>
    <s v="CC se contacto con Felipe Hidalgo y se reunira con el la proxima semana"/>
    <m/>
  </r>
  <r>
    <n v="79"/>
    <x v="1"/>
    <s v="Implementación de SIMPREP"/>
    <s v="Codelco"/>
    <s v="DCH"/>
    <s v="Simulación de sistemas mineros"/>
    <s v="CC"/>
    <n v="100000"/>
    <m/>
    <n v="4"/>
    <n v="25000"/>
    <x v="3"/>
    <m/>
    <m/>
    <x v="5"/>
    <m/>
    <m/>
    <m/>
    <s v="Evaluar la mejor estrategia de implementar esto (tanto para DCH y DET)"/>
    <s v="Rodrigo Quiroz"/>
    <s v="A la espera de post vacaciones, se reactiva en marzo"/>
    <m/>
  </r>
  <r>
    <n v="80"/>
    <x v="1"/>
    <s v="Evaluación de oportunidades de optimización integrada Distrito Norte"/>
    <s v="Codelco"/>
    <s v="Distrito Norte"/>
    <s v="Planificación estratégica"/>
    <s v="CC"/>
    <n v="200000"/>
    <m/>
    <n v="4"/>
    <n v="50000"/>
    <x v="3"/>
    <m/>
    <m/>
    <x v="5"/>
    <m/>
    <m/>
    <m/>
    <m/>
    <s v=" J San Martin"/>
    <s v="A la espera de avanzar el estudio con DMH para ver otros estudios, CC llamara para empujar inicio estudio DMH"/>
    <m/>
  </r>
  <r>
    <n v="81"/>
    <x v="1"/>
    <s v="Implementación modelo de riesgo para casos LOM (2 operaciones)"/>
    <s v="Capstone Copper"/>
    <m/>
    <s v="Simulación de sistemas mineros"/>
    <s v="GD"/>
    <n v="100000"/>
    <m/>
    <n v="3"/>
    <n v="33333.333333333336"/>
    <x v="2"/>
    <s v="OP"/>
    <s v="Reventa"/>
    <x v="5"/>
    <m/>
    <m/>
    <m/>
    <m/>
    <m/>
    <m/>
    <m/>
  </r>
  <r>
    <n v="82"/>
    <x v="0"/>
    <s v="Actualización del Estudio Geomecánico"/>
    <s v="Nexa"/>
    <s v="Porvenir"/>
    <s v="Mecánica de rocas"/>
    <s v="CH"/>
    <n v="89700"/>
    <m/>
    <n v="3"/>
    <n v="29900"/>
    <x v="0"/>
    <m/>
    <m/>
    <x v="2"/>
    <d v="2025-03-05T00:00:00"/>
    <m/>
    <m/>
    <m/>
    <s v="Walter Ramos"/>
    <s v="Llamar para que cliente envie propuesta formal (fue solicitada verbalmente) (semana 13-01)"/>
    <m/>
  </r>
  <r>
    <n v="83"/>
    <x v="1"/>
    <s v="Auditoría de las bases de datos geomecánicas y actualización de modelo geomecánico"/>
    <s v="Lundin"/>
    <s v="Candelaria"/>
    <s v="Mecánica de rocas"/>
    <s v="CH"/>
    <n v="390000"/>
    <m/>
    <n v="3"/>
    <n v="130000"/>
    <x v="2"/>
    <m/>
    <m/>
    <x v="2"/>
    <d v="2025-01-22T00:00:00"/>
    <m/>
    <m/>
    <m/>
    <s v="Roberto Alfaro / Mario Guerrero"/>
    <m/>
    <m/>
  </r>
  <r>
    <n v="84"/>
    <x v="1"/>
    <s v="Definición de criterios de diseño de  caserones SLOS"/>
    <s v="Lundin"/>
    <s v="Candelaria"/>
    <s v="Mecánica de rocas"/>
    <s v="CH"/>
    <n v="200000"/>
    <m/>
    <n v="3"/>
    <n v="66666.666666666672"/>
    <x v="2"/>
    <m/>
    <m/>
    <x v="7"/>
    <m/>
    <m/>
    <m/>
    <m/>
    <s v="Roberto Alfaro / Mario Guerrero"/>
    <s v="Llamar al contacto para proponer un plan de trabajo integrado, para conseguir una presentación del plan (semana 13-01)"/>
    <m/>
  </r>
  <r>
    <n v="85"/>
    <x v="1"/>
    <s v="Estudio conceptual LOM con Rellenos"/>
    <s v="Lundin"/>
    <s v="Candelaria"/>
    <s v="Ing. de minas"/>
    <s v="CH"/>
    <n v="100000"/>
    <m/>
    <n v="3"/>
    <n v="33333.333333333336"/>
    <x v="2"/>
    <m/>
    <m/>
    <x v="7"/>
    <m/>
    <m/>
    <m/>
    <m/>
    <s v="Roberto Alfaro / Mario Guerrero"/>
    <s v="Llamar al contacto para proponer un plan de trabajo integrado, para conseguir una presentación del plan (semana 13-01)"/>
    <m/>
  </r>
  <r>
    <n v="86"/>
    <x v="3"/>
    <s v="Diseño de sistema de monitoreo geotecnico online"/>
    <s v="Mosaic"/>
    <s v="CTV"/>
    <s v="Mecánica de rocas"/>
    <s v="CH"/>
    <n v="60000"/>
    <m/>
    <n v="3"/>
    <n v="20000"/>
    <x v="2"/>
    <m/>
    <s v="Reventa"/>
    <x v="5"/>
    <m/>
    <m/>
    <m/>
    <m/>
    <m/>
    <m/>
    <m/>
  </r>
  <r>
    <n v="87"/>
    <x v="1"/>
    <s v="Soporte Romeral, construcción túnel exploratorio"/>
    <s v="CMP"/>
    <s v="Romeral"/>
    <s v="Consultoría minera"/>
    <s v="FR"/>
    <n v="646000"/>
    <m/>
    <n v="18"/>
    <n v="35888.888888888891"/>
    <x v="2"/>
    <m/>
    <m/>
    <x v="6"/>
    <m/>
    <m/>
    <m/>
    <m/>
    <m/>
    <m/>
    <m/>
  </r>
  <r>
    <n v="88"/>
    <x v="1"/>
    <s v="Apoyo proceso licitación y contratación empresa explotación SLS"/>
    <s v="CMP"/>
    <s v="Romeral"/>
    <s v="Consultoría minera"/>
    <s v="FR"/>
    <n v="100000"/>
    <m/>
    <n v="3"/>
    <n v="33333.333333333336"/>
    <x v="2"/>
    <m/>
    <m/>
    <x v="5"/>
    <m/>
    <m/>
    <m/>
    <m/>
    <m/>
    <m/>
    <m/>
  </r>
  <r>
    <n v="89"/>
    <x v="1"/>
    <s v="Implementación Simprep"/>
    <s v="Lundin"/>
    <s v="Candelaria"/>
    <s v="Simulación de sistemas mineros"/>
    <s v="CC"/>
    <n v="120000"/>
    <m/>
    <n v="3"/>
    <n v="40000"/>
    <x v="2"/>
    <m/>
    <m/>
    <x v="4"/>
    <m/>
    <d v="2025-02-10T00:00:00"/>
    <m/>
    <m/>
    <s v="Octavio Cardenaz"/>
    <s v="MM converso con cliente y el esta en proceso de digerir la auditoria realizada por REDCO, se contactara el viernes"/>
    <m/>
  </r>
  <r>
    <n v="90"/>
    <x v="1"/>
    <s v="Plan de Estabilización Operacional y Definición de habilitadores para el Crecimiento de Candelaria UG "/>
    <s v="Lundin"/>
    <s v="Candelaria"/>
    <s v="Planificación estratégica"/>
    <s v="CC"/>
    <n v="250000"/>
    <m/>
    <n v="4"/>
    <n v="62500"/>
    <x v="2"/>
    <m/>
    <m/>
    <x v="7"/>
    <m/>
    <m/>
    <m/>
    <m/>
    <s v="Octavio Cardenaz"/>
    <s v="MM converso con cliente y el esta en proceso de digerir la auditoria realizada por REDCO, se contactara el viernes"/>
    <m/>
  </r>
  <r>
    <n v="91"/>
    <x v="1"/>
    <s v="RDP: Mejoramiento del proceso y Upgrade con FEL 2A (con opciones + Thiele)"/>
    <s v="CMP"/>
    <s v="Coporativo"/>
    <m/>
    <s v="FR"/>
    <n v="120000"/>
    <m/>
    <n v="3"/>
    <n v="40000"/>
    <x v="2"/>
    <m/>
    <m/>
    <x v="5"/>
    <m/>
    <m/>
    <m/>
    <m/>
    <m/>
    <m/>
    <m/>
  </r>
  <r>
    <n v="92"/>
    <x v="1"/>
    <s v="Estudio FEL 2B"/>
    <s v="CMP"/>
    <s v="CNN"/>
    <m/>
    <s v="FR"/>
    <n v="100000"/>
    <m/>
    <n v="3"/>
    <n v="33333.333333333336"/>
    <x v="2"/>
    <m/>
    <m/>
    <x v="5"/>
    <m/>
    <m/>
    <m/>
    <m/>
    <m/>
    <m/>
    <m/>
  </r>
  <r>
    <n v="93"/>
    <x v="1"/>
    <s v="Apoyo permisos"/>
    <s v="CMP"/>
    <s v="CNN"/>
    <m/>
    <s v="FR"/>
    <n v="30000"/>
    <m/>
    <n v="2"/>
    <n v="15000"/>
    <x v="2"/>
    <m/>
    <m/>
    <x v="5"/>
    <m/>
    <m/>
    <m/>
    <m/>
    <m/>
    <m/>
    <m/>
  </r>
  <r>
    <n v="94"/>
    <x v="1"/>
    <s v="FEL 1 o FEL 2A formal"/>
    <s v="CMP"/>
    <s v="Romeral"/>
    <m/>
    <s v="FR"/>
    <n v="50000"/>
    <m/>
    <n v="3"/>
    <n v="16666.666666666668"/>
    <x v="2"/>
    <m/>
    <m/>
    <x v="5"/>
    <m/>
    <m/>
    <m/>
    <m/>
    <m/>
    <m/>
    <m/>
  </r>
  <r>
    <n v="95"/>
    <x v="1"/>
    <s v="Asistencia técnica Implementación Proyecto (ingeniería, permisos sectoriales)"/>
    <s v="CMP"/>
    <s v="Algarrobo"/>
    <m/>
    <s v="FR"/>
    <n v="50000"/>
    <m/>
    <n v="3"/>
    <n v="16666.666666666668"/>
    <x v="2"/>
    <m/>
    <m/>
    <x v="5"/>
    <m/>
    <m/>
    <m/>
    <m/>
    <m/>
    <m/>
    <m/>
  </r>
  <r>
    <n v="96"/>
    <x v="1"/>
    <s v="Implementación del estándar de planificación"/>
    <s v="CMP"/>
    <s v="Corporativo"/>
    <m/>
    <s v="FR"/>
    <n v="50000"/>
    <m/>
    <n v="3"/>
    <n v="16666.666666666668"/>
    <x v="2"/>
    <m/>
    <m/>
    <x v="5"/>
    <m/>
    <m/>
    <m/>
    <m/>
    <m/>
    <m/>
    <m/>
  </r>
  <r>
    <n v="97"/>
    <x v="0"/>
    <s v="Construcción escenarios ing conceptual"/>
    <s v="Las Bambas"/>
    <s v="Ferrobamba"/>
    <s v="Ing. de minas"/>
    <s v="MF"/>
    <n v="70000"/>
    <m/>
    <n v="2"/>
    <n v="35000"/>
    <x v="2"/>
    <m/>
    <m/>
    <x v="0"/>
    <d v="2025-12-20T00:00:00"/>
    <s v="Enero"/>
    <m/>
    <m/>
    <m/>
    <m/>
    <m/>
  </r>
  <r>
    <n v="98"/>
    <x v="2"/>
    <s v="BL/Northmet Integration mine planning"/>
    <s v="Twin Metals Minnesota"/>
    <s v="birch Lake - Northmet"/>
    <s v="Ing. de minas"/>
    <s v="PV"/>
    <n v="116000"/>
    <m/>
    <n v="3"/>
    <n v="38666.666666666664"/>
    <x v="2"/>
    <m/>
    <m/>
    <x v="0"/>
    <d v="2025-01-17T00:00:00"/>
    <s v="Enero"/>
    <m/>
    <m/>
    <m/>
    <m/>
    <m/>
  </r>
  <r>
    <n v="99"/>
    <x v="0"/>
    <s v="PFS  tajo Esperanza "/>
    <s v="Volcan"/>
    <s v="Chungar"/>
    <s v="Ing. de minas"/>
    <s v="EL"/>
    <n v="150000"/>
    <m/>
    <n v="4"/>
    <n v="37500"/>
    <x v="0"/>
    <s v="OP"/>
    <s v="Busqueda Activa"/>
    <x v="7"/>
    <m/>
    <m/>
    <m/>
    <m/>
    <s v="Orlando Chumpitaz"/>
    <s v="Contactar a cliente para ser incluido en la licitación"/>
    <m/>
  </r>
  <r>
    <n v="100"/>
    <x v="1"/>
    <s v="Implementación de Simprep para planificación de desarrollos mineros"/>
    <s v="Zublin"/>
    <s v="Candelaria"/>
    <s v="Simulación de sistemas mineros"/>
    <s v="CC"/>
    <n v="80000"/>
    <m/>
    <n v="3"/>
    <n v="26666.666666666668"/>
    <x v="2"/>
    <s v="UG"/>
    <s v="Busqueda Activa"/>
    <x v="2"/>
    <d v="2025-01-20T00:00:00"/>
    <m/>
    <m/>
    <m/>
    <m/>
    <m/>
    <m/>
  </r>
  <r>
    <n v="101"/>
    <x v="1"/>
    <s v="Actualización modelo hidrogeologico"/>
    <s v="BHP"/>
    <s v="Escondida"/>
    <s v="Simulación de sistemas mineros"/>
    <s v="PA"/>
    <n v="20000"/>
    <m/>
    <n v="1"/>
    <n v="20000"/>
    <x v="3"/>
    <s v="OP"/>
    <s v="Reventa"/>
    <x v="0"/>
    <d v="2025-01-28T00:00:00"/>
    <s v="Febrero"/>
    <m/>
    <m/>
    <m/>
    <m/>
    <m/>
  </r>
  <r>
    <n v="102"/>
    <x v="1"/>
    <s v="Análisis de Diseños de Ingeniería Túneles para suministro hidrico"/>
    <s v="Worley"/>
    <s v="Cerro Colorado"/>
    <s v="Ing. de minas"/>
    <s v="RM"/>
    <n v="381000"/>
    <m/>
    <n v="3"/>
    <n v="127000"/>
    <x v="3"/>
    <s v="OP"/>
    <s v="Reventa"/>
    <x v="2"/>
    <d v="2025-02-12T00:00:00"/>
    <m/>
    <m/>
    <m/>
    <m/>
    <m/>
    <m/>
  </r>
  <r>
    <n v="103"/>
    <x v="0"/>
    <s v="Estudio de relleno hidráulico"/>
    <s v="Nexa"/>
    <s v="Porvenir"/>
    <s v="Mecánica de rocas"/>
    <s v="CH"/>
    <n v="140000"/>
    <m/>
    <n v="3"/>
    <n v="46666.666666666664"/>
    <x v="0"/>
    <s v="UG"/>
    <s v="Busqueda Activa"/>
    <x v="2"/>
    <d v="2025-02-01T00:00:00"/>
    <m/>
    <m/>
    <m/>
    <m/>
    <m/>
    <m/>
  </r>
  <r>
    <n v="104"/>
    <x v="1"/>
    <s v="Estudios de Precisión Diseño Correas y  Estudio de Flujo de Mineral"/>
    <s v="Wood"/>
    <s v="DCH"/>
    <s v="Ing. de minas"/>
    <s v="RM"/>
    <n v="638000"/>
    <m/>
    <n v="4.5"/>
    <n v="141777.77777777778"/>
    <x v="0"/>
    <s v="UG"/>
    <s v="Solicitud Directa"/>
    <x v="2"/>
    <d v="2025-02-06T00:00:00"/>
    <m/>
    <m/>
    <m/>
    <m/>
    <m/>
    <m/>
  </r>
  <r>
    <n v="105"/>
    <x v="0"/>
    <s v="Apoyo permisos FB Deep"/>
    <s v="Las Bambas"/>
    <s v="Ferrobamba"/>
    <s v="Ing. de minas"/>
    <s v="RM"/>
    <n v="238000"/>
    <m/>
    <n v="3"/>
    <n v="79333.333333333328"/>
    <x v="2"/>
    <s v="UG"/>
    <s v="Reventa"/>
    <x v="3"/>
    <d v="2025-02-06T00:00:00"/>
    <s v="Febrero"/>
    <m/>
    <m/>
    <m/>
    <m/>
    <m/>
  </r>
  <r>
    <n v="106"/>
    <x v="1"/>
    <s v="Due diligence proyecto Copper World"/>
    <s v="Matrix"/>
    <s v="Copper World"/>
    <s v="Ing. de minas"/>
    <s v="PA"/>
    <n v="220000"/>
    <m/>
    <n v="1.5"/>
    <n v="146666.66666666666"/>
    <x v="0"/>
    <s v="OP"/>
    <s v="Solicitud Directa"/>
    <x v="3"/>
    <d v="2025-02-24T00:00:00"/>
    <m/>
    <m/>
    <m/>
    <m/>
    <m/>
    <m/>
  </r>
  <r>
    <n v="107"/>
    <x v="3"/>
    <s v="Servicios de geología y planificación (3 años)"/>
    <s v="Alcoa"/>
    <s v="Juruti"/>
    <s v="Planificación estratégica"/>
    <s v="AS"/>
    <n v="950000"/>
    <m/>
    <n v="12"/>
    <n v="79166.666666666672"/>
    <x v="2"/>
    <s v="OP/UG"/>
    <s v="Reventa"/>
    <x v="2"/>
    <d v="2025-02-19T00:00:00"/>
    <m/>
    <m/>
    <m/>
    <m/>
    <m/>
    <m/>
  </r>
  <r>
    <n v="108"/>
    <x v="1"/>
    <s v="Apoyo a la planificción minera de largo plazo"/>
    <s v="AMSA"/>
    <s v="Centinela"/>
    <s v="Planificación estratégica"/>
    <s v="PA"/>
    <n v="150000"/>
    <m/>
    <s v="-"/>
    <n v="0"/>
    <x v="2"/>
    <s v="OP"/>
    <s v="Reventa"/>
    <x v="2"/>
    <d v="2025-02-21T00:00:00"/>
    <m/>
    <m/>
    <m/>
    <m/>
    <m/>
    <m/>
  </r>
  <r>
    <n v="109"/>
    <x v="1"/>
    <s v="Actualización planes mineros"/>
    <s v="CMP"/>
    <s v="MLC"/>
    <s v="Planificación estratégica"/>
    <s v="FR"/>
    <n v="15000"/>
    <m/>
    <n v="0.5"/>
    <n v="30000"/>
    <x v="2"/>
    <s v="OP"/>
    <s v="Reventa"/>
    <x v="4"/>
    <d v="2025-02-06T00:00:00"/>
    <s v="Febrero"/>
    <m/>
    <m/>
    <m/>
    <m/>
    <m/>
  </r>
  <r>
    <n v="110"/>
    <x v="1"/>
    <s v="Análisis Geomecánico y diseño de fortificación (IDIEM)"/>
    <s v="Codelco"/>
    <m/>
    <s v="Mecánica de rocas"/>
    <s v="CH"/>
    <n v="80000"/>
    <m/>
    <n v="2"/>
    <n v="40000"/>
    <x v="2"/>
    <s v="OP/UG"/>
    <s v="Solicitud Directa"/>
    <x v="6"/>
    <m/>
    <m/>
    <m/>
    <m/>
    <m/>
    <m/>
    <m/>
  </r>
  <r>
    <n v="111"/>
    <x v="0"/>
    <s v="Actualizacion escenarios Ing Conceptual"/>
    <s v="Las Bambas"/>
    <s v="Ferrobamba"/>
    <s v="Ing. de minas"/>
    <s v="RM"/>
    <n v="20000"/>
    <m/>
    <n v="0.5"/>
    <n v="40000"/>
    <x v="2"/>
    <s v="UG"/>
    <s v="Reventa"/>
    <x v="4"/>
    <d v="2025-02-24T00:00:00"/>
    <d v="2025-03-05T00:00:00"/>
    <m/>
    <m/>
    <m/>
    <m/>
    <m/>
  </r>
  <r>
    <n v="112"/>
    <x v="3"/>
    <s v="Acompañamiento LOM y capacitación Simplan para Cajati"/>
    <s v="Mosaic"/>
    <s v="Cajati"/>
    <s v="Consultoría minera"/>
    <s v="AS"/>
    <n v="84000"/>
    <m/>
    <n v="3"/>
    <n v="28000"/>
    <x v="2"/>
    <s v="OP"/>
    <s v="Reventa"/>
    <x v="2"/>
    <d v="2025-03-05T00:00:00"/>
    <m/>
    <m/>
    <m/>
    <m/>
    <m/>
    <m/>
  </r>
  <r>
    <n v="113"/>
    <x v="3"/>
    <s v="Evaluación estocástica de escenarios con herramienta SIMPLAN"/>
    <s v="CBMM"/>
    <m/>
    <s v="Simulación de sistemas mineros"/>
    <s v="AS"/>
    <n v="118000"/>
    <m/>
    <n v="3"/>
    <n v="39333.333333333336"/>
    <x v="3"/>
    <s v="OP"/>
    <s v="Busqueda Activa"/>
    <x v="2"/>
    <d v="2025-03-07T00:00:00"/>
    <m/>
    <m/>
    <m/>
    <m/>
    <m/>
    <m/>
  </r>
  <r>
    <n v="114"/>
    <x v="1"/>
    <s v="Tunel exploración"/>
    <s v="BHP"/>
    <s v="Escondida"/>
    <s v="Ing. de minas"/>
    <s v="PV"/>
    <n v="200000"/>
    <m/>
    <n v="3"/>
    <n v="66666.666666666672"/>
    <x v="3"/>
    <s v="UG"/>
    <s v="Busqueda Activa"/>
    <x v="0"/>
    <d v="2025-02-24T00:00:00"/>
    <d v="2025-03-15T00:00:00"/>
    <m/>
    <m/>
    <m/>
    <m/>
    <m/>
  </r>
  <r>
    <n v="115"/>
    <x v="0"/>
    <s v="Actualización Riesgo Sísmico UM Constancia"/>
    <s v="Hudbay "/>
    <s v="Constancia"/>
    <s v="Mecánica de rocas"/>
    <s v="CH"/>
    <n v="38000"/>
    <m/>
    <n v="1"/>
    <n v="38000"/>
    <x v="0"/>
    <s v="OP"/>
    <s v="Busqueda Activa"/>
    <x v="2"/>
    <d v="2025-03-07T00:00:00"/>
    <m/>
    <m/>
    <m/>
    <m/>
    <m/>
    <m/>
  </r>
  <r>
    <n v="116"/>
    <x v="3"/>
    <s v="PEA Projecto Furnas"/>
    <s v="Ero Copper"/>
    <s v="Furnas"/>
    <s v="Ing. de minas"/>
    <s v="AS"/>
    <n v="550000"/>
    <m/>
    <n v="6"/>
    <n v="91666.666666666672"/>
    <x v="3"/>
    <s v="OP/UG"/>
    <s v="Busqueda Activa"/>
    <x v="6"/>
    <m/>
    <m/>
    <m/>
    <m/>
    <m/>
    <m/>
    <m/>
  </r>
  <r>
    <n v="117"/>
    <x v="1"/>
    <s v="Revisión y actualización caso base LOM Cerro Colorado"/>
    <s v="BHP"/>
    <s v="Cerro Colorado"/>
    <s v="Ing. de minas"/>
    <s v="RM"/>
    <n v="200000"/>
    <m/>
    <n v="3"/>
    <n v="66666.666666666672"/>
    <x v="3"/>
    <s v="OP"/>
    <s v="Reventa"/>
    <x v="7"/>
    <m/>
    <m/>
    <m/>
    <m/>
    <m/>
    <m/>
    <m/>
  </r>
  <r>
    <n v="118"/>
    <x v="3"/>
    <s v="Diseño geomecánico/hídrico de Patrocinio"/>
    <s v="Mosaic"/>
    <s v="Cajati"/>
    <s v="Mecánica de rocas"/>
    <s v="CH"/>
    <n v="60000"/>
    <m/>
    <n v="2"/>
    <n v="30000"/>
    <x v="2"/>
    <s v="OP"/>
    <s v="Reventa"/>
    <x v="6"/>
    <m/>
    <m/>
    <m/>
    <m/>
    <m/>
    <m/>
    <m/>
  </r>
  <r>
    <n v="119"/>
    <x v="1"/>
    <s v="Ampliación de contrato &quot;Cierre de botaderos&quot;"/>
    <s v="BHP"/>
    <s v="Cerro Colorado"/>
    <s v="Ing. de minas"/>
    <s v="RM"/>
    <n v="30000"/>
    <m/>
    <n v="0.5"/>
    <n v="60000"/>
    <x v="3"/>
    <s v="OP"/>
    <s v="Reventa"/>
    <x v="4"/>
    <d v="2025-03-10T00:00:00"/>
    <d v="2025-03-10T00:00:00"/>
    <m/>
    <m/>
    <m/>
    <m/>
    <m/>
  </r>
  <r>
    <n v="120"/>
    <x v="3"/>
    <s v="Ing detalle infraestructura Mina"/>
    <s v="BR Nickel"/>
    <s v="Niquel Piauí"/>
    <s v="Ing. de minas"/>
    <s v="RM"/>
    <n v="450000"/>
    <m/>
    <n v="5"/>
    <n v="90000"/>
    <x v="0"/>
    <s v="OP"/>
    <s v="Solicitud Directa"/>
    <x v="6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  <r>
    <m/>
    <x v="4"/>
    <m/>
    <m/>
    <m/>
    <m/>
    <m/>
    <m/>
    <m/>
    <m/>
    <m/>
    <x v="1"/>
    <m/>
    <m/>
    <x v="8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51602-1A08-4FA9-AD8F-45539C93D1F4}" name="TablaDinámica1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9" firstHeaderRow="1" firstDataRow="2" firstDataCol="1"/>
  <pivotFields count="22"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4"/>
        <item x="6"/>
        <item x="7"/>
        <item x="5"/>
        <item x="3"/>
        <item x="0"/>
        <item h="1" x="1"/>
        <item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colItems>
  <dataFields count="1">
    <dataField name="Suma de Monto (USD)" fld="7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71B30-FF5E-480E-B861-05E962B53F83}" name="TablaDinámica1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9" firstHeaderRow="1" firstDataRow="2" firstDataCol="1"/>
  <pivotFields count="22"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4"/>
        <item x="6"/>
        <item x="7"/>
        <item x="5"/>
        <item x="3"/>
        <item x="0"/>
        <item x="1"/>
        <item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uenta de Monto (USD)" fld="7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2BBBB-CFCD-42CB-A1A6-88EC66659A17}" name="TablaDinámica2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7" firstHeaderRow="1" firstDataRow="1" firstDataCol="1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axis="axisPage" multipleItemSelectionAllowed="1" showAll="0">
      <items count="10">
        <item x="4"/>
        <item h="1" x="6"/>
        <item h="1" x="7"/>
        <item h="1" x="5"/>
        <item h="1" x="3"/>
        <item x="0"/>
        <item h="1" x="1"/>
        <item h="1"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14" hier="-1"/>
  </pageFields>
  <dataFields count="1">
    <dataField name="Suma de Monto (USD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0-01T18:19:22.99" personId="{54D23F40-6AA6-EB4B-856D-440F7EAED13A}" id="{70A22A6A-C37F-4313-9440-5CF5F2459903}">
    <text>Monto de contrato</text>
  </threadedComment>
  <threadedComment ref="F3" dT="2024-10-01T18:19:34.72" personId="{54D23F40-6AA6-EB4B-856D-440F7EAED13A}" id="{0B3B3709-BE26-4D01-A816-CB940A1A57AE}">
    <text>Monto facturado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2" dT="2025-01-07T17:28:27.97" personId="{62F0E504-4ECD-4BDF-A279-42ACAFB2CCAB}" id="{D612B839-71CD-41DD-A797-0E3D4C84B924}">
    <text xml:space="preserve">Propuesta
</text>
  </threadedComment>
  <threadedComment ref="Y2" dT="2025-01-07T17:26:19.70" personId="{62F0E504-4ECD-4BDF-A279-42ACAFB2CCAB}" id="{84523BFE-14F8-4E82-8899-05A383EF0052}">
    <text>Esto agrupar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B5F5-06A1-4773-8111-49967E0A2CB9}">
  <sheetPr filterMode="1"/>
  <dimension ref="A1:AJ589"/>
  <sheetViews>
    <sheetView tabSelected="1" zoomScale="107" zoomScaleNormal="85" workbookViewId="0">
      <pane ySplit="1" topLeftCell="A2" activePane="bottomLeft" state="frozen"/>
      <selection pane="bottomLeft" activeCell="C10" sqref="C10"/>
    </sheetView>
  </sheetViews>
  <sheetFormatPr baseColWidth="10" defaultColWidth="11.5" defaultRowHeight="11" x14ac:dyDescent="0.15"/>
  <cols>
    <col min="1" max="1" width="4.6640625" style="159" customWidth="1"/>
    <col min="2" max="2" width="6.83203125" style="160" customWidth="1"/>
    <col min="3" max="3" width="40.1640625" style="158" customWidth="1"/>
    <col min="4" max="4" width="17.33203125" style="160" customWidth="1"/>
    <col min="5" max="5" width="14.33203125" style="160" customWidth="1"/>
    <col min="6" max="6" width="22.6640625" style="160" customWidth="1"/>
    <col min="7" max="7" width="9.5" style="160" customWidth="1"/>
    <col min="8" max="9" width="10.33203125" style="158" customWidth="1"/>
    <col min="10" max="10" width="8.5" style="160" customWidth="1"/>
    <col min="11" max="11" width="10" style="158" customWidth="1"/>
    <col min="12" max="13" width="8.5" style="160" customWidth="1"/>
    <col min="14" max="14" width="15.6640625" style="160" customWidth="1"/>
    <col min="15" max="15" width="19.5" style="160" bestFit="1" customWidth="1"/>
    <col min="16" max="16" width="10.1640625" style="151" customWidth="1"/>
    <col min="17" max="17" width="9.6640625" style="151" customWidth="1"/>
    <col min="18" max="18" width="19.5" style="158" customWidth="1"/>
    <col min="19" max="19" width="52.83203125" style="158" bestFit="1" customWidth="1"/>
    <col min="20" max="20" width="19.5" style="158" customWidth="1"/>
    <col min="21" max="21" width="68.33203125" style="251" bestFit="1" customWidth="1"/>
    <col min="22" max="22" width="7.83203125" style="148" customWidth="1"/>
    <col min="23" max="27" width="6" style="148" customWidth="1"/>
    <col min="28" max="28" width="5.1640625" style="148" customWidth="1"/>
    <col min="29" max="29" width="2.6640625" style="148" customWidth="1"/>
    <col min="30" max="36" width="11.5" style="148"/>
    <col min="37" max="16384" width="11.5" style="158"/>
  </cols>
  <sheetData>
    <row r="1" spans="1:22" s="148" customFormat="1" ht="32" customHeight="1" x14ac:dyDescent="0.15">
      <c r="A1" s="144" t="s">
        <v>59</v>
      </c>
      <c r="B1" s="144" t="s">
        <v>39</v>
      </c>
      <c r="C1" s="145" t="s">
        <v>66</v>
      </c>
      <c r="D1" s="144" t="s">
        <v>64</v>
      </c>
      <c r="E1" s="144" t="s">
        <v>65</v>
      </c>
      <c r="F1" s="144" t="s">
        <v>477</v>
      </c>
      <c r="G1" s="145" t="s">
        <v>388</v>
      </c>
      <c r="H1" s="146" t="s">
        <v>67</v>
      </c>
      <c r="I1" s="146" t="s">
        <v>515</v>
      </c>
      <c r="J1" s="145" t="s">
        <v>340</v>
      </c>
      <c r="K1" s="145" t="s">
        <v>397</v>
      </c>
      <c r="L1" s="145" t="s">
        <v>61</v>
      </c>
      <c r="M1" s="145" t="s">
        <v>501</v>
      </c>
      <c r="N1" s="145" t="s">
        <v>484</v>
      </c>
      <c r="O1" s="145" t="s">
        <v>478</v>
      </c>
      <c r="P1" s="145" t="s">
        <v>509</v>
      </c>
      <c r="Q1" s="145" t="s">
        <v>649</v>
      </c>
      <c r="R1" s="145" t="s">
        <v>485</v>
      </c>
      <c r="S1" s="145" t="s">
        <v>447</v>
      </c>
      <c r="T1" s="145" t="s">
        <v>508</v>
      </c>
      <c r="U1" s="147" t="s">
        <v>482</v>
      </c>
      <c r="V1" s="147" t="s">
        <v>462</v>
      </c>
    </row>
    <row r="2" spans="1:22" s="148" customFormat="1" ht="11.5" customHeight="1" x14ac:dyDescent="0.15">
      <c r="A2" s="149">
        <v>1</v>
      </c>
      <c r="B2" s="150" t="s">
        <v>56</v>
      </c>
      <c r="C2" s="252" t="s">
        <v>368</v>
      </c>
      <c r="D2" s="149" t="s">
        <v>366</v>
      </c>
      <c r="E2" s="151" t="s">
        <v>367</v>
      </c>
      <c r="F2" s="149" t="s">
        <v>390</v>
      </c>
      <c r="G2" s="153" t="s">
        <v>355</v>
      </c>
      <c r="H2" s="153">
        <v>180000</v>
      </c>
      <c r="I2" s="153"/>
      <c r="J2" s="149">
        <v>3</v>
      </c>
      <c r="K2" s="153">
        <f>IFERROR(H2/J2,0)</f>
        <v>60000</v>
      </c>
      <c r="L2" s="149" t="s">
        <v>52</v>
      </c>
      <c r="M2" s="149" t="s">
        <v>342</v>
      </c>
      <c r="N2" s="149" t="s">
        <v>343</v>
      </c>
      <c r="O2" s="263" t="s">
        <v>470</v>
      </c>
      <c r="P2" s="166">
        <v>45653</v>
      </c>
      <c r="Q2" s="151" t="s">
        <v>579</v>
      </c>
      <c r="R2" s="163"/>
      <c r="S2" s="154"/>
      <c r="T2" s="154"/>
      <c r="U2" s="247"/>
    </row>
    <row r="3" spans="1:22" s="148" customFormat="1" ht="11.5" hidden="1" customHeight="1" x14ac:dyDescent="0.15">
      <c r="A3" s="149">
        <v>2</v>
      </c>
      <c r="B3" s="150" t="s">
        <v>49</v>
      </c>
      <c r="C3" s="252" t="s">
        <v>658</v>
      </c>
      <c r="D3" s="149"/>
      <c r="E3" s="151"/>
      <c r="F3" s="149"/>
      <c r="G3" s="153"/>
      <c r="H3" s="153">
        <v>0</v>
      </c>
      <c r="I3" s="153"/>
      <c r="J3" s="149"/>
      <c r="K3" s="153"/>
      <c r="L3" s="149"/>
      <c r="M3" s="149"/>
      <c r="N3" s="149"/>
      <c r="O3" s="263" t="s">
        <v>480</v>
      </c>
      <c r="P3" s="166"/>
      <c r="Q3" s="151"/>
      <c r="R3" s="163"/>
      <c r="S3" s="154"/>
      <c r="T3" s="154"/>
      <c r="U3" s="247"/>
    </row>
    <row r="4" spans="1:22" s="148" customFormat="1" ht="12" x14ac:dyDescent="0.15">
      <c r="A4" s="149">
        <v>3</v>
      </c>
      <c r="B4" s="150" t="s">
        <v>56</v>
      </c>
      <c r="C4" s="154" t="s">
        <v>370</v>
      </c>
      <c r="D4" s="149" t="s">
        <v>161</v>
      </c>
      <c r="E4" s="151" t="s">
        <v>162</v>
      </c>
      <c r="F4" s="152" t="s">
        <v>486</v>
      </c>
      <c r="G4" s="153" t="s">
        <v>349</v>
      </c>
      <c r="H4" s="153">
        <v>1035000</v>
      </c>
      <c r="I4" s="153"/>
      <c r="J4" s="149">
        <v>13</v>
      </c>
      <c r="K4" s="153">
        <f t="shared" ref="K4:K65" si="0">IFERROR(H4/J4,0)</f>
        <v>79615.38461538461</v>
      </c>
      <c r="L4" s="152" t="s">
        <v>50</v>
      </c>
      <c r="M4" s="149" t="s">
        <v>342</v>
      </c>
      <c r="N4" s="152" t="s">
        <v>12</v>
      </c>
      <c r="O4" s="161" t="s">
        <v>470</v>
      </c>
      <c r="P4" s="166"/>
      <c r="Q4" s="151" t="s">
        <v>601</v>
      </c>
      <c r="R4" s="163"/>
      <c r="S4" s="154"/>
      <c r="T4" s="154" t="s">
        <v>520</v>
      </c>
      <c r="U4" s="247" t="s">
        <v>587</v>
      </c>
    </row>
    <row r="5" spans="1:22" s="148" customFormat="1" hidden="1" x14ac:dyDescent="0.15">
      <c r="A5" s="149">
        <v>4</v>
      </c>
      <c r="B5" s="150" t="s">
        <v>49</v>
      </c>
      <c r="C5" s="264" t="s">
        <v>374</v>
      </c>
      <c r="D5" s="149" t="s">
        <v>81</v>
      </c>
      <c r="E5" s="151" t="s">
        <v>90</v>
      </c>
      <c r="F5" s="152" t="s">
        <v>390</v>
      </c>
      <c r="G5" s="153" t="s">
        <v>348</v>
      </c>
      <c r="H5" s="153">
        <v>170000</v>
      </c>
      <c r="I5" s="153"/>
      <c r="J5" s="149">
        <v>3</v>
      </c>
      <c r="K5" s="153">
        <f t="shared" si="0"/>
        <v>56666.666666666664</v>
      </c>
      <c r="L5" s="149" t="s">
        <v>50</v>
      </c>
      <c r="M5" s="149" t="s">
        <v>342</v>
      </c>
      <c r="N5" s="152" t="s">
        <v>343</v>
      </c>
      <c r="O5" s="161" t="s">
        <v>406</v>
      </c>
      <c r="P5" s="166"/>
      <c r="Q5" s="151"/>
      <c r="R5" s="163"/>
      <c r="S5" s="154"/>
      <c r="T5" s="154"/>
      <c r="U5" s="247"/>
    </row>
    <row r="6" spans="1:22" s="148" customFormat="1" hidden="1" x14ac:dyDescent="0.15">
      <c r="A6" s="149">
        <v>5</v>
      </c>
      <c r="B6" s="150" t="s">
        <v>54</v>
      </c>
      <c r="C6" s="264" t="s">
        <v>376</v>
      </c>
      <c r="D6" s="149" t="s">
        <v>357</v>
      </c>
      <c r="E6" s="151" t="s">
        <v>375</v>
      </c>
      <c r="F6" s="152" t="s">
        <v>393</v>
      </c>
      <c r="G6" s="153" t="s">
        <v>341</v>
      </c>
      <c r="H6" s="153">
        <v>566000</v>
      </c>
      <c r="I6" s="153"/>
      <c r="J6" s="149">
        <v>3</v>
      </c>
      <c r="K6" s="153">
        <f t="shared" si="0"/>
        <v>188666.66666666666</v>
      </c>
      <c r="L6" s="149" t="s">
        <v>53</v>
      </c>
      <c r="M6" s="149" t="s">
        <v>342</v>
      </c>
      <c r="N6" s="152" t="s">
        <v>343</v>
      </c>
      <c r="O6" s="161" t="s">
        <v>406</v>
      </c>
      <c r="P6" s="166"/>
      <c r="Q6" s="151"/>
      <c r="R6" s="163"/>
      <c r="S6" s="154" t="s">
        <v>703</v>
      </c>
      <c r="T6" s="154"/>
      <c r="U6" s="247"/>
    </row>
    <row r="7" spans="1:22" s="148" customFormat="1" hidden="1" x14ac:dyDescent="0.15">
      <c r="A7" s="149">
        <v>6</v>
      </c>
      <c r="B7" s="150" t="s">
        <v>51</v>
      </c>
      <c r="C7" s="264" t="s">
        <v>377</v>
      </c>
      <c r="D7" s="149" t="s">
        <v>213</v>
      </c>
      <c r="E7" s="151"/>
      <c r="F7" s="152" t="s">
        <v>392</v>
      </c>
      <c r="G7" s="153" t="s">
        <v>346</v>
      </c>
      <c r="H7" s="153">
        <v>450000</v>
      </c>
      <c r="I7" s="153"/>
      <c r="J7" s="149">
        <v>12</v>
      </c>
      <c r="K7" s="153">
        <f t="shared" si="0"/>
        <v>37500</v>
      </c>
      <c r="L7" s="149" t="s">
        <v>53</v>
      </c>
      <c r="M7" s="149" t="s">
        <v>347</v>
      </c>
      <c r="N7" s="152" t="s">
        <v>476</v>
      </c>
      <c r="O7" s="161" t="s">
        <v>356</v>
      </c>
      <c r="P7" s="166"/>
      <c r="Q7" s="151"/>
      <c r="R7" s="163"/>
      <c r="S7" s="154"/>
      <c r="T7" s="154"/>
      <c r="U7" s="247"/>
    </row>
    <row r="8" spans="1:22" s="148" customFormat="1" ht="12" hidden="1" x14ac:dyDescent="0.15">
      <c r="A8" s="149">
        <v>7</v>
      </c>
      <c r="B8" s="152" t="s">
        <v>49</v>
      </c>
      <c r="C8" s="154" t="s">
        <v>504</v>
      </c>
      <c r="D8" s="149" t="s">
        <v>111</v>
      </c>
      <c r="E8" s="149" t="s">
        <v>363</v>
      </c>
      <c r="F8" s="152" t="s">
        <v>390</v>
      </c>
      <c r="G8" s="152" t="s">
        <v>349</v>
      </c>
      <c r="H8" s="153">
        <v>60000</v>
      </c>
      <c r="I8" s="153"/>
      <c r="J8" s="152">
        <v>2</v>
      </c>
      <c r="K8" s="153">
        <f t="shared" si="0"/>
        <v>30000</v>
      </c>
      <c r="L8" s="152" t="s">
        <v>52</v>
      </c>
      <c r="M8" s="152" t="s">
        <v>345</v>
      </c>
      <c r="N8" s="152" t="s">
        <v>12</v>
      </c>
      <c r="O8" s="161" t="s">
        <v>406</v>
      </c>
      <c r="P8" s="166"/>
      <c r="Q8" s="151"/>
      <c r="R8" s="163"/>
      <c r="S8" s="154"/>
      <c r="T8" s="154" t="s">
        <v>589</v>
      </c>
      <c r="U8" s="248" t="s">
        <v>588</v>
      </c>
    </row>
    <row r="9" spans="1:22" s="148" customFormat="1" hidden="1" x14ac:dyDescent="0.15">
      <c r="A9" s="149">
        <v>8</v>
      </c>
      <c r="B9" s="152" t="s">
        <v>54</v>
      </c>
      <c r="C9" s="154" t="s">
        <v>379</v>
      </c>
      <c r="D9" s="149" t="s">
        <v>357</v>
      </c>
      <c r="E9" s="149" t="s">
        <v>378</v>
      </c>
      <c r="F9" s="152" t="s">
        <v>393</v>
      </c>
      <c r="G9" s="152" t="s">
        <v>341</v>
      </c>
      <c r="H9" s="153">
        <v>340000</v>
      </c>
      <c r="I9" s="153"/>
      <c r="J9" s="152">
        <v>3</v>
      </c>
      <c r="K9" s="153">
        <f t="shared" si="0"/>
        <v>113333.33333333333</v>
      </c>
      <c r="L9" s="152" t="s">
        <v>52</v>
      </c>
      <c r="M9" s="152" t="s">
        <v>345</v>
      </c>
      <c r="N9" s="152" t="s">
        <v>12</v>
      </c>
      <c r="O9" s="161" t="s">
        <v>356</v>
      </c>
      <c r="P9" s="166"/>
      <c r="Q9" s="151"/>
      <c r="R9" s="163"/>
      <c r="S9" s="154"/>
      <c r="T9" s="154"/>
      <c r="U9" s="247"/>
    </row>
    <row r="10" spans="1:22" s="148" customFormat="1" ht="12" customHeight="1" x14ac:dyDescent="0.15">
      <c r="A10" s="149">
        <v>9</v>
      </c>
      <c r="B10" s="152" t="s">
        <v>56</v>
      </c>
      <c r="C10" s="252" t="s">
        <v>380</v>
      </c>
      <c r="D10" s="149" t="s">
        <v>352</v>
      </c>
      <c r="E10" s="149" t="s">
        <v>136</v>
      </c>
      <c r="F10" s="149" t="s">
        <v>486</v>
      </c>
      <c r="G10" s="152" t="s">
        <v>349</v>
      </c>
      <c r="H10" s="153">
        <v>240000</v>
      </c>
      <c r="I10" s="153"/>
      <c r="J10" s="152">
        <v>3</v>
      </c>
      <c r="K10" s="153">
        <f t="shared" si="0"/>
        <v>80000</v>
      </c>
      <c r="L10" s="152" t="s">
        <v>50</v>
      </c>
      <c r="M10" s="152" t="s">
        <v>342</v>
      </c>
      <c r="N10" s="152" t="s">
        <v>343</v>
      </c>
      <c r="O10" s="161" t="s">
        <v>481</v>
      </c>
      <c r="P10" s="166">
        <v>45992</v>
      </c>
      <c r="Q10" s="151" t="s">
        <v>579</v>
      </c>
      <c r="R10" s="163"/>
      <c r="S10" s="154" t="s">
        <v>521</v>
      </c>
      <c r="T10" s="154"/>
      <c r="U10" s="248" t="s">
        <v>590</v>
      </c>
    </row>
    <row r="11" spans="1:22" s="148" customFormat="1" ht="12" hidden="1" x14ac:dyDescent="0.15">
      <c r="A11" s="149">
        <v>10</v>
      </c>
      <c r="B11" s="152" t="s">
        <v>56</v>
      </c>
      <c r="C11" s="154" t="s">
        <v>381</v>
      </c>
      <c r="D11" s="149" t="s">
        <v>362</v>
      </c>
      <c r="E11" s="149"/>
      <c r="F11" s="152" t="s">
        <v>393</v>
      </c>
      <c r="G11" s="152" t="s">
        <v>394</v>
      </c>
      <c r="H11" s="153">
        <v>220000</v>
      </c>
      <c r="I11" s="153"/>
      <c r="J11" s="152">
        <v>3</v>
      </c>
      <c r="K11" s="153">
        <f t="shared" si="0"/>
        <v>73333.333333333328</v>
      </c>
      <c r="L11" s="152" t="s">
        <v>52</v>
      </c>
      <c r="M11" s="152" t="s">
        <v>347</v>
      </c>
      <c r="N11" s="152" t="s">
        <v>354</v>
      </c>
      <c r="O11" s="161" t="s">
        <v>356</v>
      </c>
      <c r="P11" s="166">
        <v>45681</v>
      </c>
      <c r="Q11" s="151"/>
      <c r="R11" s="164"/>
      <c r="S11" s="154"/>
      <c r="T11" s="154" t="s">
        <v>622</v>
      </c>
      <c r="U11" s="248" t="s">
        <v>621</v>
      </c>
    </row>
    <row r="12" spans="1:22" s="148" customFormat="1" x14ac:dyDescent="0.15">
      <c r="A12" s="149">
        <v>11</v>
      </c>
      <c r="B12" s="152" t="s">
        <v>49</v>
      </c>
      <c r="C12" s="154" t="s">
        <v>581</v>
      </c>
      <c r="D12" s="149" t="s">
        <v>110</v>
      </c>
      <c r="E12" s="149" t="s">
        <v>103</v>
      </c>
      <c r="F12" s="152" t="s">
        <v>486</v>
      </c>
      <c r="G12" s="152" t="s">
        <v>351</v>
      </c>
      <c r="H12" s="153">
        <v>180000</v>
      </c>
      <c r="I12" s="153"/>
      <c r="J12" s="152">
        <v>5</v>
      </c>
      <c r="K12" s="153">
        <f t="shared" si="0"/>
        <v>36000</v>
      </c>
      <c r="L12" s="152" t="s">
        <v>53</v>
      </c>
      <c r="M12" s="152" t="s">
        <v>345</v>
      </c>
      <c r="N12" s="152" t="s">
        <v>476</v>
      </c>
      <c r="O12" s="161" t="s">
        <v>470</v>
      </c>
      <c r="P12" s="166">
        <v>46015</v>
      </c>
      <c r="Q12" s="151" t="s">
        <v>579</v>
      </c>
      <c r="R12" s="164"/>
      <c r="S12" s="154"/>
      <c r="T12" s="154"/>
      <c r="U12" s="247"/>
    </row>
    <row r="13" spans="1:22" s="148" customFormat="1" x14ac:dyDescent="0.15">
      <c r="A13" s="149">
        <v>12</v>
      </c>
      <c r="B13" s="152" t="s">
        <v>49</v>
      </c>
      <c r="C13" s="154" t="s">
        <v>578</v>
      </c>
      <c r="D13" s="149" t="s">
        <v>502</v>
      </c>
      <c r="E13" s="149" t="s">
        <v>503</v>
      </c>
      <c r="F13" s="152" t="s">
        <v>390</v>
      </c>
      <c r="G13" s="152" t="s">
        <v>355</v>
      </c>
      <c r="H13" s="153">
        <v>200000</v>
      </c>
      <c r="I13" s="153"/>
      <c r="J13" s="152">
        <v>3</v>
      </c>
      <c r="K13" s="153">
        <f t="shared" si="0"/>
        <v>66666.666666666672</v>
      </c>
      <c r="L13" s="152" t="s">
        <v>52</v>
      </c>
      <c r="M13" s="152" t="s">
        <v>345</v>
      </c>
      <c r="N13" s="152" t="s">
        <v>343</v>
      </c>
      <c r="O13" s="161" t="s">
        <v>470</v>
      </c>
      <c r="P13" s="166">
        <v>46016</v>
      </c>
      <c r="Q13" s="151" t="s">
        <v>579</v>
      </c>
      <c r="R13" s="164"/>
      <c r="S13" s="154"/>
      <c r="T13" s="154"/>
      <c r="U13" s="247"/>
    </row>
    <row r="14" spans="1:22" s="148" customFormat="1" x14ac:dyDescent="0.15">
      <c r="A14" s="149">
        <v>13</v>
      </c>
      <c r="B14" s="152" t="s">
        <v>49</v>
      </c>
      <c r="C14" s="154" t="s">
        <v>505</v>
      </c>
      <c r="D14" s="152" t="s">
        <v>110</v>
      </c>
      <c r="E14" s="152" t="s">
        <v>103</v>
      </c>
      <c r="F14" s="152" t="s">
        <v>393</v>
      </c>
      <c r="G14" s="152" t="s">
        <v>348</v>
      </c>
      <c r="H14" s="153">
        <v>56000</v>
      </c>
      <c r="I14" s="153"/>
      <c r="J14" s="152">
        <v>2</v>
      </c>
      <c r="K14" s="153">
        <f t="shared" si="0"/>
        <v>28000</v>
      </c>
      <c r="L14" s="152" t="s">
        <v>53</v>
      </c>
      <c r="M14" s="152" t="s">
        <v>345</v>
      </c>
      <c r="N14" s="152" t="s">
        <v>343</v>
      </c>
      <c r="O14" s="161" t="s">
        <v>481</v>
      </c>
      <c r="P14" s="166">
        <v>45646</v>
      </c>
      <c r="Q14" s="151" t="s">
        <v>601</v>
      </c>
      <c r="R14" s="164"/>
      <c r="S14" s="154"/>
      <c r="T14" s="154"/>
      <c r="U14" s="247"/>
    </row>
    <row r="15" spans="1:22" s="148" customFormat="1" x14ac:dyDescent="0.15">
      <c r="A15" s="149">
        <v>14</v>
      </c>
      <c r="B15" s="152" t="s">
        <v>49</v>
      </c>
      <c r="C15" s="154" t="s">
        <v>506</v>
      </c>
      <c r="D15" s="152" t="s">
        <v>106</v>
      </c>
      <c r="E15" s="152" t="s">
        <v>108</v>
      </c>
      <c r="F15" s="152" t="s">
        <v>391</v>
      </c>
      <c r="G15" s="152" t="s">
        <v>355</v>
      </c>
      <c r="H15" s="153">
        <v>35000</v>
      </c>
      <c r="I15" s="153"/>
      <c r="J15" s="152">
        <v>1</v>
      </c>
      <c r="K15" s="153">
        <f t="shared" si="0"/>
        <v>35000</v>
      </c>
      <c r="L15" s="152" t="s">
        <v>53</v>
      </c>
      <c r="M15" s="152" t="s">
        <v>345</v>
      </c>
      <c r="N15" s="152" t="s">
        <v>12</v>
      </c>
      <c r="O15" s="162" t="s">
        <v>470</v>
      </c>
      <c r="P15" s="166">
        <v>45667</v>
      </c>
      <c r="Q15" s="151" t="s">
        <v>579</v>
      </c>
      <c r="R15" s="164"/>
      <c r="S15" s="154"/>
      <c r="T15" s="154"/>
      <c r="U15" s="247"/>
    </row>
    <row r="16" spans="1:22" s="148" customFormat="1" ht="12" hidden="1" x14ac:dyDescent="0.15">
      <c r="A16" s="149">
        <v>15</v>
      </c>
      <c r="B16" s="152" t="s">
        <v>51</v>
      </c>
      <c r="C16" s="154" t="s">
        <v>373</v>
      </c>
      <c r="D16" s="152" t="s">
        <v>213</v>
      </c>
      <c r="E16" s="152" t="s">
        <v>372</v>
      </c>
      <c r="F16" s="152" t="s">
        <v>392</v>
      </c>
      <c r="G16" s="152" t="s">
        <v>346</v>
      </c>
      <c r="H16" s="153">
        <v>150000</v>
      </c>
      <c r="I16" s="153"/>
      <c r="J16" s="152">
        <v>3</v>
      </c>
      <c r="K16" s="153">
        <f t="shared" si="0"/>
        <v>50000</v>
      </c>
      <c r="L16" s="152" t="s">
        <v>53</v>
      </c>
      <c r="M16" s="152" t="s">
        <v>345</v>
      </c>
      <c r="N16" s="152" t="s">
        <v>476</v>
      </c>
      <c r="O16" s="161" t="s">
        <v>483</v>
      </c>
      <c r="P16" s="166"/>
      <c r="Q16" s="151"/>
      <c r="R16" s="164"/>
      <c r="S16" s="154"/>
      <c r="T16" s="154"/>
      <c r="U16" s="247" t="s">
        <v>562</v>
      </c>
    </row>
    <row r="17" spans="1:21" s="148" customFormat="1" hidden="1" x14ac:dyDescent="0.15">
      <c r="A17" s="149">
        <v>16</v>
      </c>
      <c r="B17" s="152" t="s">
        <v>49</v>
      </c>
      <c r="C17" s="154" t="s">
        <v>386</v>
      </c>
      <c r="D17" s="152" t="s">
        <v>71</v>
      </c>
      <c r="E17" s="152" t="s">
        <v>169</v>
      </c>
      <c r="F17" s="152" t="s">
        <v>392</v>
      </c>
      <c r="G17" s="152" t="s">
        <v>344</v>
      </c>
      <c r="H17" s="153">
        <v>900000</v>
      </c>
      <c r="I17" s="153"/>
      <c r="J17" s="152">
        <v>12</v>
      </c>
      <c r="K17" s="153">
        <f t="shared" si="0"/>
        <v>75000</v>
      </c>
      <c r="L17" s="152" t="s">
        <v>50</v>
      </c>
      <c r="M17" s="152" t="s">
        <v>345</v>
      </c>
      <c r="N17" s="152" t="s">
        <v>476</v>
      </c>
      <c r="O17" s="161" t="s">
        <v>475</v>
      </c>
      <c r="P17" s="166"/>
      <c r="Q17" s="151"/>
      <c r="R17" s="164"/>
      <c r="S17" s="154"/>
      <c r="T17" s="154"/>
      <c r="U17" s="247"/>
    </row>
    <row r="18" spans="1:21" s="148" customFormat="1" hidden="1" x14ac:dyDescent="0.15">
      <c r="A18" s="149">
        <v>17</v>
      </c>
      <c r="B18" s="152" t="s">
        <v>49</v>
      </c>
      <c r="C18" s="154" t="s">
        <v>387</v>
      </c>
      <c r="D18" s="152" t="s">
        <v>68</v>
      </c>
      <c r="E18" s="152" t="s">
        <v>69</v>
      </c>
      <c r="F18" s="152" t="s">
        <v>486</v>
      </c>
      <c r="G18" s="152" t="s">
        <v>351</v>
      </c>
      <c r="H18" s="153">
        <v>1380000</v>
      </c>
      <c r="I18" s="153"/>
      <c r="J18" s="152">
        <v>5</v>
      </c>
      <c r="K18" s="153">
        <f t="shared" si="0"/>
        <v>276000</v>
      </c>
      <c r="L18" s="152" t="s">
        <v>50</v>
      </c>
      <c r="M18" s="152" t="s">
        <v>342</v>
      </c>
      <c r="N18" s="152" t="s">
        <v>354</v>
      </c>
      <c r="O18" s="161" t="s">
        <v>406</v>
      </c>
      <c r="P18" s="169">
        <v>45674</v>
      </c>
      <c r="Q18" s="151"/>
      <c r="R18" s="164"/>
      <c r="S18" s="154"/>
      <c r="T18" s="154"/>
      <c r="U18" s="247"/>
    </row>
    <row r="19" spans="1:21" s="148" customFormat="1" hidden="1" x14ac:dyDescent="0.15">
      <c r="A19" s="149">
        <v>18</v>
      </c>
      <c r="B19" s="150" t="s">
        <v>51</v>
      </c>
      <c r="C19" s="155" t="s">
        <v>513</v>
      </c>
      <c r="D19" s="150" t="s">
        <v>217</v>
      </c>
      <c r="E19" s="150"/>
      <c r="F19" s="150" t="s">
        <v>486</v>
      </c>
      <c r="G19" s="150" t="s">
        <v>346</v>
      </c>
      <c r="H19" s="153">
        <v>207000</v>
      </c>
      <c r="I19" s="153"/>
      <c r="J19" s="150">
        <v>6</v>
      </c>
      <c r="K19" s="153">
        <f t="shared" si="0"/>
        <v>34500</v>
      </c>
      <c r="L19" s="150" t="s">
        <v>52</v>
      </c>
      <c r="M19" s="150" t="s">
        <v>345</v>
      </c>
      <c r="N19" s="150" t="s">
        <v>354</v>
      </c>
      <c r="O19" s="162" t="s">
        <v>356</v>
      </c>
      <c r="P19" s="169">
        <v>45665</v>
      </c>
      <c r="Q19" s="151"/>
      <c r="R19" s="164"/>
      <c r="S19" s="155"/>
      <c r="T19" s="155"/>
      <c r="U19" s="249"/>
    </row>
    <row r="20" spans="1:21" s="148" customFormat="1" hidden="1" x14ac:dyDescent="0.15">
      <c r="A20" s="149">
        <v>19</v>
      </c>
      <c r="B20" s="150" t="s">
        <v>49</v>
      </c>
      <c r="C20" s="155" t="s">
        <v>514</v>
      </c>
      <c r="D20" s="150" t="s">
        <v>97</v>
      </c>
      <c r="E20" s="150" t="s">
        <v>98</v>
      </c>
      <c r="F20" s="150" t="s">
        <v>390</v>
      </c>
      <c r="G20" s="150" t="s">
        <v>344</v>
      </c>
      <c r="H20" s="153">
        <v>150000</v>
      </c>
      <c r="I20" s="153"/>
      <c r="J20" s="150">
        <v>3</v>
      </c>
      <c r="K20" s="153">
        <f t="shared" si="0"/>
        <v>50000</v>
      </c>
      <c r="L20" s="150" t="s">
        <v>50</v>
      </c>
      <c r="M20" s="150" t="s">
        <v>345</v>
      </c>
      <c r="N20" s="150" t="s">
        <v>476</v>
      </c>
      <c r="O20" s="162" t="s">
        <v>483</v>
      </c>
      <c r="P20" s="166"/>
      <c r="Q20" s="151"/>
      <c r="R20" s="164"/>
      <c r="S20" s="155" t="s">
        <v>573</v>
      </c>
      <c r="T20" s="155"/>
      <c r="U20" s="249"/>
    </row>
    <row r="21" spans="1:21" s="148" customFormat="1" hidden="1" x14ac:dyDescent="0.15">
      <c r="A21" s="149">
        <v>20</v>
      </c>
      <c r="B21" s="150" t="s">
        <v>54</v>
      </c>
      <c r="C21" s="155" t="s">
        <v>294</v>
      </c>
      <c r="D21" s="150" t="s">
        <v>292</v>
      </c>
      <c r="E21" s="150" t="s">
        <v>293</v>
      </c>
      <c r="F21" s="150" t="s">
        <v>390</v>
      </c>
      <c r="G21" s="150" t="s">
        <v>341</v>
      </c>
      <c r="H21" s="153">
        <v>300000</v>
      </c>
      <c r="I21" s="153"/>
      <c r="J21" s="150">
        <v>3</v>
      </c>
      <c r="K21" s="153">
        <f t="shared" si="0"/>
        <v>100000</v>
      </c>
      <c r="L21" s="150" t="s">
        <v>50</v>
      </c>
      <c r="M21" s="150" t="s">
        <v>342</v>
      </c>
      <c r="N21" s="150" t="s">
        <v>476</v>
      </c>
      <c r="O21" s="162" t="s">
        <v>483</v>
      </c>
      <c r="P21" s="166"/>
      <c r="Q21" s="151"/>
      <c r="R21" s="164"/>
      <c r="S21" s="155"/>
      <c r="T21" s="155"/>
      <c r="U21" s="249"/>
    </row>
    <row r="22" spans="1:21" s="148" customFormat="1" hidden="1" x14ac:dyDescent="0.15">
      <c r="A22" s="149">
        <v>21</v>
      </c>
      <c r="B22" s="150" t="s">
        <v>54</v>
      </c>
      <c r="C22" s="155" t="s">
        <v>297</v>
      </c>
      <c r="D22" s="150" t="s">
        <v>292</v>
      </c>
      <c r="E22" s="150" t="s">
        <v>293</v>
      </c>
      <c r="F22" s="150" t="s">
        <v>486</v>
      </c>
      <c r="G22" s="150" t="s">
        <v>341</v>
      </c>
      <c r="H22" s="153">
        <v>800000</v>
      </c>
      <c r="I22" s="153"/>
      <c r="J22" s="150">
        <v>5</v>
      </c>
      <c r="K22" s="153">
        <f t="shared" si="0"/>
        <v>160000</v>
      </c>
      <c r="L22" s="150" t="s">
        <v>50</v>
      </c>
      <c r="M22" s="150" t="s">
        <v>342</v>
      </c>
      <c r="N22" s="150" t="s">
        <v>476</v>
      </c>
      <c r="O22" s="162" t="s">
        <v>483</v>
      </c>
      <c r="P22" s="166"/>
      <c r="Q22" s="151"/>
      <c r="R22" s="164"/>
      <c r="S22" s="155"/>
      <c r="T22" s="155"/>
      <c r="U22" s="249"/>
    </row>
    <row r="23" spans="1:21" s="148" customFormat="1" hidden="1" x14ac:dyDescent="0.15">
      <c r="A23" s="149">
        <v>22</v>
      </c>
      <c r="B23" s="150" t="s">
        <v>54</v>
      </c>
      <c r="C23" s="155" t="s">
        <v>301</v>
      </c>
      <c r="D23" s="150" t="s">
        <v>300</v>
      </c>
      <c r="E23" s="150"/>
      <c r="F23" s="150" t="s">
        <v>393</v>
      </c>
      <c r="G23" s="150" t="s">
        <v>341</v>
      </c>
      <c r="H23" s="153">
        <v>300000</v>
      </c>
      <c r="I23" s="153"/>
      <c r="J23" s="150">
        <v>3</v>
      </c>
      <c r="K23" s="153">
        <f t="shared" si="0"/>
        <v>100000</v>
      </c>
      <c r="L23" s="150" t="s">
        <v>52</v>
      </c>
      <c r="M23" s="150" t="s">
        <v>347</v>
      </c>
      <c r="N23" s="150" t="s">
        <v>343</v>
      </c>
      <c r="O23" s="162" t="s">
        <v>483</v>
      </c>
      <c r="P23" s="166"/>
      <c r="Q23" s="151"/>
      <c r="R23" s="164"/>
      <c r="S23" s="155"/>
      <c r="T23" s="155"/>
      <c r="U23" s="249"/>
    </row>
    <row r="24" spans="1:21" s="148" customFormat="1" hidden="1" x14ac:dyDescent="0.15">
      <c r="A24" s="149">
        <v>23</v>
      </c>
      <c r="B24" s="150" t="s">
        <v>54</v>
      </c>
      <c r="C24" s="155" t="s">
        <v>304</v>
      </c>
      <c r="D24" s="150" t="s">
        <v>302</v>
      </c>
      <c r="E24" s="150" t="s">
        <v>303</v>
      </c>
      <c r="F24" s="150" t="s">
        <v>390</v>
      </c>
      <c r="G24" s="150" t="s">
        <v>341</v>
      </c>
      <c r="H24" s="153">
        <v>100000</v>
      </c>
      <c r="I24" s="153"/>
      <c r="J24" s="150">
        <v>3</v>
      </c>
      <c r="K24" s="153">
        <f t="shared" si="0"/>
        <v>33333.333333333336</v>
      </c>
      <c r="L24" s="150" t="s">
        <v>53</v>
      </c>
      <c r="M24" s="150" t="s">
        <v>342</v>
      </c>
      <c r="N24" s="150" t="s">
        <v>476</v>
      </c>
      <c r="O24" s="162" t="s">
        <v>483</v>
      </c>
      <c r="P24" s="166"/>
      <c r="Q24" s="151"/>
      <c r="R24" s="164"/>
      <c r="S24" s="155"/>
      <c r="T24" s="155"/>
      <c r="U24" s="249"/>
    </row>
    <row r="25" spans="1:21" s="148" customFormat="1" hidden="1" x14ac:dyDescent="0.15">
      <c r="A25" s="149">
        <v>24</v>
      </c>
      <c r="B25" s="150" t="s">
        <v>54</v>
      </c>
      <c r="C25" s="155" t="s">
        <v>309</v>
      </c>
      <c r="D25" s="150" t="s">
        <v>106</v>
      </c>
      <c r="E25" s="150" t="s">
        <v>308</v>
      </c>
      <c r="F25" s="150" t="s">
        <v>390</v>
      </c>
      <c r="G25" s="150" t="s">
        <v>341</v>
      </c>
      <c r="H25" s="153">
        <v>200000</v>
      </c>
      <c r="I25" s="153"/>
      <c r="J25" s="150">
        <v>3</v>
      </c>
      <c r="K25" s="153">
        <f t="shared" si="0"/>
        <v>66666.666666666672</v>
      </c>
      <c r="L25" s="150" t="s">
        <v>53</v>
      </c>
      <c r="M25" s="150" t="s">
        <v>342</v>
      </c>
      <c r="N25" s="150" t="s">
        <v>476</v>
      </c>
      <c r="O25" s="162" t="s">
        <v>483</v>
      </c>
      <c r="P25" s="166"/>
      <c r="Q25" s="151"/>
      <c r="R25" s="164"/>
      <c r="S25" s="155"/>
      <c r="T25" s="155"/>
      <c r="U25" s="249"/>
    </row>
    <row r="26" spans="1:21" s="148" customFormat="1" hidden="1" x14ac:dyDescent="0.15">
      <c r="A26" s="149">
        <v>25</v>
      </c>
      <c r="B26" s="150" t="s">
        <v>54</v>
      </c>
      <c r="C26" s="155" t="s">
        <v>310</v>
      </c>
      <c r="D26" s="150" t="s">
        <v>106</v>
      </c>
      <c r="E26" s="150" t="s">
        <v>308</v>
      </c>
      <c r="F26" s="150" t="s">
        <v>390</v>
      </c>
      <c r="G26" s="150" t="s">
        <v>341</v>
      </c>
      <c r="H26" s="153">
        <v>300000</v>
      </c>
      <c r="I26" s="153"/>
      <c r="J26" s="150">
        <v>3</v>
      </c>
      <c r="K26" s="153">
        <f t="shared" si="0"/>
        <v>100000</v>
      </c>
      <c r="L26" s="150" t="s">
        <v>53</v>
      </c>
      <c r="M26" s="150" t="s">
        <v>342</v>
      </c>
      <c r="N26" s="150" t="s">
        <v>476</v>
      </c>
      <c r="O26" s="162" t="s">
        <v>483</v>
      </c>
      <c r="P26" s="166"/>
      <c r="Q26" s="151"/>
      <c r="R26" s="164"/>
      <c r="S26" s="155"/>
      <c r="T26" s="155"/>
      <c r="U26" s="249"/>
    </row>
    <row r="27" spans="1:21" s="148" customFormat="1" hidden="1" x14ac:dyDescent="0.15">
      <c r="A27" s="149">
        <v>26</v>
      </c>
      <c r="B27" s="150" t="s">
        <v>54</v>
      </c>
      <c r="C27" s="155" t="s">
        <v>310</v>
      </c>
      <c r="D27" s="150" t="s">
        <v>106</v>
      </c>
      <c r="E27" s="150" t="s">
        <v>311</v>
      </c>
      <c r="F27" s="150" t="s">
        <v>390</v>
      </c>
      <c r="G27" s="150" t="s">
        <v>341</v>
      </c>
      <c r="H27" s="153">
        <v>150000</v>
      </c>
      <c r="I27" s="153"/>
      <c r="J27" s="150">
        <v>3</v>
      </c>
      <c r="K27" s="153">
        <f t="shared" si="0"/>
        <v>50000</v>
      </c>
      <c r="L27" s="150" t="s">
        <v>53</v>
      </c>
      <c r="M27" s="150" t="s">
        <v>345</v>
      </c>
      <c r="N27" s="150" t="s">
        <v>476</v>
      </c>
      <c r="O27" s="162" t="s">
        <v>483</v>
      </c>
      <c r="P27" s="166"/>
      <c r="Q27" s="151"/>
      <c r="R27" s="164"/>
      <c r="S27" s="155"/>
      <c r="T27" s="155"/>
      <c r="U27" s="249"/>
    </row>
    <row r="28" spans="1:21" s="148" customFormat="1" hidden="1" x14ac:dyDescent="0.15">
      <c r="A28" s="149">
        <v>27</v>
      </c>
      <c r="B28" s="150" t="s">
        <v>54</v>
      </c>
      <c r="C28" s="155" t="s">
        <v>310</v>
      </c>
      <c r="D28" s="150" t="s">
        <v>106</v>
      </c>
      <c r="E28" s="150" t="s">
        <v>312</v>
      </c>
      <c r="F28" s="150" t="s">
        <v>390</v>
      </c>
      <c r="G28" s="150" t="s">
        <v>341</v>
      </c>
      <c r="H28" s="153">
        <v>200000</v>
      </c>
      <c r="I28" s="153"/>
      <c r="J28" s="150">
        <v>3</v>
      </c>
      <c r="K28" s="153">
        <f t="shared" si="0"/>
        <v>66666.666666666672</v>
      </c>
      <c r="L28" s="150" t="s">
        <v>53</v>
      </c>
      <c r="M28" s="150" t="s">
        <v>347</v>
      </c>
      <c r="N28" s="150" t="s">
        <v>476</v>
      </c>
      <c r="O28" s="162" t="s">
        <v>483</v>
      </c>
      <c r="P28" s="166"/>
      <c r="Q28" s="151"/>
      <c r="R28" s="164"/>
      <c r="S28" s="155"/>
      <c r="T28" s="155"/>
      <c r="U28" s="249"/>
    </row>
    <row r="29" spans="1:21" s="148" customFormat="1" hidden="1" x14ac:dyDescent="0.15">
      <c r="A29" s="149">
        <v>28</v>
      </c>
      <c r="B29" s="150" t="s">
        <v>54</v>
      </c>
      <c r="C29" s="155" t="s">
        <v>314</v>
      </c>
      <c r="D29" s="150" t="s">
        <v>124</v>
      </c>
      <c r="E29" s="150" t="s">
        <v>313</v>
      </c>
      <c r="F29" s="150" t="s">
        <v>391</v>
      </c>
      <c r="G29" s="150" t="s">
        <v>341</v>
      </c>
      <c r="H29" s="153">
        <v>150000</v>
      </c>
      <c r="I29" s="153"/>
      <c r="J29" s="150">
        <v>3</v>
      </c>
      <c r="K29" s="153">
        <f t="shared" si="0"/>
        <v>50000</v>
      </c>
      <c r="L29" s="150" t="s">
        <v>53</v>
      </c>
      <c r="M29" s="150" t="s">
        <v>342</v>
      </c>
      <c r="N29" s="150" t="s">
        <v>476</v>
      </c>
      <c r="O29" s="162" t="s">
        <v>483</v>
      </c>
      <c r="P29" s="166"/>
      <c r="Q29" s="151"/>
      <c r="R29" s="164"/>
      <c r="S29" s="155"/>
      <c r="T29" s="155"/>
      <c r="U29" s="249"/>
    </row>
    <row r="30" spans="1:21" s="148" customFormat="1" hidden="1" x14ac:dyDescent="0.15">
      <c r="A30" s="149">
        <v>29</v>
      </c>
      <c r="B30" s="150" t="s">
        <v>54</v>
      </c>
      <c r="C30" s="155" t="s">
        <v>315</v>
      </c>
      <c r="D30" s="150" t="s">
        <v>124</v>
      </c>
      <c r="E30" s="150" t="s">
        <v>313</v>
      </c>
      <c r="F30" s="150" t="s">
        <v>390</v>
      </c>
      <c r="G30" s="150" t="s">
        <v>341</v>
      </c>
      <c r="H30" s="153">
        <v>200000</v>
      </c>
      <c r="I30" s="153"/>
      <c r="J30" s="150">
        <v>3</v>
      </c>
      <c r="K30" s="153">
        <f t="shared" si="0"/>
        <v>66666.666666666672</v>
      </c>
      <c r="L30" s="150" t="s">
        <v>53</v>
      </c>
      <c r="M30" s="150" t="s">
        <v>342</v>
      </c>
      <c r="N30" s="150" t="s">
        <v>476</v>
      </c>
      <c r="O30" s="162" t="s">
        <v>483</v>
      </c>
      <c r="P30" s="166"/>
      <c r="Q30" s="151"/>
      <c r="R30" s="164"/>
      <c r="S30" s="155"/>
      <c r="T30" s="155"/>
      <c r="U30" s="249"/>
    </row>
    <row r="31" spans="1:21" s="148" customFormat="1" hidden="1" x14ac:dyDescent="0.15">
      <c r="A31" s="149">
        <v>30</v>
      </c>
      <c r="B31" s="150" t="s">
        <v>54</v>
      </c>
      <c r="C31" s="155" t="s">
        <v>315</v>
      </c>
      <c r="D31" s="150" t="s">
        <v>316</v>
      </c>
      <c r="E31" s="150"/>
      <c r="F31" s="150" t="s">
        <v>390</v>
      </c>
      <c r="G31" s="150" t="s">
        <v>341</v>
      </c>
      <c r="H31" s="153">
        <v>200000</v>
      </c>
      <c r="I31" s="153"/>
      <c r="J31" s="150">
        <v>3</v>
      </c>
      <c r="K31" s="153">
        <f t="shared" si="0"/>
        <v>66666.666666666672</v>
      </c>
      <c r="L31" s="150" t="s">
        <v>53</v>
      </c>
      <c r="M31" s="150" t="s">
        <v>345</v>
      </c>
      <c r="N31" s="150" t="s">
        <v>476</v>
      </c>
      <c r="O31" s="162" t="s">
        <v>483</v>
      </c>
      <c r="P31" s="166"/>
      <c r="Q31" s="151"/>
      <c r="R31" s="164"/>
      <c r="S31" s="155"/>
      <c r="T31" s="155"/>
      <c r="U31" s="249"/>
    </row>
    <row r="32" spans="1:21" s="148" customFormat="1" hidden="1" x14ac:dyDescent="0.15">
      <c r="A32" s="149">
        <v>31</v>
      </c>
      <c r="B32" s="150" t="s">
        <v>54</v>
      </c>
      <c r="C32" s="155" t="s">
        <v>315</v>
      </c>
      <c r="D32" s="150" t="s">
        <v>317</v>
      </c>
      <c r="E32" s="150"/>
      <c r="F32" s="150" t="s">
        <v>390</v>
      </c>
      <c r="G32" s="150" t="s">
        <v>341</v>
      </c>
      <c r="H32" s="153">
        <v>200000</v>
      </c>
      <c r="I32" s="153"/>
      <c r="J32" s="150">
        <v>3</v>
      </c>
      <c r="K32" s="153">
        <f t="shared" si="0"/>
        <v>66666.666666666672</v>
      </c>
      <c r="L32" s="150" t="s">
        <v>53</v>
      </c>
      <c r="M32" s="150" t="s">
        <v>342</v>
      </c>
      <c r="N32" s="150" t="s">
        <v>476</v>
      </c>
      <c r="O32" s="162" t="s">
        <v>483</v>
      </c>
      <c r="P32" s="166"/>
      <c r="Q32" s="151"/>
      <c r="R32" s="164"/>
      <c r="S32" s="155"/>
      <c r="T32" s="155"/>
      <c r="U32" s="249"/>
    </row>
    <row r="33" spans="1:21" s="148" customFormat="1" hidden="1" x14ac:dyDescent="0.15">
      <c r="A33" s="149">
        <v>32</v>
      </c>
      <c r="B33" s="150" t="s">
        <v>54</v>
      </c>
      <c r="C33" s="155" t="s">
        <v>315</v>
      </c>
      <c r="D33" s="150" t="s">
        <v>213</v>
      </c>
      <c r="E33" s="150"/>
      <c r="F33" s="150" t="s">
        <v>390</v>
      </c>
      <c r="G33" s="150" t="s">
        <v>341</v>
      </c>
      <c r="H33" s="153">
        <v>150000</v>
      </c>
      <c r="I33" s="153"/>
      <c r="J33" s="150">
        <v>3</v>
      </c>
      <c r="K33" s="153">
        <f t="shared" si="0"/>
        <v>50000</v>
      </c>
      <c r="L33" s="150" t="s">
        <v>55</v>
      </c>
      <c r="M33" s="150" t="s">
        <v>347</v>
      </c>
      <c r="N33" s="150" t="s">
        <v>476</v>
      </c>
      <c r="O33" s="162" t="s">
        <v>483</v>
      </c>
      <c r="P33" s="166"/>
      <c r="Q33" s="151"/>
      <c r="R33" s="164"/>
      <c r="S33" s="155"/>
      <c r="T33" s="155"/>
      <c r="U33" s="249"/>
    </row>
    <row r="34" spans="1:21" s="148" customFormat="1" hidden="1" x14ac:dyDescent="0.15">
      <c r="A34" s="149">
        <v>33</v>
      </c>
      <c r="B34" s="150" t="s">
        <v>54</v>
      </c>
      <c r="C34" s="155" t="s">
        <v>315</v>
      </c>
      <c r="D34" s="150" t="s">
        <v>318</v>
      </c>
      <c r="E34" s="150"/>
      <c r="F34" s="150" t="s">
        <v>390</v>
      </c>
      <c r="G34" s="150" t="s">
        <v>341</v>
      </c>
      <c r="H34" s="153">
        <v>100000</v>
      </c>
      <c r="I34" s="153"/>
      <c r="J34" s="150">
        <v>3</v>
      </c>
      <c r="K34" s="153">
        <f t="shared" si="0"/>
        <v>33333.333333333336</v>
      </c>
      <c r="L34" s="150" t="s">
        <v>55</v>
      </c>
      <c r="M34" s="150" t="s">
        <v>342</v>
      </c>
      <c r="N34" s="150" t="s">
        <v>476</v>
      </c>
      <c r="O34" s="162" t="s">
        <v>483</v>
      </c>
      <c r="P34" s="166"/>
      <c r="Q34" s="151"/>
      <c r="R34" s="164"/>
      <c r="S34" s="155"/>
      <c r="T34" s="155"/>
      <c r="U34" s="249"/>
    </row>
    <row r="35" spans="1:21" s="148" customFormat="1" hidden="1" x14ac:dyDescent="0.15">
      <c r="A35" s="149">
        <v>34</v>
      </c>
      <c r="B35" s="150" t="s">
        <v>54</v>
      </c>
      <c r="C35" s="155" t="s">
        <v>315</v>
      </c>
      <c r="D35" s="150" t="s">
        <v>319</v>
      </c>
      <c r="E35" s="150"/>
      <c r="F35" s="150" t="s">
        <v>390</v>
      </c>
      <c r="G35" s="150" t="s">
        <v>341</v>
      </c>
      <c r="H35" s="153">
        <v>100000</v>
      </c>
      <c r="I35" s="153"/>
      <c r="J35" s="150">
        <v>3</v>
      </c>
      <c r="K35" s="153">
        <f t="shared" si="0"/>
        <v>33333.333333333336</v>
      </c>
      <c r="L35" s="150" t="s">
        <v>55</v>
      </c>
      <c r="M35" s="150" t="s">
        <v>345</v>
      </c>
      <c r="N35" s="150" t="s">
        <v>476</v>
      </c>
      <c r="O35" s="162" t="s">
        <v>483</v>
      </c>
      <c r="P35" s="166"/>
      <c r="Q35" s="151"/>
      <c r="R35" s="164"/>
      <c r="S35" s="155"/>
      <c r="T35" s="155"/>
      <c r="U35" s="249"/>
    </row>
    <row r="36" spans="1:21" s="148" customFormat="1" hidden="1" x14ac:dyDescent="0.15">
      <c r="A36" s="149">
        <v>35</v>
      </c>
      <c r="B36" s="150" t="s">
        <v>54</v>
      </c>
      <c r="C36" s="155" t="s">
        <v>315</v>
      </c>
      <c r="D36" s="150" t="s">
        <v>68</v>
      </c>
      <c r="E36" s="150" t="s">
        <v>320</v>
      </c>
      <c r="F36" s="150" t="s">
        <v>390</v>
      </c>
      <c r="G36" s="150" t="s">
        <v>341</v>
      </c>
      <c r="H36" s="153">
        <v>100000</v>
      </c>
      <c r="I36" s="153"/>
      <c r="J36" s="150">
        <v>3</v>
      </c>
      <c r="K36" s="153">
        <f t="shared" si="0"/>
        <v>33333.333333333336</v>
      </c>
      <c r="L36" s="150" t="s">
        <v>55</v>
      </c>
      <c r="M36" s="150" t="s">
        <v>342</v>
      </c>
      <c r="N36" s="150" t="s">
        <v>476</v>
      </c>
      <c r="O36" s="162" t="s">
        <v>483</v>
      </c>
      <c r="P36" s="166"/>
      <c r="Q36" s="151"/>
      <c r="R36" s="164"/>
      <c r="S36" s="155"/>
      <c r="T36" s="155"/>
      <c r="U36" s="249"/>
    </row>
    <row r="37" spans="1:21" s="148" customFormat="1" hidden="1" x14ac:dyDescent="0.15">
      <c r="A37" s="149">
        <v>36</v>
      </c>
      <c r="B37" s="150" t="s">
        <v>54</v>
      </c>
      <c r="C37" s="155" t="s">
        <v>315</v>
      </c>
      <c r="D37" s="150" t="s">
        <v>321</v>
      </c>
      <c r="E37" s="150"/>
      <c r="F37" s="150" t="s">
        <v>390</v>
      </c>
      <c r="G37" s="150" t="s">
        <v>341</v>
      </c>
      <c r="H37" s="153">
        <v>200000</v>
      </c>
      <c r="I37" s="153"/>
      <c r="J37" s="150">
        <v>3</v>
      </c>
      <c r="K37" s="153">
        <f t="shared" si="0"/>
        <v>66666.666666666672</v>
      </c>
      <c r="L37" s="150" t="s">
        <v>55</v>
      </c>
      <c r="M37" s="150" t="s">
        <v>345</v>
      </c>
      <c r="N37" s="150" t="s">
        <v>476</v>
      </c>
      <c r="O37" s="162" t="s">
        <v>483</v>
      </c>
      <c r="P37" s="166"/>
      <c r="Q37" s="151"/>
      <c r="R37" s="164"/>
      <c r="S37" s="155"/>
      <c r="T37" s="155"/>
      <c r="U37" s="249"/>
    </row>
    <row r="38" spans="1:21" s="148" customFormat="1" x14ac:dyDescent="0.15">
      <c r="A38" s="149">
        <v>37</v>
      </c>
      <c r="B38" s="150" t="s">
        <v>51</v>
      </c>
      <c r="C38" s="155" t="s">
        <v>661</v>
      </c>
      <c r="D38" s="150" t="s">
        <v>202</v>
      </c>
      <c r="E38" s="150" t="s">
        <v>203</v>
      </c>
      <c r="F38" s="150" t="s">
        <v>486</v>
      </c>
      <c r="G38" s="150" t="s">
        <v>346</v>
      </c>
      <c r="H38" s="153">
        <v>140000</v>
      </c>
      <c r="I38" s="153"/>
      <c r="J38" s="150">
        <v>7</v>
      </c>
      <c r="K38" s="153">
        <f t="shared" si="0"/>
        <v>20000</v>
      </c>
      <c r="L38" s="150" t="s">
        <v>50</v>
      </c>
      <c r="M38" s="150" t="s">
        <v>342</v>
      </c>
      <c r="N38" s="150" t="s">
        <v>476</v>
      </c>
      <c r="O38" s="162" t="s">
        <v>481</v>
      </c>
      <c r="P38" s="169">
        <v>45727</v>
      </c>
      <c r="Q38" s="169">
        <v>45731</v>
      </c>
      <c r="R38" s="164"/>
      <c r="S38" s="155"/>
      <c r="T38" s="155"/>
      <c r="U38" s="249"/>
    </row>
    <row r="39" spans="1:21" s="148" customFormat="1" hidden="1" x14ac:dyDescent="0.15">
      <c r="A39" s="149">
        <v>38</v>
      </c>
      <c r="B39" s="150" t="s">
        <v>51</v>
      </c>
      <c r="C39" s="155" t="s">
        <v>206</v>
      </c>
      <c r="D39" s="150" t="s">
        <v>202</v>
      </c>
      <c r="E39" s="150" t="s">
        <v>205</v>
      </c>
      <c r="F39" s="150" t="s">
        <v>390</v>
      </c>
      <c r="G39" s="150" t="s">
        <v>346</v>
      </c>
      <c r="H39" s="153">
        <v>358000</v>
      </c>
      <c r="I39" s="153"/>
      <c r="J39" s="150">
        <v>5</v>
      </c>
      <c r="K39" s="153">
        <f t="shared" si="0"/>
        <v>71600</v>
      </c>
      <c r="L39" s="150" t="s">
        <v>50</v>
      </c>
      <c r="M39" s="150" t="s">
        <v>342</v>
      </c>
      <c r="N39" s="150" t="s">
        <v>476</v>
      </c>
      <c r="O39" s="162" t="s">
        <v>483</v>
      </c>
      <c r="P39" s="166"/>
      <c r="Q39" s="151"/>
      <c r="R39" s="164"/>
      <c r="S39" s="155"/>
      <c r="T39" s="155"/>
      <c r="U39" s="249"/>
    </row>
    <row r="40" spans="1:21" s="148" customFormat="1" hidden="1" x14ac:dyDescent="0.15">
      <c r="A40" s="149">
        <v>39</v>
      </c>
      <c r="B40" s="150" t="s">
        <v>51</v>
      </c>
      <c r="C40" s="155" t="s">
        <v>659</v>
      </c>
      <c r="D40" s="150" t="s">
        <v>207</v>
      </c>
      <c r="E40" s="151" t="s">
        <v>511</v>
      </c>
      <c r="F40" s="150" t="s">
        <v>390</v>
      </c>
      <c r="G40" s="150" t="s">
        <v>346</v>
      </c>
      <c r="H40" s="153">
        <v>288000</v>
      </c>
      <c r="I40" s="153"/>
      <c r="J40" s="150">
        <v>3</v>
      </c>
      <c r="K40" s="153">
        <f t="shared" si="0"/>
        <v>96000</v>
      </c>
      <c r="L40" s="150" t="s">
        <v>53</v>
      </c>
      <c r="M40" s="150" t="s">
        <v>342</v>
      </c>
      <c r="N40" s="150" t="s">
        <v>12</v>
      </c>
      <c r="O40" s="162" t="s">
        <v>475</v>
      </c>
      <c r="P40" s="166"/>
      <c r="Q40" s="151"/>
      <c r="R40" s="164"/>
      <c r="S40" s="155"/>
      <c r="T40" s="155"/>
      <c r="U40" s="249"/>
    </row>
    <row r="41" spans="1:21" s="148" customFormat="1" hidden="1" x14ac:dyDescent="0.15">
      <c r="A41" s="149">
        <v>40</v>
      </c>
      <c r="B41" s="150" t="s">
        <v>51</v>
      </c>
      <c r="C41" s="155" t="s">
        <v>669</v>
      </c>
      <c r="D41" s="150" t="s">
        <v>210</v>
      </c>
      <c r="E41" s="150" t="s">
        <v>211</v>
      </c>
      <c r="F41" s="150" t="s">
        <v>390</v>
      </c>
      <c r="G41" s="150" t="s">
        <v>346</v>
      </c>
      <c r="H41" s="153">
        <v>299000</v>
      </c>
      <c r="I41" s="153"/>
      <c r="J41" s="150">
        <v>3</v>
      </c>
      <c r="K41" s="153">
        <f t="shared" si="0"/>
        <v>99666.666666666672</v>
      </c>
      <c r="L41" s="150" t="s">
        <v>53</v>
      </c>
      <c r="M41" s="150" t="s">
        <v>342</v>
      </c>
      <c r="N41" s="150" t="s">
        <v>476</v>
      </c>
      <c r="O41" s="162" t="s">
        <v>483</v>
      </c>
      <c r="P41" s="166"/>
      <c r="Q41" s="151"/>
      <c r="R41" s="164"/>
      <c r="S41" s="155"/>
      <c r="T41" s="155"/>
      <c r="U41" s="249"/>
    </row>
    <row r="42" spans="1:21" s="148" customFormat="1" hidden="1" x14ac:dyDescent="0.15">
      <c r="A42" s="149">
        <v>41</v>
      </c>
      <c r="B42" s="150" t="s">
        <v>51</v>
      </c>
      <c r="C42" s="155" t="s">
        <v>214</v>
      </c>
      <c r="D42" s="150" t="s">
        <v>213</v>
      </c>
      <c r="E42" s="150"/>
      <c r="F42" s="150" t="s">
        <v>390</v>
      </c>
      <c r="G42" s="150" t="s">
        <v>346</v>
      </c>
      <c r="H42" s="153">
        <v>220000</v>
      </c>
      <c r="I42" s="153"/>
      <c r="J42" s="150">
        <v>3</v>
      </c>
      <c r="K42" s="153">
        <f t="shared" si="0"/>
        <v>73333.333333333328</v>
      </c>
      <c r="L42" s="150" t="s">
        <v>53</v>
      </c>
      <c r="M42" s="150" t="s">
        <v>342</v>
      </c>
      <c r="N42" s="150" t="s">
        <v>476</v>
      </c>
      <c r="O42" s="162" t="s">
        <v>483</v>
      </c>
      <c r="P42" s="166"/>
      <c r="Q42" s="151"/>
      <c r="R42" s="164"/>
      <c r="S42" s="155"/>
      <c r="T42" s="155"/>
      <c r="U42" s="249"/>
    </row>
    <row r="43" spans="1:21" s="157" customFormat="1" hidden="1" x14ac:dyDescent="0.15">
      <c r="A43" s="149">
        <v>42</v>
      </c>
      <c r="B43" s="150" t="s">
        <v>51</v>
      </c>
      <c r="C43" s="155" t="s">
        <v>315</v>
      </c>
      <c r="D43" s="150" t="s">
        <v>216</v>
      </c>
      <c r="E43" s="150"/>
      <c r="F43" s="150" t="s">
        <v>390</v>
      </c>
      <c r="G43" s="150" t="s">
        <v>346</v>
      </c>
      <c r="H43" s="153">
        <v>130000</v>
      </c>
      <c r="I43" s="153"/>
      <c r="J43" s="150">
        <v>3</v>
      </c>
      <c r="K43" s="153">
        <f t="shared" si="0"/>
        <v>43333.333333333336</v>
      </c>
      <c r="L43" s="150" t="s">
        <v>53</v>
      </c>
      <c r="M43" s="150" t="s">
        <v>347</v>
      </c>
      <c r="N43" s="150" t="s">
        <v>476</v>
      </c>
      <c r="O43" s="162" t="s">
        <v>483</v>
      </c>
      <c r="P43" s="166"/>
      <c r="Q43" s="151"/>
      <c r="R43" s="165"/>
      <c r="S43" s="156"/>
      <c r="T43" s="156"/>
      <c r="U43" s="250"/>
    </row>
    <row r="44" spans="1:21" s="157" customFormat="1" hidden="1" x14ac:dyDescent="0.15">
      <c r="A44" s="149">
        <v>43</v>
      </c>
      <c r="B44" s="150" t="s">
        <v>51</v>
      </c>
      <c r="C44" s="155" t="s">
        <v>315</v>
      </c>
      <c r="D44" s="150" t="s">
        <v>218</v>
      </c>
      <c r="E44" s="150"/>
      <c r="F44" s="150" t="s">
        <v>390</v>
      </c>
      <c r="G44" s="150" t="s">
        <v>346</v>
      </c>
      <c r="H44" s="153">
        <v>150000</v>
      </c>
      <c r="I44" s="153"/>
      <c r="J44" s="150">
        <v>3</v>
      </c>
      <c r="K44" s="153">
        <f t="shared" si="0"/>
        <v>50000</v>
      </c>
      <c r="L44" s="150" t="s">
        <v>53</v>
      </c>
      <c r="M44" s="150" t="s">
        <v>342</v>
      </c>
      <c r="N44" s="150" t="s">
        <v>476</v>
      </c>
      <c r="O44" s="162" t="s">
        <v>483</v>
      </c>
      <c r="P44" s="166"/>
      <c r="Q44" s="151"/>
      <c r="R44" s="165"/>
      <c r="S44" s="156"/>
      <c r="T44" s="156"/>
      <c r="U44" s="250"/>
    </row>
    <row r="45" spans="1:21" s="148" customFormat="1" hidden="1" x14ac:dyDescent="0.15">
      <c r="A45" s="149">
        <v>44</v>
      </c>
      <c r="B45" s="150" t="s">
        <v>51</v>
      </c>
      <c r="C45" s="155" t="s">
        <v>221</v>
      </c>
      <c r="D45" s="150" t="s">
        <v>220</v>
      </c>
      <c r="E45" s="150"/>
      <c r="F45" s="150" t="s">
        <v>392</v>
      </c>
      <c r="G45" s="150" t="s">
        <v>346</v>
      </c>
      <c r="H45" s="153">
        <v>150000</v>
      </c>
      <c r="I45" s="153"/>
      <c r="J45" s="150">
        <v>4</v>
      </c>
      <c r="K45" s="153">
        <f t="shared" si="0"/>
        <v>37500</v>
      </c>
      <c r="L45" s="150" t="s">
        <v>53</v>
      </c>
      <c r="M45" s="150" t="s">
        <v>342</v>
      </c>
      <c r="N45" s="150" t="s">
        <v>476</v>
      </c>
      <c r="O45" s="162" t="s">
        <v>483</v>
      </c>
      <c r="P45" s="166"/>
      <c r="Q45" s="151"/>
      <c r="R45" s="164"/>
      <c r="S45" s="155"/>
      <c r="T45" s="155"/>
      <c r="U45" s="249"/>
    </row>
    <row r="46" spans="1:21" s="157" customFormat="1" hidden="1" x14ac:dyDescent="0.15">
      <c r="A46" s="149">
        <v>45</v>
      </c>
      <c r="B46" s="150" t="s">
        <v>51</v>
      </c>
      <c r="C46" s="155" t="s">
        <v>315</v>
      </c>
      <c r="D46" s="150" t="s">
        <v>110</v>
      </c>
      <c r="E46" s="150"/>
      <c r="F46" s="150" t="s">
        <v>390</v>
      </c>
      <c r="G46" s="150" t="s">
        <v>346</v>
      </c>
      <c r="H46" s="153">
        <v>200000</v>
      </c>
      <c r="I46" s="153"/>
      <c r="J46" s="150">
        <v>6</v>
      </c>
      <c r="K46" s="153">
        <f t="shared" si="0"/>
        <v>33333.333333333336</v>
      </c>
      <c r="L46" s="150" t="s">
        <v>53</v>
      </c>
      <c r="M46" s="150" t="s">
        <v>345</v>
      </c>
      <c r="N46" s="150" t="s">
        <v>476</v>
      </c>
      <c r="O46" s="162" t="s">
        <v>483</v>
      </c>
      <c r="P46" s="166"/>
      <c r="Q46" s="151"/>
      <c r="R46" s="165"/>
      <c r="S46" s="156"/>
      <c r="T46" s="156"/>
      <c r="U46" s="250"/>
    </row>
    <row r="47" spans="1:21" s="157" customFormat="1" hidden="1" x14ac:dyDescent="0.15">
      <c r="A47" s="149">
        <v>46</v>
      </c>
      <c r="B47" s="150" t="s">
        <v>51</v>
      </c>
      <c r="C47" s="155" t="s">
        <v>315</v>
      </c>
      <c r="D47" s="150" t="s">
        <v>223</v>
      </c>
      <c r="E47" s="150" t="s">
        <v>224</v>
      </c>
      <c r="F47" s="150" t="s">
        <v>390</v>
      </c>
      <c r="G47" s="150" t="s">
        <v>346</v>
      </c>
      <c r="H47" s="153">
        <v>150000</v>
      </c>
      <c r="I47" s="153"/>
      <c r="J47" s="150">
        <v>3</v>
      </c>
      <c r="K47" s="153">
        <f t="shared" si="0"/>
        <v>50000</v>
      </c>
      <c r="L47" s="150" t="s">
        <v>52</v>
      </c>
      <c r="M47" s="150" t="s">
        <v>342</v>
      </c>
      <c r="N47" s="150" t="s">
        <v>476</v>
      </c>
      <c r="O47" s="162" t="s">
        <v>483</v>
      </c>
      <c r="P47" s="166"/>
      <c r="Q47" s="151"/>
      <c r="R47" s="165"/>
      <c r="S47" s="156"/>
      <c r="T47" s="156"/>
      <c r="U47" s="250"/>
    </row>
    <row r="48" spans="1:21" s="148" customFormat="1" ht="12" hidden="1" x14ac:dyDescent="0.15">
      <c r="A48" s="149">
        <v>47</v>
      </c>
      <c r="B48" s="150" t="s">
        <v>56</v>
      </c>
      <c r="C48" s="155" t="s">
        <v>137</v>
      </c>
      <c r="D48" s="150" t="s">
        <v>352</v>
      </c>
      <c r="E48" s="150" t="s">
        <v>136</v>
      </c>
      <c r="F48" s="150" t="s">
        <v>486</v>
      </c>
      <c r="G48" s="150" t="s">
        <v>349</v>
      </c>
      <c r="H48" s="153">
        <v>200000</v>
      </c>
      <c r="I48" s="153"/>
      <c r="J48" s="150">
        <v>4</v>
      </c>
      <c r="K48" s="153">
        <f t="shared" si="0"/>
        <v>50000</v>
      </c>
      <c r="L48" s="150" t="s">
        <v>50</v>
      </c>
      <c r="M48" s="150" t="s">
        <v>342</v>
      </c>
      <c r="N48" s="150" t="s">
        <v>476</v>
      </c>
      <c r="O48" s="162" t="s">
        <v>479</v>
      </c>
      <c r="P48" s="166"/>
      <c r="Q48" s="151"/>
      <c r="R48" s="164"/>
      <c r="S48" s="155" t="s">
        <v>522</v>
      </c>
      <c r="T48" s="155"/>
      <c r="U48" s="249" t="s">
        <v>523</v>
      </c>
    </row>
    <row r="49" spans="1:21" s="148" customFormat="1" ht="12" hidden="1" x14ac:dyDescent="0.15">
      <c r="A49" s="149">
        <v>48</v>
      </c>
      <c r="B49" s="150" t="s">
        <v>56</v>
      </c>
      <c r="C49" s="155" t="s">
        <v>656</v>
      </c>
      <c r="D49" s="150" t="s">
        <v>352</v>
      </c>
      <c r="E49" s="150" t="s">
        <v>136</v>
      </c>
      <c r="F49" s="150" t="s">
        <v>390</v>
      </c>
      <c r="G49" s="150" t="s">
        <v>349</v>
      </c>
      <c r="H49" s="153">
        <v>110000</v>
      </c>
      <c r="I49" s="153"/>
      <c r="J49" s="150">
        <v>3</v>
      </c>
      <c r="K49" s="153">
        <f t="shared" si="0"/>
        <v>36666.666666666664</v>
      </c>
      <c r="L49" s="150" t="s">
        <v>50</v>
      </c>
      <c r="M49" s="150" t="s">
        <v>342</v>
      </c>
      <c r="N49" s="150" t="s">
        <v>12</v>
      </c>
      <c r="O49" s="162" t="s">
        <v>475</v>
      </c>
      <c r="P49" s="166">
        <v>45672</v>
      </c>
      <c r="Q49" s="151"/>
      <c r="R49" s="164"/>
      <c r="S49" s="155" t="s">
        <v>704</v>
      </c>
      <c r="T49" s="155" t="s">
        <v>524</v>
      </c>
      <c r="U49" s="248" t="s">
        <v>592</v>
      </c>
    </row>
    <row r="50" spans="1:21" s="148" customFormat="1" ht="12" hidden="1" x14ac:dyDescent="0.15">
      <c r="A50" s="149">
        <v>49</v>
      </c>
      <c r="B50" s="150" t="s">
        <v>56</v>
      </c>
      <c r="C50" s="155" t="s">
        <v>139</v>
      </c>
      <c r="D50" s="150" t="s">
        <v>352</v>
      </c>
      <c r="E50" s="150" t="s">
        <v>136</v>
      </c>
      <c r="F50" s="150" t="s">
        <v>390</v>
      </c>
      <c r="G50" s="150" t="s">
        <v>349</v>
      </c>
      <c r="H50" s="153">
        <v>150000</v>
      </c>
      <c r="I50" s="153"/>
      <c r="J50" s="150">
        <v>3</v>
      </c>
      <c r="K50" s="153">
        <f t="shared" si="0"/>
        <v>50000</v>
      </c>
      <c r="L50" s="150" t="s">
        <v>50</v>
      </c>
      <c r="M50" s="150" t="s">
        <v>342</v>
      </c>
      <c r="N50" s="150" t="s">
        <v>476</v>
      </c>
      <c r="O50" s="162" t="s">
        <v>483</v>
      </c>
      <c r="P50" s="166"/>
      <c r="Q50" s="151"/>
      <c r="R50" s="164"/>
      <c r="S50" s="155" t="s">
        <v>525</v>
      </c>
      <c r="T50" s="155"/>
      <c r="U50" s="249" t="s">
        <v>528</v>
      </c>
    </row>
    <row r="51" spans="1:21" s="148" customFormat="1" ht="12" hidden="1" x14ac:dyDescent="0.15">
      <c r="A51" s="149">
        <v>50</v>
      </c>
      <c r="B51" s="150" t="s">
        <v>56</v>
      </c>
      <c r="C51" s="155" t="s">
        <v>137</v>
      </c>
      <c r="D51" s="150" t="s">
        <v>141</v>
      </c>
      <c r="E51" s="150" t="s">
        <v>141</v>
      </c>
      <c r="F51" s="150" t="s">
        <v>390</v>
      </c>
      <c r="G51" s="150" t="s">
        <v>349</v>
      </c>
      <c r="H51" s="153">
        <v>200000</v>
      </c>
      <c r="I51" s="153"/>
      <c r="J51" s="150">
        <v>3</v>
      </c>
      <c r="K51" s="153">
        <f t="shared" si="0"/>
        <v>66666.666666666672</v>
      </c>
      <c r="L51" s="150" t="s">
        <v>50</v>
      </c>
      <c r="M51" s="150" t="s">
        <v>342</v>
      </c>
      <c r="N51" s="150" t="s">
        <v>476</v>
      </c>
      <c r="O51" s="162" t="s">
        <v>483</v>
      </c>
      <c r="P51" s="166"/>
      <c r="Q51" s="151"/>
      <c r="R51" s="164"/>
      <c r="S51" s="155" t="s">
        <v>527</v>
      </c>
      <c r="T51" s="155" t="s">
        <v>526</v>
      </c>
      <c r="U51" s="249" t="s">
        <v>528</v>
      </c>
    </row>
    <row r="52" spans="1:21" s="148" customFormat="1" hidden="1" x14ac:dyDescent="0.15">
      <c r="A52" s="149">
        <v>51</v>
      </c>
      <c r="B52" s="150" t="s">
        <v>56</v>
      </c>
      <c r="C52" s="155" t="s">
        <v>143</v>
      </c>
      <c r="D52" s="150" t="s">
        <v>352</v>
      </c>
      <c r="E52" s="150"/>
      <c r="F52" s="150" t="s">
        <v>393</v>
      </c>
      <c r="G52" s="150" t="s">
        <v>355</v>
      </c>
      <c r="H52" s="153">
        <v>100000</v>
      </c>
      <c r="I52" s="153"/>
      <c r="J52" s="150">
        <v>4</v>
      </c>
      <c r="K52" s="153">
        <f t="shared" si="0"/>
        <v>25000</v>
      </c>
      <c r="L52" s="150" t="s">
        <v>52</v>
      </c>
      <c r="M52" s="150" t="s">
        <v>342</v>
      </c>
      <c r="N52" s="150" t="s">
        <v>476</v>
      </c>
      <c r="O52" s="162" t="s">
        <v>483</v>
      </c>
      <c r="P52" s="166"/>
      <c r="Q52" s="151"/>
      <c r="R52" s="164"/>
      <c r="S52" s="155" t="s">
        <v>530</v>
      </c>
      <c r="T52" s="155" t="s">
        <v>529</v>
      </c>
      <c r="U52" s="249"/>
    </row>
    <row r="53" spans="1:21" s="148" customFormat="1" hidden="1" x14ac:dyDescent="0.15">
      <c r="A53" s="149">
        <v>52</v>
      </c>
      <c r="B53" s="150" t="s">
        <v>56</v>
      </c>
      <c r="C53" s="155" t="s">
        <v>146</v>
      </c>
      <c r="D53" s="150" t="s">
        <v>510</v>
      </c>
      <c r="E53" s="150" t="s">
        <v>145</v>
      </c>
      <c r="F53" s="150" t="s">
        <v>392</v>
      </c>
      <c r="G53" s="150" t="s">
        <v>353</v>
      </c>
      <c r="H53" s="153">
        <v>50000</v>
      </c>
      <c r="I53" s="153"/>
      <c r="J53" s="150">
        <v>3</v>
      </c>
      <c r="K53" s="153">
        <f t="shared" si="0"/>
        <v>16666.666666666668</v>
      </c>
      <c r="L53" s="150" t="s">
        <v>52</v>
      </c>
      <c r="M53" s="150" t="s">
        <v>342</v>
      </c>
      <c r="N53" s="150" t="s">
        <v>476</v>
      </c>
      <c r="O53" s="162" t="s">
        <v>483</v>
      </c>
      <c r="P53" s="166"/>
      <c r="Q53" s="151"/>
      <c r="R53" s="164"/>
      <c r="S53" s="155"/>
      <c r="T53" s="155"/>
      <c r="U53" s="249"/>
    </row>
    <row r="54" spans="1:21" s="148" customFormat="1" ht="12" hidden="1" x14ac:dyDescent="0.15">
      <c r="A54" s="149">
        <v>53</v>
      </c>
      <c r="B54" s="150" t="s">
        <v>56</v>
      </c>
      <c r="C54" s="253" t="s">
        <v>151</v>
      </c>
      <c r="D54" s="151" t="s">
        <v>149</v>
      </c>
      <c r="E54" s="151" t="s">
        <v>150</v>
      </c>
      <c r="F54" s="151" t="s">
        <v>392</v>
      </c>
      <c r="G54" s="150" t="s">
        <v>353</v>
      </c>
      <c r="H54" s="153">
        <v>100000</v>
      </c>
      <c r="I54" s="153"/>
      <c r="J54" s="150">
        <v>3</v>
      </c>
      <c r="K54" s="153">
        <f t="shared" si="0"/>
        <v>33333.333333333336</v>
      </c>
      <c r="L54" s="150" t="s">
        <v>53</v>
      </c>
      <c r="M54" s="150" t="s">
        <v>342</v>
      </c>
      <c r="N54" s="150" t="s">
        <v>476</v>
      </c>
      <c r="O54" s="162" t="s">
        <v>479</v>
      </c>
      <c r="P54" s="166"/>
      <c r="Q54" s="151"/>
      <c r="R54" s="164"/>
      <c r="S54" s="155"/>
      <c r="T54" s="155" t="s">
        <v>561</v>
      </c>
      <c r="U54" s="249" t="s">
        <v>560</v>
      </c>
    </row>
    <row r="55" spans="1:21" s="148" customFormat="1" hidden="1" x14ac:dyDescent="0.15">
      <c r="A55" s="149">
        <v>54</v>
      </c>
      <c r="B55" s="150" t="s">
        <v>56</v>
      </c>
      <c r="C55" s="253" t="s">
        <v>152</v>
      </c>
      <c r="D55" s="150" t="s">
        <v>510</v>
      </c>
      <c r="E55" s="150" t="s">
        <v>145</v>
      </c>
      <c r="F55" s="150" t="s">
        <v>393</v>
      </c>
      <c r="G55" s="150" t="s">
        <v>353</v>
      </c>
      <c r="H55" s="153">
        <v>100000</v>
      </c>
      <c r="I55" s="153"/>
      <c r="J55" s="150">
        <v>3</v>
      </c>
      <c r="K55" s="153">
        <f t="shared" si="0"/>
        <v>33333.333333333336</v>
      </c>
      <c r="L55" s="150" t="s">
        <v>52</v>
      </c>
      <c r="M55" s="150" t="s">
        <v>342</v>
      </c>
      <c r="N55" s="150" t="s">
        <v>476</v>
      </c>
      <c r="O55" s="162" t="s">
        <v>356</v>
      </c>
      <c r="P55" s="166">
        <v>45695</v>
      </c>
      <c r="Q55" s="151" t="s">
        <v>601</v>
      </c>
      <c r="R55" s="164" t="s">
        <v>359</v>
      </c>
      <c r="S55" s="155"/>
      <c r="T55" s="155"/>
      <c r="U55" s="249"/>
    </row>
    <row r="56" spans="1:21" s="148" customFormat="1" ht="12" hidden="1" x14ac:dyDescent="0.15">
      <c r="A56" s="149">
        <v>55</v>
      </c>
      <c r="B56" s="150" t="s">
        <v>56</v>
      </c>
      <c r="C56" s="253" t="s">
        <v>155</v>
      </c>
      <c r="D56" s="150" t="s">
        <v>153</v>
      </c>
      <c r="E56" s="150" t="s">
        <v>154</v>
      </c>
      <c r="F56" s="150" t="s">
        <v>486</v>
      </c>
      <c r="G56" s="150" t="s">
        <v>353</v>
      </c>
      <c r="H56" s="153">
        <v>100000</v>
      </c>
      <c r="I56" s="153"/>
      <c r="J56" s="150">
        <v>3</v>
      </c>
      <c r="K56" s="153">
        <f t="shared" si="0"/>
        <v>33333.333333333336</v>
      </c>
      <c r="L56" s="150" t="s">
        <v>52</v>
      </c>
      <c r="M56" s="150" t="s">
        <v>345</v>
      </c>
      <c r="N56" s="150" t="s">
        <v>476</v>
      </c>
      <c r="O56" s="162" t="s">
        <v>479</v>
      </c>
      <c r="P56" s="166"/>
      <c r="Q56" s="151"/>
      <c r="R56" s="164"/>
      <c r="S56" s="155"/>
      <c r="T56" s="155" t="s">
        <v>546</v>
      </c>
      <c r="U56" s="249" t="s">
        <v>547</v>
      </c>
    </row>
    <row r="57" spans="1:21" s="148" customFormat="1" ht="12" hidden="1" x14ac:dyDescent="0.15">
      <c r="A57" s="149">
        <v>56</v>
      </c>
      <c r="B57" s="150" t="s">
        <v>56</v>
      </c>
      <c r="C57" s="253" t="s">
        <v>531</v>
      </c>
      <c r="D57" s="150" t="s">
        <v>365</v>
      </c>
      <c r="E57" s="150" t="s">
        <v>165</v>
      </c>
      <c r="F57" s="150" t="s">
        <v>390</v>
      </c>
      <c r="G57" s="150" t="s">
        <v>394</v>
      </c>
      <c r="H57" s="153">
        <v>150000</v>
      </c>
      <c r="I57" s="153"/>
      <c r="J57" s="150">
        <v>3</v>
      </c>
      <c r="K57" s="153">
        <f t="shared" si="0"/>
        <v>50000</v>
      </c>
      <c r="L57" s="150" t="s">
        <v>53</v>
      </c>
      <c r="M57" s="150" t="s">
        <v>342</v>
      </c>
      <c r="N57" s="150" t="s">
        <v>476</v>
      </c>
      <c r="O57" s="162" t="s">
        <v>483</v>
      </c>
      <c r="P57" s="166"/>
      <c r="Q57" s="151"/>
      <c r="R57" s="164"/>
      <c r="S57" s="155"/>
      <c r="T57" s="155"/>
      <c r="U57" s="249" t="s">
        <v>623</v>
      </c>
    </row>
    <row r="58" spans="1:21" s="148" customFormat="1" ht="12" hidden="1" x14ac:dyDescent="0.15">
      <c r="A58" s="149">
        <v>57</v>
      </c>
      <c r="B58" s="150" t="s">
        <v>56</v>
      </c>
      <c r="C58" s="253" t="s">
        <v>172</v>
      </c>
      <c r="D58" s="150" t="s">
        <v>362</v>
      </c>
      <c r="E58" s="150" t="s">
        <v>171</v>
      </c>
      <c r="F58" s="150" t="s">
        <v>393</v>
      </c>
      <c r="G58" s="150" t="s">
        <v>353</v>
      </c>
      <c r="H58" s="153">
        <v>80000</v>
      </c>
      <c r="I58" s="153"/>
      <c r="J58" s="150">
        <v>3</v>
      </c>
      <c r="K58" s="153">
        <f t="shared" si="0"/>
        <v>26666.666666666668</v>
      </c>
      <c r="L58" s="150" t="s">
        <v>53</v>
      </c>
      <c r="M58" s="150" t="s">
        <v>342</v>
      </c>
      <c r="N58" s="150" t="s">
        <v>476</v>
      </c>
      <c r="O58" s="162" t="s">
        <v>483</v>
      </c>
      <c r="P58" s="166"/>
      <c r="Q58" s="151"/>
      <c r="R58" s="164"/>
      <c r="S58" s="155"/>
      <c r="T58" s="155" t="s">
        <v>558</v>
      </c>
      <c r="U58" s="249" t="s">
        <v>559</v>
      </c>
    </row>
    <row r="59" spans="1:21" s="148" customFormat="1" ht="12" hidden="1" x14ac:dyDescent="0.15">
      <c r="A59" s="149">
        <v>58</v>
      </c>
      <c r="B59" s="150" t="s">
        <v>56</v>
      </c>
      <c r="C59" s="253" t="s">
        <v>553</v>
      </c>
      <c r="D59" s="150" t="s">
        <v>362</v>
      </c>
      <c r="E59" s="150" t="s">
        <v>175</v>
      </c>
      <c r="F59" s="150" t="s">
        <v>392</v>
      </c>
      <c r="G59" s="150" t="s">
        <v>353</v>
      </c>
      <c r="H59" s="153">
        <v>100000</v>
      </c>
      <c r="I59" s="153"/>
      <c r="J59" s="150">
        <v>3</v>
      </c>
      <c r="K59" s="153">
        <f t="shared" si="0"/>
        <v>33333.333333333336</v>
      </c>
      <c r="L59" s="150" t="s">
        <v>53</v>
      </c>
      <c r="M59" s="150" t="s">
        <v>342</v>
      </c>
      <c r="N59" s="150" t="s">
        <v>476</v>
      </c>
      <c r="O59" s="162" t="s">
        <v>479</v>
      </c>
      <c r="P59" s="166"/>
      <c r="Q59" s="151"/>
      <c r="R59" s="164"/>
      <c r="S59" s="155"/>
      <c r="T59" s="155" t="s">
        <v>556</v>
      </c>
      <c r="U59" s="249" t="s">
        <v>557</v>
      </c>
    </row>
    <row r="60" spans="1:21" s="148" customFormat="1" ht="12" hidden="1" x14ac:dyDescent="0.15">
      <c r="A60" s="149">
        <v>59</v>
      </c>
      <c r="B60" s="150" t="s">
        <v>56</v>
      </c>
      <c r="C60" s="253" t="s">
        <v>137</v>
      </c>
      <c r="D60" s="150" t="s">
        <v>177</v>
      </c>
      <c r="E60" s="150"/>
      <c r="F60" s="150" t="s">
        <v>390</v>
      </c>
      <c r="G60" s="150" t="s">
        <v>394</v>
      </c>
      <c r="H60" s="153">
        <v>150000</v>
      </c>
      <c r="I60" s="153"/>
      <c r="J60" s="150">
        <v>3</v>
      </c>
      <c r="K60" s="153">
        <f t="shared" si="0"/>
        <v>50000</v>
      </c>
      <c r="L60" s="150" t="s">
        <v>53</v>
      </c>
      <c r="M60" s="150" t="s">
        <v>342</v>
      </c>
      <c r="N60" s="150" t="s">
        <v>476</v>
      </c>
      <c r="O60" s="162" t="s">
        <v>479</v>
      </c>
      <c r="P60" s="166"/>
      <c r="Q60" s="151"/>
      <c r="R60" s="164"/>
      <c r="S60" s="155"/>
      <c r="T60" s="155" t="s">
        <v>625</v>
      </c>
      <c r="U60" s="248" t="s">
        <v>624</v>
      </c>
    </row>
    <row r="61" spans="1:21" s="148" customFormat="1" ht="12" hidden="1" x14ac:dyDescent="0.15">
      <c r="A61" s="149">
        <v>60</v>
      </c>
      <c r="B61" s="150" t="s">
        <v>51</v>
      </c>
      <c r="C61" s="265" t="s">
        <v>666</v>
      </c>
      <c r="D61" s="151" t="s">
        <v>207</v>
      </c>
      <c r="E61" s="151" t="s">
        <v>511</v>
      </c>
      <c r="F61" s="151" t="s">
        <v>486</v>
      </c>
      <c r="G61" s="150" t="s">
        <v>496</v>
      </c>
      <c r="H61" s="153">
        <v>120000</v>
      </c>
      <c r="I61" s="153"/>
      <c r="J61" s="150">
        <v>3</v>
      </c>
      <c r="K61" s="153">
        <f t="shared" si="0"/>
        <v>40000</v>
      </c>
      <c r="L61" s="150" t="s">
        <v>53</v>
      </c>
      <c r="M61" s="150" t="s">
        <v>342</v>
      </c>
      <c r="N61" s="150" t="s">
        <v>12</v>
      </c>
      <c r="O61" s="162" t="s">
        <v>406</v>
      </c>
      <c r="P61" s="166">
        <v>45713</v>
      </c>
      <c r="Q61" s="151"/>
      <c r="R61" s="164"/>
      <c r="S61" s="155"/>
      <c r="T61" s="155"/>
      <c r="U61" s="249" t="s">
        <v>534</v>
      </c>
    </row>
    <row r="62" spans="1:21" s="148" customFormat="1" x14ac:dyDescent="0.15">
      <c r="A62" s="149">
        <v>61</v>
      </c>
      <c r="B62" s="150" t="s">
        <v>49</v>
      </c>
      <c r="C62" s="253" t="s">
        <v>583</v>
      </c>
      <c r="D62" s="150" t="s">
        <v>106</v>
      </c>
      <c r="E62" s="150" t="s">
        <v>108</v>
      </c>
      <c r="F62" s="150" t="s">
        <v>391</v>
      </c>
      <c r="G62" s="150" t="s">
        <v>355</v>
      </c>
      <c r="H62" s="153">
        <v>35000</v>
      </c>
      <c r="I62" s="153"/>
      <c r="J62" s="150">
        <v>1</v>
      </c>
      <c r="K62" s="153">
        <f t="shared" si="0"/>
        <v>35000</v>
      </c>
      <c r="L62" s="150" t="s">
        <v>53</v>
      </c>
      <c r="M62" s="150" t="s">
        <v>345</v>
      </c>
      <c r="N62" s="150" t="s">
        <v>12</v>
      </c>
      <c r="O62" s="162" t="s">
        <v>470</v>
      </c>
      <c r="P62" s="166">
        <v>45674</v>
      </c>
      <c r="Q62" s="151" t="s">
        <v>579</v>
      </c>
      <c r="R62" s="164"/>
      <c r="S62" s="155"/>
      <c r="T62" s="155"/>
      <c r="U62" s="249"/>
    </row>
    <row r="63" spans="1:21" s="148" customFormat="1" ht="12" hidden="1" x14ac:dyDescent="0.15">
      <c r="A63" s="149">
        <v>62</v>
      </c>
      <c r="B63" s="150" t="s">
        <v>49</v>
      </c>
      <c r="C63" s="253" t="s">
        <v>532</v>
      </c>
      <c r="D63" s="150" t="s">
        <v>97</v>
      </c>
      <c r="E63" s="150" t="s">
        <v>98</v>
      </c>
      <c r="F63" s="150" t="s">
        <v>393</v>
      </c>
      <c r="G63" s="150" t="s">
        <v>497</v>
      </c>
      <c r="H63" s="153">
        <v>100000</v>
      </c>
      <c r="I63" s="153"/>
      <c r="J63" s="150">
        <v>2</v>
      </c>
      <c r="K63" s="153">
        <f t="shared" si="0"/>
        <v>50000</v>
      </c>
      <c r="L63" s="150" t="s">
        <v>50</v>
      </c>
      <c r="M63" s="150" t="s">
        <v>345</v>
      </c>
      <c r="N63" s="150" t="s">
        <v>476</v>
      </c>
      <c r="O63" s="162" t="s">
        <v>483</v>
      </c>
      <c r="P63" s="151"/>
      <c r="Q63" s="151"/>
      <c r="R63" s="164"/>
      <c r="S63" s="155"/>
      <c r="T63" s="155"/>
      <c r="U63" s="249" t="s">
        <v>533</v>
      </c>
    </row>
    <row r="64" spans="1:21" s="148" customFormat="1" ht="12" hidden="1" x14ac:dyDescent="0.15">
      <c r="A64" s="149">
        <v>63</v>
      </c>
      <c r="B64" s="150" t="s">
        <v>51</v>
      </c>
      <c r="C64" s="253" t="s">
        <v>535</v>
      </c>
      <c r="D64" s="150" t="s">
        <v>202</v>
      </c>
      <c r="E64" s="150" t="s">
        <v>205</v>
      </c>
      <c r="F64" s="150" t="s">
        <v>390</v>
      </c>
      <c r="G64" s="150" t="s">
        <v>496</v>
      </c>
      <c r="H64" s="153">
        <v>120000</v>
      </c>
      <c r="I64" s="153"/>
      <c r="J64" s="150">
        <v>3</v>
      </c>
      <c r="K64" s="153">
        <f t="shared" si="0"/>
        <v>40000</v>
      </c>
      <c r="L64" s="150" t="s">
        <v>50</v>
      </c>
      <c r="M64" s="150" t="s">
        <v>345</v>
      </c>
      <c r="N64" s="150" t="s">
        <v>12</v>
      </c>
      <c r="O64" s="162" t="s">
        <v>479</v>
      </c>
      <c r="P64" s="151"/>
      <c r="Q64" s="151"/>
      <c r="R64" s="164"/>
      <c r="S64" s="155"/>
      <c r="T64" s="155"/>
      <c r="U64" s="249" t="s">
        <v>536</v>
      </c>
    </row>
    <row r="65" spans="1:21" s="148" customFormat="1" ht="12" hidden="1" x14ac:dyDescent="0.15">
      <c r="A65" s="149">
        <v>64</v>
      </c>
      <c r="B65" s="150" t="s">
        <v>49</v>
      </c>
      <c r="C65" s="253" t="s">
        <v>657</v>
      </c>
      <c r="D65" s="150" t="s">
        <v>106</v>
      </c>
      <c r="E65" s="150" t="s">
        <v>383</v>
      </c>
      <c r="F65" s="150" t="s">
        <v>390</v>
      </c>
      <c r="G65" s="150" t="s">
        <v>344</v>
      </c>
      <c r="H65" s="153">
        <v>240000</v>
      </c>
      <c r="I65" s="153"/>
      <c r="J65" s="150">
        <v>5</v>
      </c>
      <c r="K65" s="153">
        <f t="shared" si="0"/>
        <v>48000</v>
      </c>
      <c r="L65" s="150" t="s">
        <v>53</v>
      </c>
      <c r="M65" s="150" t="s">
        <v>345</v>
      </c>
      <c r="N65" s="150" t="s">
        <v>12</v>
      </c>
      <c r="O65" s="162" t="s">
        <v>356</v>
      </c>
      <c r="P65" s="169">
        <v>45723</v>
      </c>
      <c r="Q65" s="151"/>
      <c r="R65" s="164"/>
      <c r="S65" s="155"/>
      <c r="T65" s="155"/>
      <c r="U65" s="249" t="s">
        <v>538</v>
      </c>
    </row>
    <row r="66" spans="1:21" s="148" customFormat="1" ht="12" hidden="1" x14ac:dyDescent="0.15">
      <c r="A66" s="149">
        <v>65</v>
      </c>
      <c r="B66" s="150" t="s">
        <v>49</v>
      </c>
      <c r="C66" s="253" t="s">
        <v>539</v>
      </c>
      <c r="D66" s="150" t="s">
        <v>71</v>
      </c>
      <c r="E66" s="150" t="s">
        <v>72</v>
      </c>
      <c r="F66" s="150" t="s">
        <v>486</v>
      </c>
      <c r="G66" s="150" t="s">
        <v>497</v>
      </c>
      <c r="H66" s="153">
        <v>300000</v>
      </c>
      <c r="I66" s="153"/>
      <c r="J66" s="150">
        <v>5</v>
      </c>
      <c r="K66" s="153">
        <f t="shared" ref="K66:K71" si="1">IFERROR(H66/J66,0)</f>
        <v>60000</v>
      </c>
      <c r="L66" s="150" t="s">
        <v>50</v>
      </c>
      <c r="M66" s="150" t="s">
        <v>345</v>
      </c>
      <c r="N66" s="150" t="s">
        <v>12</v>
      </c>
      <c r="O66" s="162" t="s">
        <v>479</v>
      </c>
      <c r="P66" s="151"/>
      <c r="Q66" s="151"/>
      <c r="R66" s="164"/>
      <c r="S66" s="155"/>
      <c r="T66" s="155"/>
      <c r="U66" s="249" t="s">
        <v>540</v>
      </c>
    </row>
    <row r="67" spans="1:21" s="148" customFormat="1" ht="12" hidden="1" x14ac:dyDescent="0.15">
      <c r="A67" s="149">
        <v>66</v>
      </c>
      <c r="B67" s="150" t="s">
        <v>49</v>
      </c>
      <c r="C67" s="253" t="s">
        <v>664</v>
      </c>
      <c r="D67" s="150" t="s">
        <v>68</v>
      </c>
      <c r="E67" s="150" t="s">
        <v>70</v>
      </c>
      <c r="F67" s="150" t="s">
        <v>390</v>
      </c>
      <c r="G67" s="150" t="s">
        <v>344</v>
      </c>
      <c r="H67" s="153">
        <v>200000</v>
      </c>
      <c r="I67" s="153"/>
      <c r="J67" s="150">
        <v>3</v>
      </c>
      <c r="K67" s="153">
        <f t="shared" si="1"/>
        <v>66666.666666666672</v>
      </c>
      <c r="L67" s="150" t="s">
        <v>53</v>
      </c>
      <c r="M67" s="150" t="s">
        <v>345</v>
      </c>
      <c r="N67" s="150" t="s">
        <v>12</v>
      </c>
      <c r="O67" s="162" t="s">
        <v>475</v>
      </c>
      <c r="P67" s="151"/>
      <c r="Q67" s="151"/>
      <c r="R67" s="164"/>
      <c r="S67" s="155"/>
      <c r="T67" s="155"/>
      <c r="U67" s="249" t="s">
        <v>541</v>
      </c>
    </row>
    <row r="68" spans="1:21" s="148" customFormat="1" ht="12" hidden="1" x14ac:dyDescent="0.15">
      <c r="A68" s="149">
        <v>67</v>
      </c>
      <c r="B68" s="150" t="s">
        <v>49</v>
      </c>
      <c r="C68" s="253" t="s">
        <v>542</v>
      </c>
      <c r="D68" s="150" t="s">
        <v>71</v>
      </c>
      <c r="E68" s="150"/>
      <c r="F68" s="150" t="s">
        <v>391</v>
      </c>
      <c r="G68" s="150" t="s">
        <v>497</v>
      </c>
      <c r="H68" s="153">
        <v>100000</v>
      </c>
      <c r="I68" s="153"/>
      <c r="J68" s="150">
        <v>3</v>
      </c>
      <c r="K68" s="153">
        <f t="shared" si="1"/>
        <v>33333.333333333336</v>
      </c>
      <c r="L68" s="150" t="s">
        <v>50</v>
      </c>
      <c r="M68" s="150" t="s">
        <v>345</v>
      </c>
      <c r="N68" s="150" t="s">
        <v>12</v>
      </c>
      <c r="O68" s="162" t="s">
        <v>479</v>
      </c>
      <c r="P68" s="151"/>
      <c r="Q68" s="151"/>
      <c r="R68" s="164"/>
      <c r="S68" s="155"/>
      <c r="T68" s="155"/>
      <c r="U68" s="249" t="s">
        <v>543</v>
      </c>
    </row>
    <row r="69" spans="1:21" s="148" customFormat="1" hidden="1" x14ac:dyDescent="0.15">
      <c r="A69" s="149">
        <v>68</v>
      </c>
      <c r="B69" s="150" t="s">
        <v>56</v>
      </c>
      <c r="C69" s="253" t="s">
        <v>548</v>
      </c>
      <c r="D69" s="150" t="s">
        <v>311</v>
      </c>
      <c r="E69" s="150" t="s">
        <v>311</v>
      </c>
      <c r="F69" s="150" t="s">
        <v>391</v>
      </c>
      <c r="G69" s="150" t="s">
        <v>394</v>
      </c>
      <c r="H69" s="153">
        <v>108000</v>
      </c>
      <c r="I69" s="153"/>
      <c r="J69" s="150">
        <v>3</v>
      </c>
      <c r="K69" s="153">
        <f t="shared" si="1"/>
        <v>36000</v>
      </c>
      <c r="L69" s="150" t="s">
        <v>53</v>
      </c>
      <c r="M69" s="150" t="s">
        <v>345</v>
      </c>
      <c r="N69" s="150" t="s">
        <v>476</v>
      </c>
      <c r="O69" s="162" t="s">
        <v>406</v>
      </c>
      <c r="P69" s="151"/>
      <c r="Q69" s="151"/>
      <c r="R69" s="164"/>
      <c r="S69" s="155"/>
      <c r="T69" s="155"/>
      <c r="U69" s="249"/>
    </row>
    <row r="70" spans="1:21" s="148" customFormat="1" ht="12" hidden="1" x14ac:dyDescent="0.15">
      <c r="A70" s="149">
        <v>69</v>
      </c>
      <c r="B70" s="150" t="s">
        <v>56</v>
      </c>
      <c r="C70" s="253" t="s">
        <v>544</v>
      </c>
      <c r="D70" s="150" t="s">
        <v>149</v>
      </c>
      <c r="E70" s="150" t="s">
        <v>150</v>
      </c>
      <c r="F70" s="150" t="s">
        <v>390</v>
      </c>
      <c r="G70" s="150" t="s">
        <v>394</v>
      </c>
      <c r="H70" s="153">
        <v>100000</v>
      </c>
      <c r="I70" s="153"/>
      <c r="J70" s="150">
        <v>3</v>
      </c>
      <c r="K70" s="153">
        <f t="shared" si="1"/>
        <v>33333.333333333336</v>
      </c>
      <c r="L70" s="150" t="s">
        <v>52</v>
      </c>
      <c r="M70" s="150" t="s">
        <v>345</v>
      </c>
      <c r="N70" s="150" t="s">
        <v>476</v>
      </c>
      <c r="O70" s="162" t="s">
        <v>483</v>
      </c>
      <c r="P70" s="151"/>
      <c r="Q70" s="151"/>
      <c r="R70" s="164"/>
      <c r="S70" s="155"/>
      <c r="T70" s="155"/>
      <c r="U70" s="248" t="s">
        <v>545</v>
      </c>
    </row>
    <row r="71" spans="1:21" s="148" customFormat="1" ht="12" hidden="1" x14ac:dyDescent="0.15">
      <c r="A71" s="149">
        <v>70</v>
      </c>
      <c r="B71" s="150" t="s">
        <v>49</v>
      </c>
      <c r="C71" s="253" t="s">
        <v>549</v>
      </c>
      <c r="D71" s="150" t="s">
        <v>106</v>
      </c>
      <c r="E71" s="150" t="s">
        <v>108</v>
      </c>
      <c r="F71" s="150" t="s">
        <v>390</v>
      </c>
      <c r="G71" s="150" t="s">
        <v>344</v>
      </c>
      <c r="H71" s="153">
        <v>150000</v>
      </c>
      <c r="I71" s="153"/>
      <c r="J71" s="150">
        <v>3</v>
      </c>
      <c r="K71" s="153">
        <f t="shared" si="1"/>
        <v>50000</v>
      </c>
      <c r="L71" s="150" t="s">
        <v>53</v>
      </c>
      <c r="M71" s="150" t="s">
        <v>345</v>
      </c>
      <c r="N71" s="150" t="s">
        <v>476</v>
      </c>
      <c r="O71" s="162" t="s">
        <v>483</v>
      </c>
      <c r="P71" s="151"/>
      <c r="Q71" s="151"/>
      <c r="R71" s="164"/>
      <c r="S71" s="155"/>
      <c r="T71" s="155"/>
      <c r="U71" s="249" t="s">
        <v>580</v>
      </c>
    </row>
    <row r="72" spans="1:21" ht="12" hidden="1" x14ac:dyDescent="0.15">
      <c r="A72" s="149">
        <v>71</v>
      </c>
      <c r="B72" s="150" t="s">
        <v>49</v>
      </c>
      <c r="C72" s="254" t="s">
        <v>75</v>
      </c>
      <c r="D72" s="152" t="s">
        <v>73</v>
      </c>
      <c r="E72" s="152" t="s">
        <v>74</v>
      </c>
      <c r="F72" s="152" t="s">
        <v>392</v>
      </c>
      <c r="G72" s="152" t="s">
        <v>449</v>
      </c>
      <c r="H72" s="153">
        <v>100000</v>
      </c>
      <c r="I72" s="154"/>
      <c r="J72" s="152">
        <v>2</v>
      </c>
      <c r="K72" s="153">
        <f>IFERROR(H72/J72,0)</f>
        <v>50000</v>
      </c>
      <c r="L72" s="150" t="s">
        <v>53</v>
      </c>
      <c r="M72" s="152"/>
      <c r="N72" s="152"/>
      <c r="O72" s="161" t="s">
        <v>483</v>
      </c>
      <c r="R72" s="163"/>
      <c r="S72" s="154"/>
      <c r="T72" s="154" t="s">
        <v>438</v>
      </c>
      <c r="U72" s="248" t="s">
        <v>593</v>
      </c>
    </row>
    <row r="73" spans="1:21" ht="12" hidden="1" x14ac:dyDescent="0.15">
      <c r="A73" s="149">
        <v>72</v>
      </c>
      <c r="B73" s="150" t="s">
        <v>49</v>
      </c>
      <c r="C73" s="254" t="s">
        <v>442</v>
      </c>
      <c r="D73" s="152" t="s">
        <v>73</v>
      </c>
      <c r="E73" s="152" t="s">
        <v>76</v>
      </c>
      <c r="F73" s="152" t="s">
        <v>391</v>
      </c>
      <c r="G73" s="152" t="s">
        <v>449</v>
      </c>
      <c r="H73" s="153">
        <v>120000</v>
      </c>
      <c r="I73" s="154"/>
      <c r="J73" s="160">
        <v>3</v>
      </c>
      <c r="K73" s="153">
        <f t="shared" ref="K73:K74" si="2">IFERROR(H73/J73,0)</f>
        <v>40000</v>
      </c>
      <c r="L73" s="150" t="s">
        <v>53</v>
      </c>
      <c r="M73" s="152"/>
      <c r="N73" s="152"/>
      <c r="O73" s="161" t="s">
        <v>483</v>
      </c>
      <c r="R73" s="163"/>
      <c r="S73" s="154"/>
      <c r="T73" s="154" t="s">
        <v>439</v>
      </c>
      <c r="U73" s="247" t="s">
        <v>600</v>
      </c>
    </row>
    <row r="74" spans="1:21" ht="12" hidden="1" x14ac:dyDescent="0.15">
      <c r="A74" s="149">
        <v>73</v>
      </c>
      <c r="B74" s="150" t="s">
        <v>49</v>
      </c>
      <c r="C74" s="254" t="s">
        <v>78</v>
      </c>
      <c r="D74" s="152" t="s">
        <v>73</v>
      </c>
      <c r="E74" s="152" t="s">
        <v>77</v>
      </c>
      <c r="F74" s="152" t="s">
        <v>391</v>
      </c>
      <c r="G74" s="152" t="s">
        <v>449</v>
      </c>
      <c r="H74" s="153">
        <v>100000</v>
      </c>
      <c r="I74" s="154"/>
      <c r="J74" s="152">
        <v>4</v>
      </c>
      <c r="K74" s="153">
        <f t="shared" si="2"/>
        <v>25000</v>
      </c>
      <c r="L74" s="150" t="s">
        <v>53</v>
      </c>
      <c r="M74" s="152"/>
      <c r="N74" s="152"/>
      <c r="O74" s="161" t="s">
        <v>483</v>
      </c>
      <c r="R74" s="163"/>
      <c r="S74" s="154" t="s">
        <v>441</v>
      </c>
      <c r="T74" s="154" t="s">
        <v>440</v>
      </c>
      <c r="U74" s="248" t="s">
        <v>594</v>
      </c>
    </row>
    <row r="75" spans="1:21" ht="12" hidden="1" x14ac:dyDescent="0.15">
      <c r="A75" s="149">
        <v>74</v>
      </c>
      <c r="B75" s="150" t="s">
        <v>49</v>
      </c>
      <c r="C75" s="254" t="s">
        <v>443</v>
      </c>
      <c r="D75" s="152" t="s">
        <v>73</v>
      </c>
      <c r="E75" s="152" t="s">
        <v>76</v>
      </c>
      <c r="F75" s="152" t="s">
        <v>393</v>
      </c>
      <c r="G75" s="152" t="s">
        <v>449</v>
      </c>
      <c r="H75" s="153">
        <v>120000</v>
      </c>
      <c r="I75" s="154"/>
      <c r="J75" s="152">
        <v>3</v>
      </c>
      <c r="K75" s="153">
        <f>IFERROR(H75/J75,0)</f>
        <v>40000</v>
      </c>
      <c r="L75" s="150" t="s">
        <v>53</v>
      </c>
      <c r="M75" s="152"/>
      <c r="N75" s="152"/>
      <c r="O75" s="161" t="s">
        <v>483</v>
      </c>
      <c r="R75" s="163"/>
      <c r="S75" s="154"/>
      <c r="T75" s="154" t="s">
        <v>439</v>
      </c>
      <c r="U75" s="247" t="s">
        <v>600</v>
      </c>
    </row>
    <row r="76" spans="1:21" ht="12" hidden="1" x14ac:dyDescent="0.15">
      <c r="A76" s="149">
        <v>75</v>
      </c>
      <c r="B76" s="150" t="s">
        <v>49</v>
      </c>
      <c r="C76" s="254" t="s">
        <v>80</v>
      </c>
      <c r="D76" s="152" t="s">
        <v>73</v>
      </c>
      <c r="E76" s="152" t="s">
        <v>79</v>
      </c>
      <c r="F76" s="152" t="s">
        <v>393</v>
      </c>
      <c r="G76" s="152" t="s">
        <v>449</v>
      </c>
      <c r="H76" s="153">
        <v>150000</v>
      </c>
      <c r="I76" s="154"/>
      <c r="J76" s="152">
        <v>3</v>
      </c>
      <c r="K76" s="153">
        <f t="shared" ref="K76:K86" si="3">IFERROR(H76/J76,0)</f>
        <v>50000</v>
      </c>
      <c r="L76" s="150" t="s">
        <v>53</v>
      </c>
      <c r="M76" s="152"/>
      <c r="N76" s="152"/>
      <c r="O76" s="161" t="s">
        <v>483</v>
      </c>
      <c r="R76" s="163"/>
      <c r="S76" s="154" t="s">
        <v>444</v>
      </c>
      <c r="T76" s="154" t="s">
        <v>448</v>
      </c>
      <c r="U76" s="247" t="s">
        <v>444</v>
      </c>
    </row>
    <row r="77" spans="1:21" ht="12" hidden="1" x14ac:dyDescent="0.15">
      <c r="A77" s="149">
        <v>76</v>
      </c>
      <c r="B77" s="150" t="s">
        <v>49</v>
      </c>
      <c r="C77" s="254" t="s">
        <v>551</v>
      </c>
      <c r="D77" s="152" t="s">
        <v>73</v>
      </c>
      <c r="E77" s="152" t="s">
        <v>79</v>
      </c>
      <c r="F77" s="152" t="s">
        <v>393</v>
      </c>
      <c r="G77" s="152" t="s">
        <v>449</v>
      </c>
      <c r="H77" s="153">
        <v>100000</v>
      </c>
      <c r="I77" s="154"/>
      <c r="J77" s="152">
        <v>3</v>
      </c>
      <c r="K77" s="153">
        <f t="shared" si="3"/>
        <v>33333.333333333336</v>
      </c>
      <c r="L77" s="150" t="s">
        <v>53</v>
      </c>
      <c r="M77" s="152"/>
      <c r="N77" s="152"/>
      <c r="O77" s="161" t="s">
        <v>483</v>
      </c>
      <c r="R77" s="163"/>
      <c r="S77" s="154" t="s">
        <v>446</v>
      </c>
      <c r="T77" s="154" t="s">
        <v>445</v>
      </c>
      <c r="U77" s="248" t="s">
        <v>446</v>
      </c>
    </row>
    <row r="78" spans="1:21" ht="12" hidden="1" x14ac:dyDescent="0.15">
      <c r="A78" s="149">
        <v>77</v>
      </c>
      <c r="B78" s="150" t="s">
        <v>49</v>
      </c>
      <c r="C78" s="254" t="s">
        <v>451</v>
      </c>
      <c r="D78" s="152" t="s">
        <v>73</v>
      </c>
      <c r="E78" s="152" t="s">
        <v>74</v>
      </c>
      <c r="F78" s="152" t="s">
        <v>390</v>
      </c>
      <c r="G78" s="152" t="s">
        <v>449</v>
      </c>
      <c r="H78" s="153">
        <v>200000</v>
      </c>
      <c r="I78" s="154"/>
      <c r="J78" s="152">
        <v>3</v>
      </c>
      <c r="K78" s="153">
        <f t="shared" si="3"/>
        <v>66666.666666666672</v>
      </c>
      <c r="L78" s="150" t="s">
        <v>53</v>
      </c>
      <c r="M78" s="152"/>
      <c r="N78" s="152"/>
      <c r="O78" s="161" t="s">
        <v>483</v>
      </c>
      <c r="R78" s="163"/>
      <c r="S78" s="154"/>
      <c r="T78" s="154" t="s">
        <v>450</v>
      </c>
      <c r="U78" s="248" t="s">
        <v>595</v>
      </c>
    </row>
    <row r="79" spans="1:21" ht="12" hidden="1" x14ac:dyDescent="0.15">
      <c r="A79" s="149">
        <v>78</v>
      </c>
      <c r="B79" s="150" t="s">
        <v>49</v>
      </c>
      <c r="C79" s="254" t="s">
        <v>452</v>
      </c>
      <c r="D79" s="152" t="s">
        <v>73</v>
      </c>
      <c r="E79" s="152" t="s">
        <v>77</v>
      </c>
      <c r="F79" s="152" t="s">
        <v>390</v>
      </c>
      <c r="G79" s="152" t="s">
        <v>449</v>
      </c>
      <c r="H79" s="153">
        <v>150000</v>
      </c>
      <c r="I79" s="154"/>
      <c r="J79" s="152">
        <v>3</v>
      </c>
      <c r="K79" s="153">
        <f t="shared" si="3"/>
        <v>50000</v>
      </c>
      <c r="L79" s="150" t="s">
        <v>53</v>
      </c>
      <c r="M79" s="152"/>
      <c r="N79" s="152"/>
      <c r="O79" s="161" t="s">
        <v>483</v>
      </c>
      <c r="R79" s="163"/>
      <c r="S79" s="154"/>
      <c r="T79" s="154" t="s">
        <v>453</v>
      </c>
      <c r="U79" s="248" t="str">
        <f>+U74</f>
        <v>CC se contacto con Felipe Hidalgo y se reunira con el la proxima semana</v>
      </c>
    </row>
    <row r="80" spans="1:21" ht="12" hidden="1" x14ac:dyDescent="0.15">
      <c r="A80" s="149">
        <v>79</v>
      </c>
      <c r="B80" s="150" t="s">
        <v>49</v>
      </c>
      <c r="C80" s="254" t="s">
        <v>78</v>
      </c>
      <c r="D80" s="152" t="s">
        <v>73</v>
      </c>
      <c r="E80" s="152" t="s">
        <v>74</v>
      </c>
      <c r="F80" s="152" t="s">
        <v>391</v>
      </c>
      <c r="G80" s="152" t="s">
        <v>449</v>
      </c>
      <c r="H80" s="153">
        <v>100000</v>
      </c>
      <c r="I80" s="154"/>
      <c r="J80" s="152">
        <v>4</v>
      </c>
      <c r="K80" s="153">
        <f t="shared" si="3"/>
        <v>25000</v>
      </c>
      <c r="L80" s="150" t="s">
        <v>53</v>
      </c>
      <c r="M80" s="152"/>
      <c r="N80" s="152"/>
      <c r="O80" s="161" t="s">
        <v>483</v>
      </c>
      <c r="R80" s="163"/>
      <c r="S80" s="154" t="s">
        <v>454</v>
      </c>
      <c r="T80" s="154" t="s">
        <v>438</v>
      </c>
      <c r="U80" s="247" t="s">
        <v>600</v>
      </c>
    </row>
    <row r="81" spans="1:36" s="160" customFormat="1" ht="9.5" hidden="1" customHeight="1" x14ac:dyDescent="0.15">
      <c r="A81" s="149">
        <v>80</v>
      </c>
      <c r="B81" s="150" t="s">
        <v>49</v>
      </c>
      <c r="C81" s="149" t="s">
        <v>552</v>
      </c>
      <c r="D81" s="152" t="s">
        <v>73</v>
      </c>
      <c r="E81" s="152" t="s">
        <v>456</v>
      </c>
      <c r="F81" s="152" t="s">
        <v>390</v>
      </c>
      <c r="G81" s="152" t="s">
        <v>449</v>
      </c>
      <c r="H81" s="153">
        <v>200000</v>
      </c>
      <c r="I81" s="152"/>
      <c r="J81" s="152">
        <v>4</v>
      </c>
      <c r="K81" s="153">
        <f t="shared" si="3"/>
        <v>50000</v>
      </c>
      <c r="L81" s="150" t="s">
        <v>53</v>
      </c>
      <c r="M81" s="152"/>
      <c r="N81" s="152"/>
      <c r="O81" s="161" t="s">
        <v>483</v>
      </c>
      <c r="P81" s="151"/>
      <c r="Q81" s="151"/>
      <c r="R81" s="255"/>
      <c r="S81" s="152"/>
      <c r="T81" s="152" t="s">
        <v>596</v>
      </c>
      <c r="U81" s="256" t="s">
        <v>597</v>
      </c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  <c r="AF81" s="257"/>
      <c r="AG81" s="257"/>
      <c r="AH81" s="257"/>
      <c r="AI81" s="257"/>
      <c r="AJ81" s="257"/>
    </row>
    <row r="82" spans="1:36" hidden="1" x14ac:dyDescent="0.15">
      <c r="A82" s="149">
        <v>81</v>
      </c>
      <c r="B82" s="150" t="s">
        <v>49</v>
      </c>
      <c r="C82" s="253" t="s">
        <v>550</v>
      </c>
      <c r="D82" s="150" t="s">
        <v>71</v>
      </c>
      <c r="E82" s="152"/>
      <c r="F82" s="150" t="s">
        <v>391</v>
      </c>
      <c r="G82" s="152" t="s">
        <v>497</v>
      </c>
      <c r="H82" s="153">
        <v>100000</v>
      </c>
      <c r="I82" s="154"/>
      <c r="J82" s="152">
        <v>3</v>
      </c>
      <c r="K82" s="153">
        <f t="shared" si="3"/>
        <v>33333.333333333336</v>
      </c>
      <c r="L82" s="150" t="s">
        <v>50</v>
      </c>
      <c r="M82" s="150" t="s">
        <v>345</v>
      </c>
      <c r="N82" s="150" t="s">
        <v>12</v>
      </c>
      <c r="O82" s="161" t="s">
        <v>483</v>
      </c>
      <c r="R82" s="163"/>
      <c r="S82" s="154"/>
      <c r="T82" s="154"/>
      <c r="U82" s="247"/>
    </row>
    <row r="83" spans="1:36" ht="12" hidden="1" x14ac:dyDescent="0.15">
      <c r="A83" s="149">
        <v>82</v>
      </c>
      <c r="B83" s="150" t="s">
        <v>56</v>
      </c>
      <c r="C83" s="254" t="s">
        <v>668</v>
      </c>
      <c r="D83" s="152" t="s">
        <v>223</v>
      </c>
      <c r="E83" s="152" t="s">
        <v>640</v>
      </c>
      <c r="F83" s="150" t="s">
        <v>392</v>
      </c>
      <c r="G83" s="152" t="s">
        <v>353</v>
      </c>
      <c r="H83" s="153">
        <v>89700</v>
      </c>
      <c r="I83" s="154"/>
      <c r="J83" s="152">
        <v>3</v>
      </c>
      <c r="K83" s="153">
        <f t="shared" si="3"/>
        <v>29900</v>
      </c>
      <c r="L83" s="152" t="s">
        <v>52</v>
      </c>
      <c r="M83" s="152"/>
      <c r="N83" s="152"/>
      <c r="O83" s="161" t="s">
        <v>406</v>
      </c>
      <c r="P83" s="169">
        <v>45721</v>
      </c>
      <c r="R83" s="163"/>
      <c r="S83" s="154"/>
      <c r="T83" s="154" t="s">
        <v>569</v>
      </c>
      <c r="U83" s="247" t="s">
        <v>568</v>
      </c>
    </row>
    <row r="84" spans="1:36" hidden="1" x14ac:dyDescent="0.15">
      <c r="A84" s="149">
        <v>83</v>
      </c>
      <c r="B84" s="152" t="s">
        <v>49</v>
      </c>
      <c r="C84" s="254" t="s">
        <v>563</v>
      </c>
      <c r="D84" s="152" t="s">
        <v>68</v>
      </c>
      <c r="E84" s="152" t="s">
        <v>69</v>
      </c>
      <c r="F84" s="150" t="s">
        <v>392</v>
      </c>
      <c r="G84" s="152" t="s">
        <v>353</v>
      </c>
      <c r="H84" s="153">
        <f>240000+150000</f>
        <v>390000</v>
      </c>
      <c r="I84" s="154"/>
      <c r="J84" s="152">
        <v>3</v>
      </c>
      <c r="K84" s="153">
        <f t="shared" si="3"/>
        <v>130000</v>
      </c>
      <c r="L84" s="150" t="s">
        <v>50</v>
      </c>
      <c r="M84" s="152"/>
      <c r="N84" s="152"/>
      <c r="O84" s="161" t="s">
        <v>406</v>
      </c>
      <c r="P84" s="169">
        <v>45679</v>
      </c>
      <c r="R84" s="163"/>
      <c r="S84" s="154"/>
      <c r="T84" s="154" t="s">
        <v>567</v>
      </c>
      <c r="U84" s="247"/>
    </row>
    <row r="85" spans="1:36" ht="10.75" hidden="1" customHeight="1" x14ac:dyDescent="0.15">
      <c r="A85" s="149">
        <v>84</v>
      </c>
      <c r="B85" s="152" t="s">
        <v>49</v>
      </c>
      <c r="C85" s="254" t="s">
        <v>564</v>
      </c>
      <c r="D85" s="152" t="s">
        <v>68</v>
      </c>
      <c r="E85" s="152" t="s">
        <v>69</v>
      </c>
      <c r="F85" s="150" t="s">
        <v>392</v>
      </c>
      <c r="G85" s="152" t="s">
        <v>353</v>
      </c>
      <c r="H85" s="153">
        <v>200000</v>
      </c>
      <c r="I85" s="154"/>
      <c r="J85" s="152">
        <v>3</v>
      </c>
      <c r="K85" s="153">
        <f t="shared" si="3"/>
        <v>66666.666666666672</v>
      </c>
      <c r="L85" s="150" t="s">
        <v>50</v>
      </c>
      <c r="M85" s="152"/>
      <c r="N85" s="152"/>
      <c r="O85" s="161" t="s">
        <v>479</v>
      </c>
      <c r="R85" s="163"/>
      <c r="S85" s="154"/>
      <c r="T85" s="154" t="s">
        <v>567</v>
      </c>
      <c r="U85" s="247" t="s">
        <v>566</v>
      </c>
    </row>
    <row r="86" spans="1:36" ht="12.5" hidden="1" customHeight="1" x14ac:dyDescent="0.15">
      <c r="A86" s="149">
        <v>85</v>
      </c>
      <c r="B86" s="152" t="s">
        <v>49</v>
      </c>
      <c r="C86" s="254" t="s">
        <v>565</v>
      </c>
      <c r="D86" s="152" t="s">
        <v>68</v>
      </c>
      <c r="E86" s="152" t="s">
        <v>69</v>
      </c>
      <c r="F86" s="152" t="s">
        <v>486</v>
      </c>
      <c r="G86" s="152" t="s">
        <v>353</v>
      </c>
      <c r="H86" s="153">
        <v>100000</v>
      </c>
      <c r="I86" s="154"/>
      <c r="J86" s="152">
        <v>3</v>
      </c>
      <c r="K86" s="153">
        <f t="shared" si="3"/>
        <v>33333.333333333336</v>
      </c>
      <c r="L86" s="150" t="s">
        <v>50</v>
      </c>
      <c r="M86" s="152"/>
      <c r="N86" s="152"/>
      <c r="O86" s="161" t="s">
        <v>479</v>
      </c>
      <c r="R86" s="163"/>
      <c r="S86" s="154"/>
      <c r="T86" s="154" t="s">
        <v>567</v>
      </c>
      <c r="U86" s="247" t="s">
        <v>566</v>
      </c>
    </row>
    <row r="87" spans="1:36" hidden="1" x14ac:dyDescent="0.15">
      <c r="A87" s="149">
        <v>86</v>
      </c>
      <c r="B87" s="152" t="s">
        <v>51</v>
      </c>
      <c r="C87" s="254" t="s">
        <v>570</v>
      </c>
      <c r="D87" s="152" t="s">
        <v>202</v>
      </c>
      <c r="E87" s="152" t="s">
        <v>369</v>
      </c>
      <c r="F87" s="152" t="s">
        <v>392</v>
      </c>
      <c r="G87" s="152" t="s">
        <v>353</v>
      </c>
      <c r="H87" s="153">
        <v>60000</v>
      </c>
      <c r="I87" s="154"/>
      <c r="J87" s="152">
        <v>3</v>
      </c>
      <c r="K87" s="153">
        <f>IFERROR(H87/J87,0)</f>
        <v>20000</v>
      </c>
      <c r="L87" s="150" t="s">
        <v>50</v>
      </c>
      <c r="M87" s="152"/>
      <c r="N87" s="150" t="s">
        <v>12</v>
      </c>
      <c r="O87" s="161" t="s">
        <v>483</v>
      </c>
      <c r="R87" s="163"/>
      <c r="S87" s="154"/>
      <c r="T87" s="154"/>
      <c r="U87" s="247"/>
    </row>
    <row r="88" spans="1:36" hidden="1" x14ac:dyDescent="0.15">
      <c r="A88" s="149">
        <v>87</v>
      </c>
      <c r="B88" s="152" t="s">
        <v>49</v>
      </c>
      <c r="C88" s="253" t="s">
        <v>571</v>
      </c>
      <c r="D88" s="152" t="s">
        <v>81</v>
      </c>
      <c r="E88" s="152" t="s">
        <v>82</v>
      </c>
      <c r="F88" s="152" t="s">
        <v>393</v>
      </c>
      <c r="G88" s="152" t="s">
        <v>348</v>
      </c>
      <c r="H88" s="153">
        <v>646000</v>
      </c>
      <c r="I88" s="154"/>
      <c r="J88" s="152">
        <v>18</v>
      </c>
      <c r="K88" s="153">
        <f t="shared" ref="K88:K120" si="4">IFERROR(H88/J88,0)</f>
        <v>35888.888888888891</v>
      </c>
      <c r="L88" s="150" t="s">
        <v>50</v>
      </c>
      <c r="M88" s="152"/>
      <c r="N88" s="152"/>
      <c r="O88" s="161" t="s">
        <v>475</v>
      </c>
      <c r="R88" s="163"/>
      <c r="S88" s="154"/>
      <c r="T88" s="154"/>
      <c r="U88" s="247"/>
    </row>
    <row r="89" spans="1:36" hidden="1" x14ac:dyDescent="0.15">
      <c r="A89" s="149">
        <v>88</v>
      </c>
      <c r="B89" s="152" t="s">
        <v>49</v>
      </c>
      <c r="C89" s="253" t="s">
        <v>576</v>
      </c>
      <c r="D89" s="152" t="s">
        <v>81</v>
      </c>
      <c r="E89" s="152" t="s">
        <v>82</v>
      </c>
      <c r="F89" s="152" t="s">
        <v>393</v>
      </c>
      <c r="G89" s="152" t="s">
        <v>348</v>
      </c>
      <c r="H89" s="153">
        <v>100000</v>
      </c>
      <c r="I89" s="154"/>
      <c r="J89" s="152">
        <v>3</v>
      </c>
      <c r="K89" s="153">
        <f t="shared" si="4"/>
        <v>33333.333333333336</v>
      </c>
      <c r="L89" s="150" t="s">
        <v>50</v>
      </c>
      <c r="M89" s="152"/>
      <c r="N89" s="152"/>
      <c r="O89" s="161" t="s">
        <v>483</v>
      </c>
      <c r="R89" s="163"/>
      <c r="S89" s="154"/>
      <c r="T89" s="154"/>
      <c r="U89" s="247"/>
    </row>
    <row r="90" spans="1:36" ht="11.5" customHeight="1" x14ac:dyDescent="0.15">
      <c r="A90" s="149">
        <v>89</v>
      </c>
      <c r="B90" s="152" t="s">
        <v>49</v>
      </c>
      <c r="C90" s="253" t="s">
        <v>582</v>
      </c>
      <c r="D90" s="152" t="s">
        <v>68</v>
      </c>
      <c r="E90" s="152" t="s">
        <v>69</v>
      </c>
      <c r="F90" s="152" t="s">
        <v>391</v>
      </c>
      <c r="G90" s="152" t="s">
        <v>449</v>
      </c>
      <c r="H90" s="153">
        <v>120000</v>
      </c>
      <c r="I90" s="154"/>
      <c r="J90" s="152">
        <v>3</v>
      </c>
      <c r="K90" s="153">
        <f t="shared" si="4"/>
        <v>40000</v>
      </c>
      <c r="L90" s="150" t="s">
        <v>50</v>
      </c>
      <c r="M90" s="152"/>
      <c r="N90" s="152"/>
      <c r="O90" s="161" t="s">
        <v>481</v>
      </c>
      <c r="Q90" s="169">
        <v>45698</v>
      </c>
      <c r="R90" s="163"/>
      <c r="S90" s="154"/>
      <c r="T90" s="154" t="s">
        <v>598</v>
      </c>
      <c r="U90" s="248" t="s">
        <v>599</v>
      </c>
    </row>
    <row r="91" spans="1:36" ht="12.5" hidden="1" customHeight="1" x14ac:dyDescent="0.15">
      <c r="A91" s="149">
        <v>90</v>
      </c>
      <c r="B91" s="152" t="s">
        <v>49</v>
      </c>
      <c r="C91" s="254" t="s">
        <v>371</v>
      </c>
      <c r="D91" s="152" t="s">
        <v>68</v>
      </c>
      <c r="E91" s="152" t="s">
        <v>69</v>
      </c>
      <c r="F91" s="152" t="s">
        <v>390</v>
      </c>
      <c r="G91" s="152" t="s">
        <v>449</v>
      </c>
      <c r="H91" s="153">
        <v>250000</v>
      </c>
      <c r="I91" s="154"/>
      <c r="J91" s="152">
        <v>4</v>
      </c>
      <c r="K91" s="153">
        <f t="shared" si="4"/>
        <v>62500</v>
      </c>
      <c r="L91" s="150" t="s">
        <v>50</v>
      </c>
      <c r="M91" s="152"/>
      <c r="N91" s="152"/>
      <c r="O91" s="161" t="s">
        <v>479</v>
      </c>
      <c r="R91" s="163"/>
      <c r="S91" s="154"/>
      <c r="T91" s="154" t="s">
        <v>598</v>
      </c>
      <c r="U91" s="248" t="s">
        <v>599</v>
      </c>
    </row>
    <row r="92" spans="1:36" hidden="1" x14ac:dyDescent="0.15">
      <c r="A92" s="149">
        <v>91</v>
      </c>
      <c r="B92" s="152" t="s">
        <v>49</v>
      </c>
      <c r="C92" s="254" t="s">
        <v>84</v>
      </c>
      <c r="D92" s="152" t="s">
        <v>81</v>
      </c>
      <c r="E92" s="152" t="s">
        <v>572</v>
      </c>
      <c r="F92" s="152"/>
      <c r="G92" s="152" t="s">
        <v>348</v>
      </c>
      <c r="H92" s="153">
        <v>120000</v>
      </c>
      <c r="I92" s="154"/>
      <c r="J92" s="152">
        <v>3</v>
      </c>
      <c r="K92" s="153">
        <f t="shared" si="4"/>
        <v>40000</v>
      </c>
      <c r="L92" s="150" t="s">
        <v>50</v>
      </c>
      <c r="M92" s="152"/>
      <c r="N92" s="152"/>
      <c r="O92" s="161" t="s">
        <v>483</v>
      </c>
      <c r="R92" s="163"/>
      <c r="S92" s="154"/>
      <c r="T92" s="154"/>
      <c r="U92" s="247"/>
    </row>
    <row r="93" spans="1:36" hidden="1" x14ac:dyDescent="0.15">
      <c r="A93" s="149">
        <v>92</v>
      </c>
      <c r="B93" s="152" t="s">
        <v>49</v>
      </c>
      <c r="C93" s="254" t="s">
        <v>86</v>
      </c>
      <c r="D93" s="152" t="s">
        <v>81</v>
      </c>
      <c r="E93" s="152" t="s">
        <v>85</v>
      </c>
      <c r="F93" s="152"/>
      <c r="G93" s="152" t="s">
        <v>348</v>
      </c>
      <c r="H93" s="153">
        <v>100000</v>
      </c>
      <c r="I93" s="154"/>
      <c r="J93" s="152">
        <v>3</v>
      </c>
      <c r="K93" s="153">
        <f t="shared" si="4"/>
        <v>33333.333333333336</v>
      </c>
      <c r="L93" s="150" t="s">
        <v>50</v>
      </c>
      <c r="M93" s="152"/>
      <c r="N93" s="152"/>
      <c r="O93" s="161" t="s">
        <v>483</v>
      </c>
      <c r="R93" s="163"/>
      <c r="S93" s="154"/>
      <c r="T93" s="154"/>
      <c r="U93" s="247"/>
    </row>
    <row r="94" spans="1:36" hidden="1" x14ac:dyDescent="0.15">
      <c r="A94" s="149">
        <v>93</v>
      </c>
      <c r="B94" s="152" t="s">
        <v>49</v>
      </c>
      <c r="C94" s="254" t="s">
        <v>87</v>
      </c>
      <c r="D94" s="152" t="s">
        <v>81</v>
      </c>
      <c r="E94" s="152" t="s">
        <v>85</v>
      </c>
      <c r="F94" s="152"/>
      <c r="G94" s="152" t="s">
        <v>348</v>
      </c>
      <c r="H94" s="153">
        <v>30000</v>
      </c>
      <c r="I94" s="154"/>
      <c r="J94" s="152">
        <v>2</v>
      </c>
      <c r="K94" s="153">
        <f t="shared" si="4"/>
        <v>15000</v>
      </c>
      <c r="L94" s="150" t="s">
        <v>50</v>
      </c>
      <c r="M94" s="152"/>
      <c r="N94" s="152"/>
      <c r="O94" s="161" t="s">
        <v>483</v>
      </c>
      <c r="R94" s="163"/>
      <c r="S94" s="154"/>
      <c r="T94" s="154"/>
      <c r="U94" s="247"/>
    </row>
    <row r="95" spans="1:36" hidden="1" x14ac:dyDescent="0.15">
      <c r="A95" s="149">
        <v>94</v>
      </c>
      <c r="B95" s="152" t="s">
        <v>49</v>
      </c>
      <c r="C95" s="254" t="s">
        <v>89</v>
      </c>
      <c r="D95" s="152" t="s">
        <v>81</v>
      </c>
      <c r="E95" s="152" t="s">
        <v>82</v>
      </c>
      <c r="F95" s="152"/>
      <c r="G95" s="152" t="s">
        <v>348</v>
      </c>
      <c r="H95" s="153">
        <v>50000</v>
      </c>
      <c r="I95" s="154"/>
      <c r="J95" s="152">
        <v>3</v>
      </c>
      <c r="K95" s="153">
        <f t="shared" si="4"/>
        <v>16666.666666666668</v>
      </c>
      <c r="L95" s="150" t="s">
        <v>50</v>
      </c>
      <c r="M95" s="152"/>
      <c r="N95" s="152"/>
      <c r="O95" s="161" t="s">
        <v>483</v>
      </c>
      <c r="R95" s="163"/>
      <c r="S95" s="154"/>
      <c r="T95" s="154"/>
      <c r="U95" s="247"/>
    </row>
    <row r="96" spans="1:36" hidden="1" x14ac:dyDescent="0.15">
      <c r="A96" s="149">
        <v>95</v>
      </c>
      <c r="B96" s="152" t="s">
        <v>49</v>
      </c>
      <c r="C96" s="254" t="s">
        <v>92</v>
      </c>
      <c r="D96" s="152" t="s">
        <v>81</v>
      </c>
      <c r="E96" s="152" t="s">
        <v>90</v>
      </c>
      <c r="F96" s="152"/>
      <c r="G96" s="152" t="s">
        <v>348</v>
      </c>
      <c r="H96" s="153">
        <v>50000</v>
      </c>
      <c r="I96" s="154"/>
      <c r="J96" s="152">
        <v>3</v>
      </c>
      <c r="K96" s="153">
        <f t="shared" si="4"/>
        <v>16666.666666666668</v>
      </c>
      <c r="L96" s="150" t="s">
        <v>50</v>
      </c>
      <c r="M96" s="152"/>
      <c r="N96" s="152"/>
      <c r="O96" s="161" t="s">
        <v>483</v>
      </c>
      <c r="R96" s="163"/>
      <c r="S96" s="154"/>
      <c r="T96" s="154"/>
      <c r="U96" s="247"/>
    </row>
    <row r="97" spans="1:21" hidden="1" x14ac:dyDescent="0.15">
      <c r="A97" s="149">
        <v>96</v>
      </c>
      <c r="B97" s="152" t="s">
        <v>49</v>
      </c>
      <c r="C97" s="254" t="s">
        <v>96</v>
      </c>
      <c r="D97" s="152" t="s">
        <v>81</v>
      </c>
      <c r="E97" s="152" t="s">
        <v>83</v>
      </c>
      <c r="F97" s="152"/>
      <c r="G97" s="152" t="s">
        <v>348</v>
      </c>
      <c r="H97" s="153">
        <v>50000</v>
      </c>
      <c r="I97" s="154"/>
      <c r="J97" s="152">
        <v>3</v>
      </c>
      <c r="K97" s="153">
        <f t="shared" si="4"/>
        <v>16666.666666666668</v>
      </c>
      <c r="L97" s="150" t="s">
        <v>50</v>
      </c>
      <c r="M97" s="152"/>
      <c r="N97" s="152"/>
      <c r="O97" s="161" t="s">
        <v>483</v>
      </c>
      <c r="R97" s="163"/>
      <c r="S97" s="154"/>
      <c r="T97" s="154"/>
      <c r="U97" s="247"/>
    </row>
    <row r="98" spans="1:21" x14ac:dyDescent="0.15">
      <c r="A98" s="149">
        <v>97</v>
      </c>
      <c r="B98" s="152" t="s">
        <v>56</v>
      </c>
      <c r="C98" s="254" t="s">
        <v>577</v>
      </c>
      <c r="D98" s="152" t="s">
        <v>161</v>
      </c>
      <c r="E98" s="152" t="s">
        <v>162</v>
      </c>
      <c r="F98" s="152" t="s">
        <v>486</v>
      </c>
      <c r="G98" s="152" t="s">
        <v>349</v>
      </c>
      <c r="H98" s="153">
        <v>70000</v>
      </c>
      <c r="I98" s="154"/>
      <c r="J98" s="152">
        <v>2</v>
      </c>
      <c r="K98" s="153">
        <f t="shared" si="4"/>
        <v>35000</v>
      </c>
      <c r="L98" s="152" t="s">
        <v>50</v>
      </c>
      <c r="M98" s="152"/>
      <c r="N98" s="152"/>
      <c r="O98" s="161" t="s">
        <v>470</v>
      </c>
      <c r="P98" s="166">
        <v>46011</v>
      </c>
      <c r="Q98" s="151" t="s">
        <v>579</v>
      </c>
      <c r="R98" s="163"/>
      <c r="S98" s="154"/>
      <c r="T98" s="154"/>
      <c r="U98" s="247"/>
    </row>
    <row r="99" spans="1:21" x14ac:dyDescent="0.15">
      <c r="A99" s="149">
        <v>98</v>
      </c>
      <c r="B99" s="152" t="s">
        <v>54</v>
      </c>
      <c r="C99" s="254" t="s">
        <v>584</v>
      </c>
      <c r="D99" s="152" t="s">
        <v>292</v>
      </c>
      <c r="E99" s="152" t="s">
        <v>585</v>
      </c>
      <c r="F99" s="152" t="s">
        <v>486</v>
      </c>
      <c r="G99" s="152" t="s">
        <v>341</v>
      </c>
      <c r="H99" s="153">
        <v>116000</v>
      </c>
      <c r="I99" s="154"/>
      <c r="J99" s="152">
        <v>3</v>
      </c>
      <c r="K99" s="153">
        <f t="shared" si="4"/>
        <v>38666.666666666664</v>
      </c>
      <c r="L99" s="150" t="s">
        <v>50</v>
      </c>
      <c r="M99" s="152"/>
      <c r="N99" s="152"/>
      <c r="O99" s="161" t="s">
        <v>470</v>
      </c>
      <c r="P99" s="169">
        <v>45674</v>
      </c>
      <c r="Q99" s="151" t="s">
        <v>579</v>
      </c>
      <c r="R99" s="163"/>
      <c r="S99" s="154"/>
      <c r="T99" s="154"/>
      <c r="U99" s="247"/>
    </row>
    <row r="100" spans="1:21" ht="12" hidden="1" x14ac:dyDescent="0.15">
      <c r="A100" s="149">
        <v>99</v>
      </c>
      <c r="B100" s="152" t="s">
        <v>56</v>
      </c>
      <c r="C100" s="254" t="s">
        <v>626</v>
      </c>
      <c r="D100" s="152" t="s">
        <v>362</v>
      </c>
      <c r="E100" s="150" t="s">
        <v>175</v>
      </c>
      <c r="F100" s="152" t="s">
        <v>486</v>
      </c>
      <c r="G100" s="152" t="s">
        <v>394</v>
      </c>
      <c r="H100" s="153">
        <v>150000</v>
      </c>
      <c r="I100" s="154"/>
      <c r="J100" s="152">
        <v>4</v>
      </c>
      <c r="K100" s="153">
        <f t="shared" si="4"/>
        <v>37500</v>
      </c>
      <c r="L100" s="152" t="s">
        <v>52</v>
      </c>
      <c r="M100" s="152" t="s">
        <v>345</v>
      </c>
      <c r="N100" s="150" t="s">
        <v>476</v>
      </c>
      <c r="O100" s="162" t="s">
        <v>479</v>
      </c>
      <c r="R100" s="163"/>
      <c r="S100" s="154"/>
      <c r="T100" s="155" t="s">
        <v>556</v>
      </c>
      <c r="U100" s="248" t="s">
        <v>627</v>
      </c>
    </row>
    <row r="101" spans="1:21" hidden="1" x14ac:dyDescent="0.15">
      <c r="A101" s="149">
        <v>100</v>
      </c>
      <c r="B101" s="152" t="s">
        <v>49</v>
      </c>
      <c r="C101" s="254" t="s">
        <v>634</v>
      </c>
      <c r="D101" s="152" t="s">
        <v>635</v>
      </c>
      <c r="E101" s="152" t="s">
        <v>69</v>
      </c>
      <c r="F101" s="152" t="s">
        <v>391</v>
      </c>
      <c r="G101" s="152" t="s">
        <v>449</v>
      </c>
      <c r="H101" s="153">
        <v>80000</v>
      </c>
      <c r="I101" s="154"/>
      <c r="J101" s="152">
        <v>3</v>
      </c>
      <c r="K101" s="153">
        <f t="shared" si="4"/>
        <v>26666.666666666668</v>
      </c>
      <c r="L101" s="150" t="s">
        <v>50</v>
      </c>
      <c r="M101" s="152" t="s">
        <v>342</v>
      </c>
      <c r="N101" s="152" t="s">
        <v>476</v>
      </c>
      <c r="O101" s="161" t="s">
        <v>406</v>
      </c>
      <c r="P101" s="169">
        <v>45677</v>
      </c>
      <c r="R101" s="163"/>
      <c r="S101" s="154"/>
      <c r="T101" s="154"/>
      <c r="U101" s="247"/>
    </row>
    <row r="102" spans="1:21" x14ac:dyDescent="0.15">
      <c r="A102" s="149">
        <v>101</v>
      </c>
      <c r="B102" s="152" t="s">
        <v>49</v>
      </c>
      <c r="C102" s="254" t="s">
        <v>636</v>
      </c>
      <c r="D102" s="152" t="s">
        <v>106</v>
      </c>
      <c r="E102" s="152" t="s">
        <v>107</v>
      </c>
      <c r="F102" s="152" t="s">
        <v>391</v>
      </c>
      <c r="G102" s="152" t="s">
        <v>355</v>
      </c>
      <c r="H102" s="153">
        <v>20000</v>
      </c>
      <c r="I102" s="154"/>
      <c r="J102" s="152">
        <v>1</v>
      </c>
      <c r="K102" s="153">
        <f t="shared" si="4"/>
        <v>20000</v>
      </c>
      <c r="L102" s="152" t="s">
        <v>53</v>
      </c>
      <c r="M102" s="152" t="s">
        <v>345</v>
      </c>
      <c r="N102" s="152" t="s">
        <v>12</v>
      </c>
      <c r="O102" s="161" t="s">
        <v>470</v>
      </c>
      <c r="P102" s="169">
        <v>45685</v>
      </c>
      <c r="Q102" s="151" t="s">
        <v>601</v>
      </c>
      <c r="R102" s="163"/>
      <c r="S102" s="154"/>
      <c r="T102" s="154"/>
      <c r="U102" s="247"/>
    </row>
    <row r="103" spans="1:21" hidden="1" x14ac:dyDescent="0.15">
      <c r="A103" s="149">
        <v>102</v>
      </c>
      <c r="B103" s="152" t="s">
        <v>49</v>
      </c>
      <c r="C103" s="254" t="s">
        <v>637</v>
      </c>
      <c r="D103" s="152" t="s">
        <v>638</v>
      </c>
      <c r="E103" s="152" t="s">
        <v>383</v>
      </c>
      <c r="F103" s="152" t="s">
        <v>486</v>
      </c>
      <c r="G103" s="152" t="s">
        <v>351</v>
      </c>
      <c r="H103" s="153">
        <v>381000</v>
      </c>
      <c r="I103" s="154"/>
      <c r="J103" s="152">
        <v>3</v>
      </c>
      <c r="K103" s="153">
        <f t="shared" si="4"/>
        <v>127000</v>
      </c>
      <c r="L103" s="152" t="s">
        <v>53</v>
      </c>
      <c r="M103" s="152" t="s">
        <v>345</v>
      </c>
      <c r="N103" s="152" t="s">
        <v>12</v>
      </c>
      <c r="O103" s="161" t="s">
        <v>406</v>
      </c>
      <c r="P103" s="169">
        <v>45700</v>
      </c>
      <c r="R103" s="163"/>
      <c r="S103" s="154"/>
      <c r="T103" s="154"/>
      <c r="U103" s="247"/>
    </row>
    <row r="104" spans="1:21" hidden="1" x14ac:dyDescent="0.15">
      <c r="A104" s="149">
        <v>103</v>
      </c>
      <c r="B104" s="152" t="s">
        <v>56</v>
      </c>
      <c r="C104" s="154" t="s">
        <v>639</v>
      </c>
      <c r="D104" s="152" t="s">
        <v>223</v>
      </c>
      <c r="E104" s="152" t="s">
        <v>640</v>
      </c>
      <c r="F104" s="152" t="s">
        <v>392</v>
      </c>
      <c r="G104" s="152" t="s">
        <v>353</v>
      </c>
      <c r="H104" s="153">
        <v>140000</v>
      </c>
      <c r="I104" s="154"/>
      <c r="J104" s="152">
        <v>3</v>
      </c>
      <c r="K104" s="153">
        <f t="shared" si="4"/>
        <v>46666.666666666664</v>
      </c>
      <c r="L104" s="152" t="s">
        <v>52</v>
      </c>
      <c r="M104" s="152" t="s">
        <v>342</v>
      </c>
      <c r="N104" s="152" t="s">
        <v>476</v>
      </c>
      <c r="O104" s="161" t="s">
        <v>406</v>
      </c>
      <c r="P104" s="169">
        <v>45689</v>
      </c>
      <c r="R104" s="163"/>
      <c r="S104" s="154"/>
      <c r="T104" s="154"/>
      <c r="U104" s="247"/>
    </row>
    <row r="105" spans="1:21" hidden="1" x14ac:dyDescent="0.15">
      <c r="A105" s="149">
        <v>104</v>
      </c>
      <c r="B105" s="152" t="s">
        <v>49</v>
      </c>
      <c r="C105" s="154" t="s">
        <v>641</v>
      </c>
      <c r="D105" s="152" t="s">
        <v>642</v>
      </c>
      <c r="E105" s="152" t="s">
        <v>74</v>
      </c>
      <c r="F105" s="152" t="s">
        <v>486</v>
      </c>
      <c r="G105" s="152" t="s">
        <v>351</v>
      </c>
      <c r="H105" s="153">
        <v>638000</v>
      </c>
      <c r="I105" s="154"/>
      <c r="J105" s="152">
        <v>4.5</v>
      </c>
      <c r="K105" s="153">
        <f t="shared" si="4"/>
        <v>141777.77777777778</v>
      </c>
      <c r="L105" s="152" t="s">
        <v>52</v>
      </c>
      <c r="M105" s="152" t="s">
        <v>342</v>
      </c>
      <c r="N105" s="152" t="s">
        <v>343</v>
      </c>
      <c r="O105" s="161" t="s">
        <v>406</v>
      </c>
      <c r="P105" s="169">
        <v>45694</v>
      </c>
      <c r="R105" s="163"/>
      <c r="S105" s="154"/>
      <c r="T105" s="154"/>
      <c r="U105" s="247"/>
    </row>
    <row r="106" spans="1:21" hidden="1" x14ac:dyDescent="0.15">
      <c r="A106" s="149">
        <v>105</v>
      </c>
      <c r="B106" s="152" t="s">
        <v>56</v>
      </c>
      <c r="C106" s="154" t="s">
        <v>643</v>
      </c>
      <c r="D106" s="152" t="s">
        <v>161</v>
      </c>
      <c r="E106" s="152" t="s">
        <v>162</v>
      </c>
      <c r="F106" s="152" t="s">
        <v>486</v>
      </c>
      <c r="G106" s="152" t="s">
        <v>351</v>
      </c>
      <c r="H106" s="153">
        <v>238000</v>
      </c>
      <c r="I106" s="154"/>
      <c r="J106" s="152">
        <v>3</v>
      </c>
      <c r="K106" s="153">
        <f t="shared" si="4"/>
        <v>79333.333333333328</v>
      </c>
      <c r="L106" s="152" t="s">
        <v>50</v>
      </c>
      <c r="M106" s="152" t="s">
        <v>342</v>
      </c>
      <c r="N106" s="152" t="s">
        <v>12</v>
      </c>
      <c r="O106" s="161" t="s">
        <v>356</v>
      </c>
      <c r="P106" s="169">
        <v>45694</v>
      </c>
      <c r="Q106" s="151" t="s">
        <v>601</v>
      </c>
      <c r="R106" s="163"/>
      <c r="S106" s="154"/>
      <c r="T106" s="154"/>
      <c r="U106" s="247"/>
    </row>
    <row r="107" spans="1:21" hidden="1" x14ac:dyDescent="0.15">
      <c r="A107" s="149">
        <v>106</v>
      </c>
      <c r="B107" s="152" t="s">
        <v>49</v>
      </c>
      <c r="C107" s="154" t="s">
        <v>645</v>
      </c>
      <c r="D107" s="152" t="s">
        <v>650</v>
      </c>
      <c r="E107" s="152" t="s">
        <v>644</v>
      </c>
      <c r="F107" s="152" t="s">
        <v>486</v>
      </c>
      <c r="G107" s="152" t="s">
        <v>355</v>
      </c>
      <c r="H107" s="153">
        <v>220000</v>
      </c>
      <c r="I107" s="154"/>
      <c r="J107" s="152">
        <v>1.5</v>
      </c>
      <c r="K107" s="153">
        <f t="shared" si="4"/>
        <v>146666.66666666666</v>
      </c>
      <c r="L107" s="152" t="s">
        <v>52</v>
      </c>
      <c r="M107" s="152" t="s">
        <v>345</v>
      </c>
      <c r="N107" s="152" t="s">
        <v>343</v>
      </c>
      <c r="O107" s="161" t="s">
        <v>356</v>
      </c>
      <c r="P107" s="169">
        <v>45712</v>
      </c>
      <c r="R107" s="163"/>
      <c r="S107" s="154"/>
      <c r="T107" s="154"/>
      <c r="U107" s="247"/>
    </row>
    <row r="108" spans="1:21" hidden="1" x14ac:dyDescent="0.15">
      <c r="A108" s="149">
        <v>107</v>
      </c>
      <c r="B108" s="152" t="s">
        <v>51</v>
      </c>
      <c r="C108" s="154" t="s">
        <v>646</v>
      </c>
      <c r="D108" s="152" t="s">
        <v>217</v>
      </c>
      <c r="E108" s="152" t="s">
        <v>647</v>
      </c>
      <c r="F108" s="152" t="s">
        <v>390</v>
      </c>
      <c r="G108" s="152" t="s">
        <v>346</v>
      </c>
      <c r="H108" s="153">
        <v>950000</v>
      </c>
      <c r="I108" s="154"/>
      <c r="J108" s="152">
        <v>12</v>
      </c>
      <c r="K108" s="153">
        <f t="shared" si="4"/>
        <v>79166.666666666672</v>
      </c>
      <c r="L108" s="150" t="s">
        <v>50</v>
      </c>
      <c r="M108" s="152" t="s">
        <v>347</v>
      </c>
      <c r="N108" s="152" t="s">
        <v>12</v>
      </c>
      <c r="O108" s="161" t="s">
        <v>406</v>
      </c>
      <c r="P108" s="169">
        <v>45707</v>
      </c>
      <c r="R108" s="163"/>
      <c r="S108" s="154"/>
      <c r="T108" s="154"/>
      <c r="U108" s="247"/>
    </row>
    <row r="109" spans="1:21" hidden="1" x14ac:dyDescent="0.15">
      <c r="A109" s="149">
        <v>108</v>
      </c>
      <c r="B109" s="152" t="s">
        <v>49</v>
      </c>
      <c r="C109" s="154" t="s">
        <v>648</v>
      </c>
      <c r="D109" s="152" t="s">
        <v>97</v>
      </c>
      <c r="E109" s="152" t="s">
        <v>98</v>
      </c>
      <c r="F109" s="152" t="s">
        <v>390</v>
      </c>
      <c r="G109" s="152" t="s">
        <v>355</v>
      </c>
      <c r="H109" s="153">
        <v>150000</v>
      </c>
      <c r="I109" s="154"/>
      <c r="J109" s="152" t="s">
        <v>57</v>
      </c>
      <c r="K109" s="153">
        <f t="shared" si="4"/>
        <v>0</v>
      </c>
      <c r="L109" s="150" t="s">
        <v>50</v>
      </c>
      <c r="M109" s="152" t="s">
        <v>345</v>
      </c>
      <c r="N109" s="152" t="s">
        <v>12</v>
      </c>
      <c r="O109" s="161" t="s">
        <v>406</v>
      </c>
      <c r="P109" s="169">
        <v>45709</v>
      </c>
      <c r="R109" s="163"/>
      <c r="S109" s="154"/>
      <c r="T109" s="154"/>
      <c r="U109" s="247"/>
    </row>
    <row r="110" spans="1:21" x14ac:dyDescent="0.15">
      <c r="A110" s="149">
        <v>109</v>
      </c>
      <c r="B110" s="152" t="s">
        <v>49</v>
      </c>
      <c r="C110" s="154" t="s">
        <v>651</v>
      </c>
      <c r="D110" s="152" t="s">
        <v>81</v>
      </c>
      <c r="E110" s="152" t="s">
        <v>94</v>
      </c>
      <c r="F110" s="152" t="s">
        <v>390</v>
      </c>
      <c r="G110" s="152" t="s">
        <v>348</v>
      </c>
      <c r="H110" s="153">
        <v>15000</v>
      </c>
      <c r="I110" s="154"/>
      <c r="J110" s="152">
        <v>0.5</v>
      </c>
      <c r="K110" s="153">
        <f t="shared" si="4"/>
        <v>30000</v>
      </c>
      <c r="L110" s="150" t="s">
        <v>50</v>
      </c>
      <c r="M110" s="152" t="s">
        <v>345</v>
      </c>
      <c r="N110" s="152" t="s">
        <v>12</v>
      </c>
      <c r="O110" s="161" t="s">
        <v>481</v>
      </c>
      <c r="P110" s="169">
        <v>45694</v>
      </c>
      <c r="Q110" s="151" t="s">
        <v>601</v>
      </c>
      <c r="R110" s="163"/>
      <c r="S110" s="154"/>
      <c r="T110" s="154"/>
      <c r="U110" s="247"/>
    </row>
    <row r="111" spans="1:21" hidden="1" x14ac:dyDescent="0.15">
      <c r="A111" s="149">
        <v>110</v>
      </c>
      <c r="B111" s="152" t="s">
        <v>49</v>
      </c>
      <c r="C111" s="154" t="s">
        <v>652</v>
      </c>
      <c r="D111" s="152" t="s">
        <v>73</v>
      </c>
      <c r="E111" s="152"/>
      <c r="F111" s="152" t="s">
        <v>392</v>
      </c>
      <c r="G111" s="152" t="s">
        <v>353</v>
      </c>
      <c r="H111" s="153">
        <v>80000</v>
      </c>
      <c r="I111" s="154"/>
      <c r="J111" s="152">
        <v>2</v>
      </c>
      <c r="K111" s="153">
        <f t="shared" si="4"/>
        <v>40000</v>
      </c>
      <c r="L111" s="150" t="s">
        <v>50</v>
      </c>
      <c r="M111" s="152" t="s">
        <v>347</v>
      </c>
      <c r="N111" s="152" t="s">
        <v>343</v>
      </c>
      <c r="O111" s="161" t="s">
        <v>475</v>
      </c>
      <c r="R111" s="163"/>
      <c r="S111" s="154"/>
      <c r="T111" s="154"/>
      <c r="U111" s="247"/>
    </row>
    <row r="112" spans="1:21" x14ac:dyDescent="0.15">
      <c r="A112" s="149">
        <v>111</v>
      </c>
      <c r="B112" s="152" t="s">
        <v>56</v>
      </c>
      <c r="C112" s="154" t="s">
        <v>660</v>
      </c>
      <c r="D112" s="152" t="s">
        <v>161</v>
      </c>
      <c r="E112" s="152" t="s">
        <v>162</v>
      </c>
      <c r="F112" s="152" t="s">
        <v>486</v>
      </c>
      <c r="G112" s="152" t="s">
        <v>351</v>
      </c>
      <c r="H112" s="153">
        <v>20000</v>
      </c>
      <c r="I112" s="154"/>
      <c r="J112" s="152">
        <v>0.5</v>
      </c>
      <c r="K112" s="153">
        <f t="shared" si="4"/>
        <v>40000</v>
      </c>
      <c r="L112" s="150" t="s">
        <v>50</v>
      </c>
      <c r="M112" s="152" t="s">
        <v>342</v>
      </c>
      <c r="N112" s="152" t="s">
        <v>12</v>
      </c>
      <c r="O112" s="161" t="s">
        <v>481</v>
      </c>
      <c r="P112" s="169">
        <v>45712</v>
      </c>
      <c r="Q112" s="169">
        <v>45721</v>
      </c>
      <c r="R112" s="163"/>
      <c r="S112" s="154"/>
      <c r="T112" s="154"/>
      <c r="U112" s="247"/>
    </row>
    <row r="113" spans="1:21" hidden="1" x14ac:dyDescent="0.15">
      <c r="A113" s="149">
        <v>112</v>
      </c>
      <c r="B113" s="152" t="s">
        <v>51</v>
      </c>
      <c r="C113" s="154" t="s">
        <v>662</v>
      </c>
      <c r="D113" s="152" t="s">
        <v>202</v>
      </c>
      <c r="E113" s="152" t="s">
        <v>205</v>
      </c>
      <c r="F113" s="152" t="s">
        <v>393</v>
      </c>
      <c r="G113" s="152" t="s">
        <v>346</v>
      </c>
      <c r="H113" s="153">
        <v>84000</v>
      </c>
      <c r="I113" s="154"/>
      <c r="J113" s="152">
        <v>3</v>
      </c>
      <c r="K113" s="153">
        <f t="shared" si="4"/>
        <v>28000</v>
      </c>
      <c r="L113" s="150" t="s">
        <v>50</v>
      </c>
      <c r="M113" s="152" t="s">
        <v>345</v>
      </c>
      <c r="N113" s="152" t="s">
        <v>12</v>
      </c>
      <c r="O113" s="161" t="s">
        <v>406</v>
      </c>
      <c r="P113" s="169">
        <v>45721</v>
      </c>
      <c r="R113" s="163"/>
      <c r="S113" s="154"/>
      <c r="T113" s="154"/>
      <c r="U113" s="247"/>
    </row>
    <row r="114" spans="1:21" hidden="1" x14ac:dyDescent="0.15">
      <c r="A114" s="149">
        <v>113</v>
      </c>
      <c r="B114" s="152" t="s">
        <v>51</v>
      </c>
      <c r="C114" s="154" t="s">
        <v>663</v>
      </c>
      <c r="D114" s="152" t="s">
        <v>226</v>
      </c>
      <c r="E114" s="152"/>
      <c r="F114" s="152" t="s">
        <v>391</v>
      </c>
      <c r="G114" s="152" t="s">
        <v>346</v>
      </c>
      <c r="H114" s="153">
        <v>118000</v>
      </c>
      <c r="I114" s="154"/>
      <c r="J114" s="152">
        <v>3</v>
      </c>
      <c r="K114" s="153">
        <f t="shared" si="4"/>
        <v>39333.333333333336</v>
      </c>
      <c r="L114" s="152" t="s">
        <v>53</v>
      </c>
      <c r="M114" s="152" t="s">
        <v>345</v>
      </c>
      <c r="N114" s="152" t="s">
        <v>476</v>
      </c>
      <c r="O114" s="161" t="s">
        <v>406</v>
      </c>
      <c r="P114" s="169">
        <v>45723</v>
      </c>
      <c r="R114" s="163"/>
      <c r="S114" s="154"/>
      <c r="T114" s="154"/>
      <c r="U114" s="247"/>
    </row>
    <row r="115" spans="1:21" x14ac:dyDescent="0.15">
      <c r="A115" s="149">
        <v>114</v>
      </c>
      <c r="B115" s="152" t="s">
        <v>49</v>
      </c>
      <c r="C115" s="154" t="s">
        <v>665</v>
      </c>
      <c r="D115" s="152" t="s">
        <v>106</v>
      </c>
      <c r="E115" s="152" t="s">
        <v>107</v>
      </c>
      <c r="F115" s="152" t="s">
        <v>486</v>
      </c>
      <c r="G115" s="152" t="s">
        <v>341</v>
      </c>
      <c r="H115" s="153">
        <v>200000</v>
      </c>
      <c r="I115" s="154"/>
      <c r="J115" s="152">
        <v>3</v>
      </c>
      <c r="K115" s="153">
        <f t="shared" si="4"/>
        <v>66666.666666666672</v>
      </c>
      <c r="L115" s="152" t="s">
        <v>53</v>
      </c>
      <c r="M115" s="152" t="s">
        <v>342</v>
      </c>
      <c r="N115" s="152" t="s">
        <v>476</v>
      </c>
      <c r="O115" s="161" t="s">
        <v>470</v>
      </c>
      <c r="P115" s="169">
        <v>45712</v>
      </c>
      <c r="Q115" s="169">
        <v>45731</v>
      </c>
      <c r="R115" s="163"/>
      <c r="S115" s="154"/>
      <c r="T115" s="154"/>
      <c r="U115" s="247"/>
    </row>
    <row r="116" spans="1:21" hidden="1" x14ac:dyDescent="0.15">
      <c r="A116" s="149">
        <v>115</v>
      </c>
      <c r="B116" s="152" t="s">
        <v>56</v>
      </c>
      <c r="C116" s="154" t="s">
        <v>675</v>
      </c>
      <c r="D116" s="152" t="s">
        <v>667</v>
      </c>
      <c r="E116" s="152" t="s">
        <v>159</v>
      </c>
      <c r="F116" s="152" t="s">
        <v>392</v>
      </c>
      <c r="G116" s="152" t="s">
        <v>353</v>
      </c>
      <c r="H116" s="153">
        <v>38000</v>
      </c>
      <c r="I116" s="154"/>
      <c r="J116" s="152">
        <v>1</v>
      </c>
      <c r="K116" s="153">
        <f t="shared" si="4"/>
        <v>38000</v>
      </c>
      <c r="L116" s="152" t="s">
        <v>52</v>
      </c>
      <c r="M116" s="152" t="s">
        <v>345</v>
      </c>
      <c r="N116" s="152" t="s">
        <v>476</v>
      </c>
      <c r="O116" s="161" t="s">
        <v>406</v>
      </c>
      <c r="P116" s="169">
        <v>45723</v>
      </c>
      <c r="R116" s="163"/>
      <c r="S116" s="154"/>
      <c r="T116" s="154"/>
      <c r="U116" s="247"/>
    </row>
    <row r="117" spans="1:21" hidden="1" x14ac:dyDescent="0.15">
      <c r="A117" s="149">
        <v>116</v>
      </c>
      <c r="B117" s="152" t="s">
        <v>51</v>
      </c>
      <c r="C117" s="154" t="s">
        <v>670</v>
      </c>
      <c r="D117" s="152" t="s">
        <v>671</v>
      </c>
      <c r="E117" s="152" t="s">
        <v>672</v>
      </c>
      <c r="F117" s="152" t="s">
        <v>486</v>
      </c>
      <c r="G117" s="152" t="s">
        <v>346</v>
      </c>
      <c r="H117" s="153">
        <v>550000</v>
      </c>
      <c r="I117" s="154"/>
      <c r="J117" s="152">
        <v>6</v>
      </c>
      <c r="K117" s="153">
        <f t="shared" si="4"/>
        <v>91666.666666666672</v>
      </c>
      <c r="L117" s="152" t="s">
        <v>53</v>
      </c>
      <c r="M117" s="152" t="s">
        <v>347</v>
      </c>
      <c r="N117" s="152" t="s">
        <v>476</v>
      </c>
      <c r="O117" s="161" t="s">
        <v>475</v>
      </c>
      <c r="R117" s="163"/>
      <c r="S117" s="154"/>
      <c r="T117" s="154"/>
      <c r="U117" s="247"/>
    </row>
    <row r="118" spans="1:21" hidden="1" x14ac:dyDescent="0.15">
      <c r="A118" s="149">
        <v>117</v>
      </c>
      <c r="B118" s="152" t="s">
        <v>49</v>
      </c>
      <c r="C118" s="154" t="s">
        <v>673</v>
      </c>
      <c r="D118" s="152" t="s">
        <v>106</v>
      </c>
      <c r="E118" s="152" t="s">
        <v>383</v>
      </c>
      <c r="F118" s="152" t="s">
        <v>486</v>
      </c>
      <c r="G118" s="152" t="s">
        <v>351</v>
      </c>
      <c r="H118" s="153">
        <v>200000</v>
      </c>
      <c r="I118" s="154"/>
      <c r="J118" s="152">
        <v>3</v>
      </c>
      <c r="K118" s="153">
        <f t="shared" si="4"/>
        <v>66666.666666666672</v>
      </c>
      <c r="L118" s="152" t="s">
        <v>53</v>
      </c>
      <c r="M118" s="152" t="s">
        <v>345</v>
      </c>
      <c r="N118" s="152" t="s">
        <v>12</v>
      </c>
      <c r="O118" s="161" t="s">
        <v>479</v>
      </c>
      <c r="R118" s="163"/>
      <c r="S118" s="154"/>
      <c r="T118" s="154"/>
      <c r="U118" s="247"/>
    </row>
    <row r="119" spans="1:21" hidden="1" x14ac:dyDescent="0.15">
      <c r="A119" s="149">
        <v>118</v>
      </c>
      <c r="B119" s="152" t="s">
        <v>51</v>
      </c>
      <c r="C119" s="154" t="s">
        <v>674</v>
      </c>
      <c r="D119" s="152" t="s">
        <v>202</v>
      </c>
      <c r="E119" s="152" t="s">
        <v>205</v>
      </c>
      <c r="F119" s="152" t="s">
        <v>392</v>
      </c>
      <c r="G119" s="152" t="s">
        <v>353</v>
      </c>
      <c r="H119" s="153">
        <v>60000</v>
      </c>
      <c r="I119" s="154"/>
      <c r="J119" s="152">
        <v>2</v>
      </c>
      <c r="K119" s="153">
        <f t="shared" si="4"/>
        <v>30000</v>
      </c>
      <c r="L119" s="152" t="s">
        <v>50</v>
      </c>
      <c r="M119" s="152" t="s">
        <v>345</v>
      </c>
      <c r="N119" s="152" t="s">
        <v>12</v>
      </c>
      <c r="O119" s="161" t="s">
        <v>475</v>
      </c>
      <c r="R119" s="163"/>
      <c r="S119" s="154"/>
      <c r="T119" s="154"/>
      <c r="U119" s="247"/>
    </row>
    <row r="120" spans="1:21" x14ac:dyDescent="0.15">
      <c r="A120" s="149">
        <v>119</v>
      </c>
      <c r="B120" s="152" t="s">
        <v>49</v>
      </c>
      <c r="C120" s="154" t="s">
        <v>676</v>
      </c>
      <c r="D120" s="152" t="s">
        <v>106</v>
      </c>
      <c r="E120" s="152" t="s">
        <v>383</v>
      </c>
      <c r="F120" s="152" t="s">
        <v>486</v>
      </c>
      <c r="G120" s="152" t="s">
        <v>351</v>
      </c>
      <c r="H120" s="153">
        <v>30000</v>
      </c>
      <c r="I120" s="154"/>
      <c r="J120" s="152">
        <v>0.5</v>
      </c>
      <c r="K120" s="153">
        <f t="shared" si="4"/>
        <v>60000</v>
      </c>
      <c r="L120" s="152" t="s">
        <v>53</v>
      </c>
      <c r="M120" s="152" t="s">
        <v>345</v>
      </c>
      <c r="N120" s="152" t="s">
        <v>12</v>
      </c>
      <c r="O120" s="161" t="s">
        <v>481</v>
      </c>
      <c r="P120" s="169">
        <v>45726</v>
      </c>
      <c r="Q120" s="169">
        <v>45726</v>
      </c>
      <c r="R120" s="163"/>
      <c r="S120" s="154"/>
      <c r="T120" s="154"/>
      <c r="U120" s="247"/>
    </row>
    <row r="121" spans="1:21" hidden="1" x14ac:dyDescent="0.15">
      <c r="A121" s="149">
        <v>120</v>
      </c>
      <c r="B121" s="152" t="s">
        <v>51</v>
      </c>
      <c r="C121" s="154" t="s">
        <v>700</v>
      </c>
      <c r="D121" s="152" t="s">
        <v>701</v>
      </c>
      <c r="E121" s="152" t="s">
        <v>702</v>
      </c>
      <c r="F121" s="152" t="s">
        <v>486</v>
      </c>
      <c r="G121" s="152" t="s">
        <v>351</v>
      </c>
      <c r="H121" s="153">
        <v>450000</v>
      </c>
      <c r="I121" s="154"/>
      <c r="J121" s="152">
        <v>5</v>
      </c>
      <c r="K121" s="153">
        <f>IFERROR(H121/J121,0)</f>
        <v>90000</v>
      </c>
      <c r="L121" s="152" t="s">
        <v>52</v>
      </c>
      <c r="M121" s="152" t="s">
        <v>345</v>
      </c>
      <c r="N121" s="152" t="s">
        <v>343</v>
      </c>
      <c r="O121" s="161" t="s">
        <v>475</v>
      </c>
      <c r="R121" s="163"/>
      <c r="S121" s="154"/>
      <c r="T121" s="154"/>
      <c r="U121" s="247"/>
    </row>
    <row r="122" spans="1:21" x14ac:dyDescent="0.15">
      <c r="A122" s="149"/>
      <c r="B122" s="152"/>
      <c r="C122" s="154"/>
      <c r="D122" s="152"/>
      <c r="E122" s="152"/>
      <c r="F122" s="152"/>
      <c r="G122" s="152"/>
      <c r="H122" s="154"/>
      <c r="I122" s="154"/>
      <c r="J122" s="152"/>
      <c r="K122" s="153"/>
      <c r="L122" s="152"/>
      <c r="M122" s="152"/>
      <c r="N122" s="152"/>
      <c r="O122" s="161"/>
      <c r="R122" s="163"/>
      <c r="S122" s="154"/>
      <c r="T122" s="154"/>
      <c r="U122" s="247"/>
    </row>
    <row r="123" spans="1:21" x14ac:dyDescent="0.15">
      <c r="A123" s="149"/>
      <c r="B123" s="152"/>
      <c r="C123" s="154"/>
      <c r="D123" s="152"/>
      <c r="E123" s="152"/>
      <c r="F123" s="152"/>
      <c r="G123" s="152"/>
      <c r="H123" s="154"/>
      <c r="I123" s="154"/>
      <c r="J123" s="152"/>
      <c r="K123" s="153"/>
      <c r="L123" s="152"/>
      <c r="M123" s="152"/>
      <c r="N123" s="152"/>
      <c r="O123" s="161"/>
      <c r="R123" s="163"/>
      <c r="S123" s="154"/>
      <c r="T123" s="154"/>
      <c r="U123" s="247"/>
    </row>
    <row r="124" spans="1:21" x14ac:dyDescent="0.15">
      <c r="A124" s="149"/>
      <c r="B124" s="152"/>
      <c r="C124" s="154"/>
      <c r="D124" s="152"/>
      <c r="E124" s="152"/>
      <c r="F124" s="152"/>
      <c r="G124" s="152"/>
      <c r="H124" s="154"/>
      <c r="I124" s="154"/>
      <c r="J124" s="152"/>
      <c r="K124" s="153"/>
      <c r="L124" s="152"/>
      <c r="M124" s="152"/>
      <c r="N124" s="152"/>
      <c r="O124" s="161"/>
      <c r="R124" s="163"/>
      <c r="S124" s="154"/>
      <c r="T124" s="154"/>
      <c r="U124" s="247"/>
    </row>
    <row r="125" spans="1:21" x14ac:dyDescent="0.15">
      <c r="A125" s="149"/>
      <c r="B125" s="152"/>
      <c r="C125" s="154"/>
      <c r="D125" s="152"/>
      <c r="E125" s="152"/>
      <c r="F125" s="152"/>
      <c r="G125" s="152"/>
      <c r="H125" s="154"/>
      <c r="I125" s="154"/>
      <c r="J125" s="152"/>
      <c r="K125" s="153"/>
      <c r="L125" s="152"/>
      <c r="M125" s="152"/>
      <c r="N125" s="152"/>
      <c r="O125" s="161"/>
      <c r="R125" s="163"/>
      <c r="S125" s="154"/>
      <c r="T125" s="154"/>
      <c r="U125" s="247"/>
    </row>
    <row r="126" spans="1:21" x14ac:dyDescent="0.15">
      <c r="A126" s="149"/>
      <c r="B126" s="152"/>
      <c r="C126" s="154"/>
      <c r="D126" s="152"/>
      <c r="E126" s="152"/>
      <c r="F126" s="152"/>
      <c r="G126" s="152"/>
      <c r="H126" s="154"/>
      <c r="I126" s="154"/>
      <c r="J126" s="152"/>
      <c r="K126" s="153"/>
      <c r="L126" s="152"/>
      <c r="M126" s="152"/>
      <c r="N126" s="152"/>
      <c r="O126" s="161"/>
      <c r="R126" s="163"/>
      <c r="S126" s="154"/>
      <c r="T126" s="154"/>
      <c r="U126" s="247"/>
    </row>
    <row r="127" spans="1:21" x14ac:dyDescent="0.15">
      <c r="A127" s="149"/>
      <c r="B127" s="152"/>
      <c r="C127" s="154"/>
      <c r="D127" s="152"/>
      <c r="E127" s="152"/>
      <c r="F127" s="152"/>
      <c r="G127" s="152"/>
      <c r="H127" s="154"/>
      <c r="I127" s="154"/>
      <c r="J127" s="152"/>
      <c r="K127" s="153"/>
      <c r="L127" s="152"/>
      <c r="M127" s="152"/>
      <c r="N127" s="152"/>
      <c r="O127" s="161"/>
      <c r="R127" s="163"/>
      <c r="S127" s="154"/>
      <c r="T127" s="154"/>
      <c r="U127" s="247"/>
    </row>
    <row r="128" spans="1:21" x14ac:dyDescent="0.15">
      <c r="A128" s="149"/>
      <c r="B128" s="152"/>
      <c r="C128" s="154"/>
      <c r="D128" s="152"/>
      <c r="E128" s="152"/>
      <c r="F128" s="152"/>
      <c r="G128" s="152"/>
      <c r="H128" s="154"/>
      <c r="I128" s="154"/>
      <c r="J128" s="152"/>
      <c r="K128" s="153"/>
      <c r="L128" s="152"/>
      <c r="M128" s="152"/>
      <c r="N128" s="152"/>
      <c r="O128" s="161"/>
      <c r="R128" s="163"/>
      <c r="S128" s="154"/>
      <c r="T128" s="154"/>
      <c r="U128" s="247"/>
    </row>
    <row r="129" spans="1:21" x14ac:dyDescent="0.15">
      <c r="A129" s="149"/>
      <c r="B129" s="152"/>
      <c r="C129" s="154"/>
      <c r="D129" s="152"/>
      <c r="E129" s="152"/>
      <c r="F129" s="152"/>
      <c r="G129" s="152"/>
      <c r="H129" s="154"/>
      <c r="I129" s="154"/>
      <c r="J129" s="152"/>
      <c r="K129" s="153"/>
      <c r="L129" s="152"/>
      <c r="M129" s="152"/>
      <c r="N129" s="152"/>
      <c r="O129" s="161"/>
      <c r="R129" s="163"/>
      <c r="S129" s="154"/>
      <c r="T129" s="154"/>
      <c r="U129" s="247"/>
    </row>
    <row r="130" spans="1:21" x14ac:dyDescent="0.15">
      <c r="A130" s="149"/>
      <c r="B130" s="152"/>
      <c r="C130" s="154"/>
      <c r="D130" s="152"/>
      <c r="E130" s="152"/>
      <c r="F130" s="152"/>
      <c r="G130" s="152"/>
      <c r="H130" s="154"/>
      <c r="I130" s="154"/>
      <c r="J130" s="152"/>
      <c r="K130" s="153"/>
      <c r="L130" s="152"/>
      <c r="M130" s="152"/>
      <c r="N130" s="152"/>
      <c r="O130" s="161"/>
      <c r="R130" s="163"/>
      <c r="S130" s="154"/>
      <c r="T130" s="154"/>
      <c r="U130" s="247"/>
    </row>
    <row r="131" spans="1:21" x14ac:dyDescent="0.15">
      <c r="A131" s="149"/>
      <c r="B131" s="152"/>
      <c r="C131" s="154"/>
      <c r="D131" s="152"/>
      <c r="E131" s="152"/>
      <c r="F131" s="152"/>
      <c r="G131" s="152"/>
      <c r="H131" s="154"/>
      <c r="I131" s="154"/>
      <c r="J131" s="152"/>
      <c r="K131" s="153"/>
      <c r="L131" s="152"/>
      <c r="M131" s="152"/>
      <c r="N131" s="152"/>
      <c r="O131" s="161"/>
      <c r="R131" s="163"/>
      <c r="S131" s="154"/>
      <c r="T131" s="154"/>
      <c r="U131" s="247"/>
    </row>
    <row r="132" spans="1:21" x14ac:dyDescent="0.15">
      <c r="A132" s="149"/>
      <c r="B132" s="152"/>
      <c r="C132" s="154"/>
      <c r="D132" s="152"/>
      <c r="E132" s="152"/>
      <c r="F132" s="152"/>
      <c r="G132" s="152"/>
      <c r="H132" s="154"/>
      <c r="I132" s="154"/>
      <c r="J132" s="152"/>
      <c r="K132" s="153"/>
      <c r="L132" s="152"/>
      <c r="M132" s="152"/>
      <c r="N132" s="152"/>
      <c r="O132" s="161"/>
      <c r="R132" s="163"/>
      <c r="S132" s="154"/>
      <c r="T132" s="154"/>
      <c r="U132" s="247"/>
    </row>
    <row r="133" spans="1:21" x14ac:dyDescent="0.15">
      <c r="A133" s="149"/>
      <c r="B133" s="152"/>
      <c r="C133" s="154"/>
      <c r="D133" s="152"/>
      <c r="E133" s="152"/>
      <c r="F133" s="152"/>
      <c r="G133" s="152"/>
      <c r="H133" s="154"/>
      <c r="I133" s="154"/>
      <c r="J133" s="152"/>
      <c r="K133" s="153"/>
      <c r="L133" s="152"/>
      <c r="M133" s="152"/>
      <c r="N133" s="152"/>
      <c r="O133" s="161"/>
      <c r="R133" s="163"/>
      <c r="S133" s="154"/>
      <c r="T133" s="154"/>
      <c r="U133" s="247"/>
    </row>
    <row r="134" spans="1:21" x14ac:dyDescent="0.15">
      <c r="A134" s="149"/>
      <c r="B134" s="152"/>
      <c r="C134" s="154"/>
      <c r="D134" s="152"/>
      <c r="E134" s="152"/>
      <c r="F134" s="152"/>
      <c r="G134" s="152"/>
      <c r="H134" s="154"/>
      <c r="I134" s="154"/>
      <c r="J134" s="152"/>
      <c r="K134" s="153"/>
      <c r="L134" s="152"/>
      <c r="M134" s="152"/>
      <c r="N134" s="152"/>
      <c r="O134" s="161"/>
      <c r="R134" s="163"/>
      <c r="S134" s="154"/>
      <c r="T134" s="154"/>
      <c r="U134" s="247"/>
    </row>
    <row r="135" spans="1:21" x14ac:dyDescent="0.15">
      <c r="A135" s="149"/>
      <c r="B135" s="152"/>
      <c r="C135" s="154"/>
      <c r="D135" s="152"/>
      <c r="E135" s="152"/>
      <c r="F135" s="152"/>
      <c r="G135" s="152"/>
      <c r="H135" s="154"/>
      <c r="I135" s="154"/>
      <c r="J135" s="152"/>
      <c r="K135" s="153"/>
      <c r="L135" s="152"/>
      <c r="M135" s="152"/>
      <c r="N135" s="152"/>
      <c r="O135" s="161"/>
      <c r="R135" s="163"/>
      <c r="S135" s="154"/>
      <c r="T135" s="154"/>
      <c r="U135" s="247"/>
    </row>
    <row r="136" spans="1:21" x14ac:dyDescent="0.15">
      <c r="A136" s="149"/>
      <c r="B136" s="152"/>
      <c r="C136" s="154"/>
      <c r="D136" s="152"/>
      <c r="E136" s="152"/>
      <c r="F136" s="152"/>
      <c r="G136" s="152"/>
      <c r="H136" s="154"/>
      <c r="I136" s="154"/>
      <c r="J136" s="152"/>
      <c r="K136" s="153"/>
      <c r="L136" s="152"/>
      <c r="M136" s="152"/>
      <c r="N136" s="152"/>
      <c r="O136" s="161"/>
      <c r="R136" s="163"/>
      <c r="S136" s="154"/>
      <c r="T136" s="154"/>
      <c r="U136" s="247"/>
    </row>
    <row r="137" spans="1:21" x14ac:dyDescent="0.15">
      <c r="A137" s="149"/>
      <c r="B137" s="152"/>
      <c r="C137" s="154"/>
      <c r="D137" s="152"/>
      <c r="E137" s="152"/>
      <c r="F137" s="152"/>
      <c r="G137" s="152"/>
      <c r="H137" s="154"/>
      <c r="I137" s="154"/>
      <c r="J137" s="152"/>
      <c r="K137" s="153"/>
      <c r="L137" s="152"/>
      <c r="M137" s="152"/>
      <c r="N137" s="152"/>
      <c r="O137" s="161"/>
      <c r="R137" s="163"/>
      <c r="S137" s="154"/>
      <c r="T137" s="154"/>
      <c r="U137" s="247"/>
    </row>
    <row r="138" spans="1:21" x14ac:dyDescent="0.15">
      <c r="A138" s="149"/>
      <c r="B138" s="152"/>
      <c r="C138" s="154"/>
      <c r="D138" s="152"/>
      <c r="E138" s="152"/>
      <c r="F138" s="152"/>
      <c r="G138" s="152"/>
      <c r="H138" s="154"/>
      <c r="I138" s="154"/>
      <c r="J138" s="152"/>
      <c r="K138" s="153"/>
      <c r="L138" s="152"/>
      <c r="M138" s="152"/>
      <c r="N138" s="152"/>
      <c r="O138" s="161"/>
      <c r="R138" s="163"/>
      <c r="S138" s="154"/>
      <c r="T138" s="154"/>
      <c r="U138" s="247"/>
    </row>
    <row r="139" spans="1:21" x14ac:dyDescent="0.15">
      <c r="A139" s="149"/>
      <c r="B139" s="152"/>
      <c r="C139" s="154"/>
      <c r="D139" s="152"/>
      <c r="E139" s="152"/>
      <c r="F139" s="152"/>
      <c r="G139" s="152"/>
      <c r="H139" s="154"/>
      <c r="I139" s="154"/>
      <c r="J139" s="152"/>
      <c r="K139" s="153"/>
      <c r="L139" s="152"/>
      <c r="M139" s="152"/>
      <c r="N139" s="152"/>
      <c r="O139" s="161"/>
      <c r="R139" s="163"/>
      <c r="S139" s="154"/>
      <c r="T139" s="154"/>
      <c r="U139" s="247"/>
    </row>
    <row r="140" spans="1:21" x14ac:dyDescent="0.15">
      <c r="A140" s="149"/>
      <c r="B140" s="152"/>
      <c r="C140" s="154"/>
      <c r="D140" s="152"/>
      <c r="E140" s="152"/>
      <c r="F140" s="152"/>
      <c r="G140" s="152"/>
      <c r="H140" s="154"/>
      <c r="I140" s="154"/>
      <c r="J140" s="152"/>
      <c r="K140" s="153"/>
      <c r="L140" s="152"/>
      <c r="M140" s="152"/>
      <c r="N140" s="152"/>
      <c r="O140" s="161"/>
      <c r="R140" s="163"/>
      <c r="S140" s="154"/>
      <c r="T140" s="154"/>
      <c r="U140" s="247"/>
    </row>
    <row r="141" spans="1:21" x14ac:dyDescent="0.15">
      <c r="A141" s="149"/>
      <c r="B141" s="152"/>
      <c r="C141" s="154"/>
      <c r="D141" s="152"/>
      <c r="E141" s="152"/>
      <c r="F141" s="152"/>
      <c r="G141" s="152"/>
      <c r="H141" s="154"/>
      <c r="I141" s="154"/>
      <c r="J141" s="152"/>
      <c r="K141" s="153"/>
      <c r="L141" s="152"/>
      <c r="M141" s="152"/>
      <c r="N141" s="152"/>
      <c r="O141" s="161"/>
      <c r="R141" s="163"/>
      <c r="S141" s="154"/>
      <c r="T141" s="154"/>
      <c r="U141" s="247"/>
    </row>
    <row r="142" spans="1:21" x14ac:dyDescent="0.15">
      <c r="A142" s="149"/>
      <c r="B142" s="152"/>
      <c r="C142" s="154"/>
      <c r="D142" s="152"/>
      <c r="E142" s="152"/>
      <c r="F142" s="152"/>
      <c r="G142" s="152"/>
      <c r="H142" s="154"/>
      <c r="I142" s="154"/>
      <c r="J142" s="152"/>
      <c r="K142" s="153"/>
      <c r="L142" s="152"/>
      <c r="M142" s="152"/>
      <c r="N142" s="152"/>
      <c r="O142" s="161"/>
      <c r="R142" s="163"/>
      <c r="S142" s="154"/>
      <c r="T142" s="154"/>
      <c r="U142" s="247"/>
    </row>
    <row r="143" spans="1:21" x14ac:dyDescent="0.15">
      <c r="A143" s="149"/>
      <c r="B143" s="152"/>
      <c r="C143" s="154"/>
      <c r="D143" s="152"/>
      <c r="E143" s="152"/>
      <c r="F143" s="152"/>
      <c r="G143" s="152"/>
      <c r="H143" s="154"/>
      <c r="I143" s="154"/>
      <c r="J143" s="152"/>
      <c r="K143" s="153"/>
      <c r="L143" s="152"/>
      <c r="M143" s="152"/>
      <c r="N143" s="152"/>
      <c r="O143" s="161"/>
      <c r="R143" s="163"/>
      <c r="S143" s="154"/>
      <c r="T143" s="154"/>
      <c r="U143" s="247"/>
    </row>
    <row r="144" spans="1:21" x14ac:dyDescent="0.15">
      <c r="A144" s="149"/>
      <c r="B144" s="152"/>
      <c r="C144" s="154"/>
      <c r="D144" s="152"/>
      <c r="E144" s="152"/>
      <c r="F144" s="152"/>
      <c r="G144" s="152"/>
      <c r="H144" s="154"/>
      <c r="I144" s="154"/>
      <c r="J144" s="152"/>
      <c r="K144" s="153"/>
      <c r="L144" s="152"/>
      <c r="M144" s="152"/>
      <c r="N144" s="152"/>
      <c r="O144" s="161"/>
      <c r="R144" s="163"/>
      <c r="S144" s="154"/>
      <c r="T144" s="154"/>
      <c r="U144" s="247"/>
    </row>
    <row r="145" spans="1:21" x14ac:dyDescent="0.15">
      <c r="A145" s="149"/>
      <c r="B145" s="152"/>
      <c r="C145" s="154"/>
      <c r="D145" s="152"/>
      <c r="E145" s="152"/>
      <c r="F145" s="152"/>
      <c r="G145" s="152"/>
      <c r="H145" s="154"/>
      <c r="I145" s="154"/>
      <c r="J145" s="152"/>
      <c r="K145" s="153"/>
      <c r="L145" s="152"/>
      <c r="M145" s="152"/>
      <c r="N145" s="152"/>
      <c r="O145" s="161"/>
      <c r="R145" s="163"/>
      <c r="S145" s="154"/>
      <c r="T145" s="154"/>
      <c r="U145" s="247"/>
    </row>
    <row r="146" spans="1:21" x14ac:dyDescent="0.15">
      <c r="A146" s="149"/>
      <c r="B146" s="152"/>
      <c r="C146" s="154"/>
      <c r="D146" s="152"/>
      <c r="E146" s="152"/>
      <c r="F146" s="152"/>
      <c r="G146" s="152"/>
      <c r="H146" s="154"/>
      <c r="I146" s="154"/>
      <c r="J146" s="152"/>
      <c r="K146" s="153"/>
      <c r="L146" s="152"/>
      <c r="M146" s="152"/>
      <c r="N146" s="152"/>
      <c r="O146" s="161"/>
      <c r="R146" s="163"/>
      <c r="S146" s="154"/>
      <c r="T146" s="154"/>
      <c r="U146" s="247"/>
    </row>
    <row r="147" spans="1:21" x14ac:dyDescent="0.15">
      <c r="A147" s="149"/>
      <c r="B147" s="152"/>
      <c r="C147" s="154"/>
      <c r="D147" s="152"/>
      <c r="E147" s="152"/>
      <c r="F147" s="152"/>
      <c r="G147" s="152"/>
      <c r="H147" s="154"/>
      <c r="I147" s="154"/>
      <c r="J147" s="152"/>
      <c r="K147" s="153"/>
      <c r="L147" s="152"/>
      <c r="M147" s="152"/>
      <c r="N147" s="152"/>
      <c r="O147" s="161"/>
      <c r="R147" s="163"/>
      <c r="S147" s="154"/>
      <c r="T147" s="154"/>
      <c r="U147" s="247"/>
    </row>
    <row r="148" spans="1:21" x14ac:dyDescent="0.15">
      <c r="A148" s="149"/>
      <c r="B148" s="152"/>
      <c r="C148" s="154"/>
      <c r="D148" s="152"/>
      <c r="E148" s="152"/>
      <c r="F148" s="152"/>
      <c r="G148" s="152"/>
      <c r="H148" s="154"/>
      <c r="I148" s="154"/>
      <c r="J148" s="152"/>
      <c r="K148" s="153"/>
      <c r="L148" s="152"/>
      <c r="M148" s="152"/>
      <c r="N148" s="152"/>
      <c r="O148" s="161"/>
      <c r="R148" s="163"/>
      <c r="S148" s="154"/>
      <c r="T148" s="154"/>
      <c r="U148" s="247"/>
    </row>
    <row r="149" spans="1:21" x14ac:dyDescent="0.15">
      <c r="A149" s="149"/>
      <c r="B149" s="152"/>
      <c r="C149" s="154"/>
      <c r="D149" s="152"/>
      <c r="E149" s="152"/>
      <c r="F149" s="152"/>
      <c r="G149" s="152"/>
      <c r="H149" s="154"/>
      <c r="I149" s="154"/>
      <c r="J149" s="152"/>
      <c r="K149" s="153"/>
      <c r="L149" s="152"/>
      <c r="M149" s="152"/>
      <c r="N149" s="152"/>
      <c r="O149" s="161"/>
      <c r="R149" s="163"/>
      <c r="S149" s="154"/>
      <c r="T149" s="154"/>
      <c r="U149" s="247"/>
    </row>
    <row r="150" spans="1:21" x14ac:dyDescent="0.15">
      <c r="A150" s="149"/>
      <c r="B150" s="152"/>
      <c r="C150" s="154"/>
      <c r="D150" s="152"/>
      <c r="E150" s="152"/>
      <c r="F150" s="152"/>
      <c r="G150" s="152"/>
      <c r="H150" s="154"/>
      <c r="I150" s="154"/>
      <c r="J150" s="152"/>
      <c r="K150" s="153"/>
      <c r="L150" s="152"/>
      <c r="M150" s="152"/>
      <c r="N150" s="152"/>
      <c r="O150" s="161"/>
      <c r="R150" s="163"/>
      <c r="S150" s="154"/>
      <c r="T150" s="154"/>
      <c r="U150" s="247"/>
    </row>
    <row r="151" spans="1:21" x14ac:dyDescent="0.15">
      <c r="A151" s="149"/>
      <c r="B151" s="152"/>
      <c r="C151" s="154"/>
      <c r="D151" s="152"/>
      <c r="E151" s="152"/>
      <c r="F151" s="152"/>
      <c r="G151" s="152"/>
      <c r="H151" s="154"/>
      <c r="I151" s="154"/>
      <c r="J151" s="152"/>
      <c r="K151" s="153"/>
      <c r="L151" s="152"/>
      <c r="M151" s="152"/>
      <c r="N151" s="152"/>
      <c r="O151" s="161"/>
      <c r="R151" s="163"/>
      <c r="S151" s="154"/>
      <c r="T151" s="154"/>
      <c r="U151" s="247"/>
    </row>
    <row r="152" spans="1:21" x14ac:dyDescent="0.15">
      <c r="A152" s="149"/>
      <c r="B152" s="152"/>
      <c r="C152" s="154"/>
      <c r="D152" s="152"/>
      <c r="E152" s="152"/>
      <c r="F152" s="152"/>
      <c r="G152" s="152"/>
      <c r="H152" s="154"/>
      <c r="I152" s="154"/>
      <c r="J152" s="152"/>
      <c r="K152" s="153"/>
      <c r="L152" s="152"/>
      <c r="M152" s="152"/>
      <c r="N152" s="152"/>
      <c r="O152" s="161"/>
      <c r="R152" s="163"/>
      <c r="S152" s="154"/>
      <c r="T152" s="154"/>
      <c r="U152" s="247"/>
    </row>
    <row r="153" spans="1:21" x14ac:dyDescent="0.15">
      <c r="A153" s="149"/>
      <c r="B153" s="152"/>
      <c r="C153" s="154"/>
      <c r="D153" s="152"/>
      <c r="E153" s="152"/>
      <c r="F153" s="152"/>
      <c r="G153" s="152"/>
      <c r="H153" s="154"/>
      <c r="I153" s="154"/>
      <c r="J153" s="152"/>
      <c r="K153" s="153"/>
      <c r="L153" s="152"/>
      <c r="M153" s="152"/>
      <c r="N153" s="152"/>
      <c r="O153" s="161"/>
      <c r="R153" s="163"/>
      <c r="S153" s="154"/>
      <c r="T153" s="154"/>
      <c r="U153" s="247"/>
    </row>
    <row r="154" spans="1:21" x14ac:dyDescent="0.15">
      <c r="A154" s="149"/>
      <c r="B154" s="152"/>
      <c r="C154" s="154"/>
      <c r="D154" s="152"/>
      <c r="E154" s="152"/>
      <c r="F154" s="152"/>
      <c r="G154" s="152"/>
      <c r="H154" s="154"/>
      <c r="I154" s="154"/>
      <c r="J154" s="152"/>
      <c r="K154" s="153"/>
      <c r="L154" s="152"/>
      <c r="M154" s="152"/>
      <c r="N154" s="152"/>
      <c r="O154" s="161"/>
      <c r="R154" s="163"/>
      <c r="S154" s="154"/>
      <c r="T154" s="154"/>
      <c r="U154" s="247"/>
    </row>
    <row r="155" spans="1:21" x14ac:dyDescent="0.15">
      <c r="A155" s="149"/>
      <c r="B155" s="152"/>
      <c r="C155" s="154"/>
      <c r="D155" s="152"/>
      <c r="E155" s="152"/>
      <c r="F155" s="152"/>
      <c r="G155" s="152"/>
      <c r="H155" s="154"/>
      <c r="I155" s="154"/>
      <c r="J155" s="152"/>
      <c r="K155" s="153"/>
      <c r="L155" s="152"/>
      <c r="M155" s="152"/>
      <c r="N155" s="152"/>
      <c r="O155" s="161"/>
      <c r="R155" s="163"/>
      <c r="S155" s="154"/>
      <c r="T155" s="154"/>
      <c r="U155" s="247"/>
    </row>
    <row r="156" spans="1:21" x14ac:dyDescent="0.15">
      <c r="A156" s="149"/>
      <c r="B156" s="152"/>
      <c r="C156" s="154"/>
      <c r="D156" s="152"/>
      <c r="E156" s="152"/>
      <c r="F156" s="152"/>
      <c r="G156" s="152"/>
      <c r="H156" s="154"/>
      <c r="I156" s="154"/>
      <c r="J156" s="152"/>
      <c r="K156" s="153"/>
      <c r="L156" s="152"/>
      <c r="M156" s="152"/>
      <c r="N156" s="152"/>
      <c r="O156" s="161"/>
      <c r="R156" s="163"/>
      <c r="S156" s="154"/>
      <c r="T156" s="154"/>
      <c r="U156" s="247"/>
    </row>
    <row r="157" spans="1:21" x14ac:dyDescent="0.15">
      <c r="A157" s="149"/>
      <c r="B157" s="152"/>
      <c r="C157" s="154"/>
      <c r="D157" s="152"/>
      <c r="E157" s="152"/>
      <c r="F157" s="152"/>
      <c r="G157" s="152"/>
      <c r="H157" s="154"/>
      <c r="I157" s="154"/>
      <c r="J157" s="152"/>
      <c r="K157" s="153"/>
      <c r="L157" s="152"/>
      <c r="M157" s="152"/>
      <c r="N157" s="152"/>
      <c r="O157" s="161"/>
      <c r="R157" s="163"/>
      <c r="S157" s="154"/>
      <c r="T157" s="154"/>
      <c r="U157" s="247"/>
    </row>
    <row r="158" spans="1:21" x14ac:dyDescent="0.15">
      <c r="A158" s="149"/>
      <c r="B158" s="152"/>
      <c r="C158" s="154"/>
      <c r="D158" s="152"/>
      <c r="E158" s="152"/>
      <c r="F158" s="152"/>
      <c r="G158" s="152"/>
      <c r="H158" s="154"/>
      <c r="I158" s="154"/>
      <c r="J158" s="152"/>
      <c r="K158" s="153"/>
      <c r="L158" s="152"/>
      <c r="M158" s="152"/>
      <c r="N158" s="152"/>
      <c r="O158" s="161"/>
      <c r="R158" s="163"/>
      <c r="S158" s="154"/>
      <c r="T158" s="154"/>
      <c r="U158" s="247"/>
    </row>
    <row r="159" spans="1:21" x14ac:dyDescent="0.15">
      <c r="A159" s="149"/>
      <c r="B159" s="152"/>
      <c r="C159" s="154"/>
      <c r="D159" s="152"/>
      <c r="E159" s="152"/>
      <c r="F159" s="152"/>
      <c r="G159" s="152"/>
      <c r="H159" s="154"/>
      <c r="I159" s="154"/>
      <c r="J159" s="152"/>
      <c r="K159" s="153"/>
      <c r="L159" s="152"/>
      <c r="M159" s="152"/>
      <c r="N159" s="152"/>
      <c r="O159" s="161"/>
      <c r="R159" s="163"/>
      <c r="S159" s="154"/>
      <c r="T159" s="154"/>
      <c r="U159" s="247"/>
    </row>
    <row r="160" spans="1:21" x14ac:dyDescent="0.15">
      <c r="A160" s="149"/>
      <c r="B160" s="152"/>
      <c r="C160" s="154"/>
      <c r="D160" s="152"/>
      <c r="E160" s="152"/>
      <c r="F160" s="152"/>
      <c r="G160" s="152"/>
      <c r="H160" s="154"/>
      <c r="I160" s="154"/>
      <c r="J160" s="152"/>
      <c r="K160" s="153"/>
      <c r="L160" s="152"/>
      <c r="M160" s="152"/>
      <c r="N160" s="152"/>
      <c r="O160" s="161"/>
      <c r="R160" s="163"/>
      <c r="S160" s="154"/>
      <c r="T160" s="154"/>
      <c r="U160" s="247"/>
    </row>
    <row r="161" spans="1:21" x14ac:dyDescent="0.15">
      <c r="A161" s="149"/>
      <c r="B161" s="152"/>
      <c r="C161" s="154"/>
      <c r="D161" s="152"/>
      <c r="E161" s="152"/>
      <c r="F161" s="152"/>
      <c r="G161" s="152"/>
      <c r="H161" s="154"/>
      <c r="I161" s="154"/>
      <c r="J161" s="152"/>
      <c r="K161" s="153"/>
      <c r="L161" s="152"/>
      <c r="M161" s="152"/>
      <c r="N161" s="152"/>
      <c r="O161" s="161"/>
      <c r="R161" s="163"/>
      <c r="S161" s="154"/>
      <c r="T161" s="154"/>
      <c r="U161" s="247"/>
    </row>
    <row r="162" spans="1:21" x14ac:dyDescent="0.15">
      <c r="A162" s="149"/>
      <c r="B162" s="152"/>
      <c r="C162" s="154"/>
      <c r="D162" s="152"/>
      <c r="E162" s="152"/>
      <c r="F162" s="152"/>
      <c r="G162" s="152"/>
      <c r="H162" s="154"/>
      <c r="I162" s="154"/>
      <c r="J162" s="152"/>
      <c r="K162" s="153"/>
      <c r="L162" s="152"/>
      <c r="M162" s="152"/>
      <c r="N162" s="152"/>
      <c r="O162" s="161"/>
      <c r="R162" s="163"/>
      <c r="S162" s="154"/>
      <c r="T162" s="154"/>
      <c r="U162" s="247"/>
    </row>
    <row r="163" spans="1:21" x14ac:dyDescent="0.15">
      <c r="A163" s="149"/>
      <c r="B163" s="152"/>
      <c r="C163" s="154"/>
      <c r="D163" s="152"/>
      <c r="E163" s="152"/>
      <c r="F163" s="152"/>
      <c r="G163" s="152"/>
      <c r="H163" s="154"/>
      <c r="I163" s="154"/>
      <c r="J163" s="152"/>
      <c r="K163" s="153"/>
      <c r="L163" s="152"/>
      <c r="M163" s="152"/>
      <c r="N163" s="152"/>
      <c r="O163" s="161"/>
      <c r="R163" s="163"/>
      <c r="S163" s="154"/>
      <c r="T163" s="154"/>
      <c r="U163" s="247"/>
    </row>
    <row r="164" spans="1:21" x14ac:dyDescent="0.15">
      <c r="A164" s="149"/>
      <c r="B164" s="152"/>
      <c r="C164" s="154"/>
      <c r="D164" s="152"/>
      <c r="E164" s="152"/>
      <c r="F164" s="152"/>
      <c r="G164" s="152"/>
      <c r="H164" s="154"/>
      <c r="I164" s="154"/>
      <c r="J164" s="152"/>
      <c r="K164" s="153"/>
      <c r="L164" s="152"/>
      <c r="M164" s="152"/>
      <c r="N164" s="152"/>
      <c r="O164" s="161"/>
      <c r="R164" s="163"/>
      <c r="S164" s="154"/>
      <c r="T164" s="154"/>
      <c r="U164" s="247"/>
    </row>
    <row r="165" spans="1:21" x14ac:dyDescent="0.15">
      <c r="A165" s="149"/>
      <c r="B165" s="152"/>
      <c r="C165" s="154"/>
      <c r="D165" s="152"/>
      <c r="E165" s="152"/>
      <c r="F165" s="152"/>
      <c r="G165" s="152"/>
      <c r="H165" s="154"/>
      <c r="I165" s="154"/>
      <c r="J165" s="152"/>
      <c r="K165" s="153"/>
      <c r="L165" s="152"/>
      <c r="M165" s="152"/>
      <c r="N165" s="152"/>
      <c r="O165" s="161"/>
      <c r="R165" s="163"/>
      <c r="S165" s="154"/>
      <c r="T165" s="154"/>
      <c r="U165" s="247"/>
    </row>
    <row r="166" spans="1:21" x14ac:dyDescent="0.15">
      <c r="A166" s="149"/>
      <c r="B166" s="152"/>
      <c r="C166" s="154"/>
      <c r="D166" s="152"/>
      <c r="E166" s="152"/>
      <c r="F166" s="152"/>
      <c r="G166" s="152"/>
      <c r="H166" s="154"/>
      <c r="I166" s="154"/>
      <c r="J166" s="152"/>
      <c r="K166" s="153"/>
      <c r="L166" s="152"/>
      <c r="M166" s="152"/>
      <c r="N166" s="152"/>
      <c r="O166" s="161"/>
      <c r="R166" s="163"/>
      <c r="S166" s="154"/>
      <c r="T166" s="154"/>
      <c r="U166" s="247"/>
    </row>
    <row r="167" spans="1:21" x14ac:dyDescent="0.15">
      <c r="A167" s="149"/>
      <c r="B167" s="152"/>
      <c r="C167" s="154"/>
      <c r="D167" s="152"/>
      <c r="E167" s="152"/>
      <c r="F167" s="152"/>
      <c r="G167" s="152"/>
      <c r="H167" s="154"/>
      <c r="I167" s="154"/>
      <c r="J167" s="152"/>
      <c r="K167" s="153"/>
      <c r="L167" s="152"/>
      <c r="M167" s="152"/>
      <c r="N167" s="152"/>
      <c r="O167" s="161"/>
      <c r="R167" s="163"/>
      <c r="S167" s="154"/>
      <c r="T167" s="154"/>
      <c r="U167" s="247"/>
    </row>
    <row r="168" spans="1:21" x14ac:dyDescent="0.15">
      <c r="A168" s="149"/>
      <c r="B168" s="152"/>
      <c r="C168" s="154"/>
      <c r="D168" s="152"/>
      <c r="E168" s="152"/>
      <c r="F168" s="152"/>
      <c r="G168" s="152"/>
      <c r="H168" s="154"/>
      <c r="I168" s="154"/>
      <c r="J168" s="152"/>
      <c r="K168" s="153"/>
      <c r="L168" s="152"/>
      <c r="M168" s="152"/>
      <c r="N168" s="152"/>
      <c r="O168" s="161"/>
      <c r="R168" s="163"/>
      <c r="S168" s="154"/>
      <c r="T168" s="154"/>
      <c r="U168" s="247"/>
    </row>
    <row r="169" spans="1:21" x14ac:dyDescent="0.15">
      <c r="A169" s="149"/>
      <c r="B169" s="152"/>
      <c r="C169" s="154"/>
      <c r="D169" s="152"/>
      <c r="E169" s="152"/>
      <c r="F169" s="152"/>
      <c r="G169" s="152"/>
      <c r="H169" s="154"/>
      <c r="I169" s="154"/>
      <c r="J169" s="152"/>
      <c r="K169" s="153"/>
      <c r="L169" s="152"/>
      <c r="M169" s="152"/>
      <c r="N169" s="152"/>
      <c r="O169" s="161"/>
      <c r="R169" s="163"/>
      <c r="S169" s="154"/>
      <c r="T169" s="154"/>
      <c r="U169" s="247"/>
    </row>
    <row r="170" spans="1:21" x14ac:dyDescent="0.15">
      <c r="A170" s="149"/>
      <c r="B170" s="152"/>
      <c r="C170" s="154"/>
      <c r="D170" s="152"/>
      <c r="E170" s="152"/>
      <c r="F170" s="152"/>
      <c r="G170" s="152"/>
      <c r="H170" s="154"/>
      <c r="I170" s="154"/>
      <c r="J170" s="152"/>
      <c r="K170" s="153"/>
      <c r="L170" s="152"/>
      <c r="M170" s="152"/>
      <c r="N170" s="152"/>
      <c r="O170" s="161"/>
      <c r="R170" s="163"/>
      <c r="S170" s="154"/>
      <c r="T170" s="154"/>
      <c r="U170" s="247"/>
    </row>
    <row r="171" spans="1:21" x14ac:dyDescent="0.15">
      <c r="A171" s="149"/>
      <c r="B171" s="152"/>
      <c r="C171" s="154"/>
      <c r="D171" s="152"/>
      <c r="E171" s="152"/>
      <c r="F171" s="152"/>
      <c r="G171" s="152"/>
      <c r="H171" s="154"/>
      <c r="I171" s="154"/>
      <c r="J171" s="152"/>
      <c r="K171" s="153"/>
      <c r="L171" s="152"/>
      <c r="M171" s="152"/>
      <c r="N171" s="152"/>
      <c r="O171" s="161"/>
      <c r="R171" s="163"/>
      <c r="S171" s="154"/>
      <c r="T171" s="154"/>
      <c r="U171" s="247"/>
    </row>
    <row r="172" spans="1:21" x14ac:dyDescent="0.15">
      <c r="A172" s="149"/>
      <c r="B172" s="152"/>
      <c r="C172" s="154"/>
      <c r="D172" s="152"/>
      <c r="E172" s="152"/>
      <c r="F172" s="152"/>
      <c r="G172" s="152"/>
      <c r="H172" s="154"/>
      <c r="I172" s="154"/>
      <c r="J172" s="152"/>
      <c r="K172" s="153"/>
      <c r="L172" s="152"/>
      <c r="M172" s="152"/>
      <c r="N172" s="152"/>
      <c r="O172" s="161"/>
      <c r="R172" s="163"/>
      <c r="S172" s="154"/>
      <c r="T172" s="154"/>
      <c r="U172" s="247"/>
    </row>
    <row r="173" spans="1:21" x14ac:dyDescent="0.15">
      <c r="A173" s="149"/>
      <c r="B173" s="152"/>
      <c r="C173" s="154"/>
      <c r="D173" s="152"/>
      <c r="E173" s="152"/>
      <c r="F173" s="152"/>
      <c r="G173" s="152"/>
      <c r="H173" s="154"/>
      <c r="I173" s="154"/>
      <c r="J173" s="152"/>
      <c r="K173" s="153"/>
      <c r="L173" s="152"/>
      <c r="M173" s="152"/>
      <c r="N173" s="152"/>
      <c r="O173" s="161"/>
      <c r="R173" s="163"/>
      <c r="S173" s="154"/>
      <c r="T173" s="154"/>
      <c r="U173" s="247"/>
    </row>
    <row r="174" spans="1:21" x14ac:dyDescent="0.15">
      <c r="A174" s="149"/>
      <c r="B174" s="152"/>
      <c r="C174" s="154"/>
      <c r="D174" s="152"/>
      <c r="E174" s="152"/>
      <c r="F174" s="152"/>
      <c r="G174" s="152"/>
      <c r="H174" s="154"/>
      <c r="I174" s="154"/>
      <c r="J174" s="152"/>
      <c r="K174" s="153"/>
      <c r="L174" s="152"/>
      <c r="M174" s="152"/>
      <c r="N174" s="152"/>
      <c r="O174" s="161"/>
      <c r="R174" s="163"/>
      <c r="S174" s="154"/>
      <c r="T174" s="154"/>
      <c r="U174" s="247"/>
    </row>
    <row r="175" spans="1:21" x14ac:dyDescent="0.15">
      <c r="A175" s="149"/>
      <c r="B175" s="152"/>
      <c r="C175" s="154"/>
      <c r="D175" s="152"/>
      <c r="E175" s="152"/>
      <c r="F175" s="152"/>
      <c r="G175" s="152"/>
      <c r="H175" s="154"/>
      <c r="I175" s="154"/>
      <c r="J175" s="152"/>
      <c r="K175" s="154"/>
      <c r="L175" s="152"/>
      <c r="M175" s="152"/>
      <c r="N175" s="152"/>
      <c r="O175" s="161"/>
      <c r="R175" s="163"/>
      <c r="S175" s="154"/>
      <c r="T175" s="154"/>
      <c r="U175" s="247"/>
    </row>
    <row r="176" spans="1:21" x14ac:dyDescent="0.15">
      <c r="A176" s="149"/>
      <c r="B176" s="152"/>
      <c r="C176" s="154"/>
      <c r="D176" s="152"/>
      <c r="E176" s="152"/>
      <c r="F176" s="152"/>
      <c r="G176" s="152"/>
      <c r="H176" s="154"/>
      <c r="I176" s="154"/>
      <c r="J176" s="152"/>
      <c r="K176" s="154"/>
      <c r="L176" s="152"/>
      <c r="M176" s="152"/>
      <c r="N176" s="152"/>
      <c r="O176" s="161"/>
      <c r="R176" s="163"/>
      <c r="S176" s="154"/>
      <c r="T176" s="154"/>
      <c r="U176" s="247"/>
    </row>
    <row r="177" spans="1:21" x14ac:dyDescent="0.15">
      <c r="A177" s="149"/>
      <c r="B177" s="152"/>
      <c r="C177" s="154"/>
      <c r="D177" s="152"/>
      <c r="E177" s="152"/>
      <c r="F177" s="152"/>
      <c r="G177" s="152"/>
      <c r="H177" s="154"/>
      <c r="I177" s="154"/>
      <c r="J177" s="152"/>
      <c r="K177" s="154"/>
      <c r="L177" s="152"/>
      <c r="M177" s="152"/>
      <c r="N177" s="152"/>
      <c r="O177" s="161"/>
      <c r="R177" s="163"/>
      <c r="S177" s="154"/>
      <c r="T177" s="154"/>
      <c r="U177" s="247"/>
    </row>
    <row r="178" spans="1:21" x14ac:dyDescent="0.15">
      <c r="A178" s="149"/>
      <c r="B178" s="152"/>
      <c r="C178" s="154"/>
      <c r="D178" s="152"/>
      <c r="E178" s="152"/>
      <c r="F178" s="152"/>
      <c r="G178" s="152"/>
      <c r="H178" s="154"/>
      <c r="I178" s="154"/>
      <c r="J178" s="152"/>
      <c r="K178" s="154"/>
      <c r="L178" s="152"/>
      <c r="M178" s="152"/>
      <c r="N178" s="152"/>
      <c r="O178" s="161"/>
      <c r="R178" s="163"/>
      <c r="S178" s="154"/>
      <c r="T178" s="154"/>
      <c r="U178" s="247"/>
    </row>
    <row r="179" spans="1:21" x14ac:dyDescent="0.15">
      <c r="A179" s="149"/>
      <c r="B179" s="152"/>
      <c r="C179" s="154"/>
      <c r="D179" s="152"/>
      <c r="E179" s="152"/>
      <c r="F179" s="152"/>
      <c r="G179" s="152"/>
      <c r="H179" s="154"/>
      <c r="I179" s="154"/>
      <c r="J179" s="152"/>
      <c r="K179" s="154"/>
      <c r="L179" s="152"/>
      <c r="M179" s="152"/>
      <c r="N179" s="152"/>
      <c r="O179" s="161"/>
      <c r="R179" s="163"/>
      <c r="S179" s="154"/>
      <c r="T179" s="154"/>
      <c r="U179" s="247"/>
    </row>
    <row r="180" spans="1:21" x14ac:dyDescent="0.15">
      <c r="A180" s="149"/>
      <c r="B180" s="152"/>
      <c r="C180" s="154"/>
      <c r="D180" s="152"/>
      <c r="E180" s="152"/>
      <c r="F180" s="152"/>
      <c r="G180" s="152"/>
      <c r="H180" s="154"/>
      <c r="I180" s="154"/>
      <c r="J180" s="152"/>
      <c r="K180" s="154"/>
      <c r="L180" s="152"/>
      <c r="M180" s="152"/>
      <c r="N180" s="152"/>
      <c r="O180" s="161"/>
      <c r="R180" s="163"/>
      <c r="S180" s="154"/>
      <c r="T180" s="154"/>
      <c r="U180" s="247"/>
    </row>
    <row r="181" spans="1:21" x14ac:dyDescent="0.15">
      <c r="A181" s="149"/>
      <c r="B181" s="152"/>
      <c r="C181" s="154"/>
      <c r="D181" s="152"/>
      <c r="E181" s="152"/>
      <c r="F181" s="152"/>
      <c r="G181" s="152"/>
      <c r="H181" s="154"/>
      <c r="I181" s="154"/>
      <c r="J181" s="152"/>
      <c r="K181" s="154"/>
      <c r="L181" s="152"/>
      <c r="M181" s="152"/>
      <c r="N181" s="152"/>
      <c r="O181" s="161"/>
      <c r="R181" s="163"/>
      <c r="S181" s="154"/>
      <c r="T181" s="154"/>
      <c r="U181" s="247"/>
    </row>
    <row r="182" spans="1:21" x14ac:dyDescent="0.15">
      <c r="A182" s="149"/>
      <c r="B182" s="152"/>
      <c r="C182" s="154"/>
      <c r="D182" s="152"/>
      <c r="E182" s="152"/>
      <c r="F182" s="152"/>
      <c r="G182" s="152"/>
      <c r="H182" s="154"/>
      <c r="I182" s="154"/>
      <c r="J182" s="152"/>
      <c r="K182" s="154"/>
      <c r="L182" s="152"/>
      <c r="M182" s="152"/>
      <c r="N182" s="152"/>
      <c r="O182" s="161"/>
      <c r="R182" s="163"/>
      <c r="S182" s="154"/>
      <c r="T182" s="154"/>
      <c r="U182" s="247"/>
    </row>
    <row r="183" spans="1:21" x14ac:dyDescent="0.15">
      <c r="A183" s="149"/>
      <c r="B183" s="152"/>
      <c r="C183" s="154"/>
      <c r="D183" s="152"/>
      <c r="E183" s="152"/>
      <c r="F183" s="152"/>
      <c r="G183" s="152"/>
      <c r="H183" s="154"/>
      <c r="I183" s="154"/>
      <c r="J183" s="152"/>
      <c r="K183" s="154"/>
      <c r="L183" s="152"/>
      <c r="M183" s="152"/>
      <c r="N183" s="152"/>
      <c r="O183" s="161"/>
      <c r="R183" s="163"/>
      <c r="S183" s="154"/>
      <c r="T183" s="154"/>
      <c r="U183" s="247"/>
    </row>
    <row r="184" spans="1:21" x14ac:dyDescent="0.15">
      <c r="A184" s="149"/>
      <c r="B184" s="152"/>
      <c r="C184" s="154"/>
      <c r="D184" s="152"/>
      <c r="E184" s="152"/>
      <c r="F184" s="152"/>
      <c r="G184" s="152"/>
      <c r="H184" s="154"/>
      <c r="I184" s="154"/>
      <c r="J184" s="152"/>
      <c r="K184" s="154"/>
      <c r="L184" s="152"/>
      <c r="M184" s="152"/>
      <c r="N184" s="152"/>
      <c r="O184" s="161"/>
      <c r="R184" s="163"/>
      <c r="S184" s="154"/>
      <c r="T184" s="154"/>
      <c r="U184" s="247"/>
    </row>
    <row r="185" spans="1:21" x14ac:dyDescent="0.15">
      <c r="A185" s="149"/>
      <c r="B185" s="152"/>
      <c r="C185" s="154"/>
      <c r="D185" s="152"/>
      <c r="E185" s="152"/>
      <c r="F185" s="152"/>
      <c r="G185" s="152"/>
      <c r="H185" s="154"/>
      <c r="I185" s="154"/>
      <c r="J185" s="152"/>
      <c r="K185" s="154"/>
      <c r="L185" s="152"/>
      <c r="M185" s="152"/>
      <c r="N185" s="152"/>
      <c r="O185" s="161"/>
      <c r="R185" s="163"/>
      <c r="S185" s="154"/>
      <c r="T185" s="154"/>
      <c r="U185" s="247"/>
    </row>
    <row r="186" spans="1:21" x14ac:dyDescent="0.15">
      <c r="A186" s="149"/>
      <c r="B186" s="152"/>
      <c r="C186" s="154"/>
      <c r="D186" s="152"/>
      <c r="E186" s="152"/>
      <c r="F186" s="152"/>
      <c r="G186" s="152"/>
      <c r="H186" s="154"/>
      <c r="I186" s="154"/>
      <c r="J186" s="152"/>
      <c r="K186" s="154"/>
      <c r="L186" s="152"/>
      <c r="M186" s="152"/>
      <c r="N186" s="152"/>
      <c r="O186" s="161"/>
      <c r="R186" s="163"/>
      <c r="S186" s="154"/>
      <c r="T186" s="154"/>
      <c r="U186" s="247"/>
    </row>
    <row r="187" spans="1:21" x14ac:dyDescent="0.15">
      <c r="A187" s="149"/>
      <c r="B187" s="152"/>
      <c r="C187" s="154"/>
      <c r="D187" s="152"/>
      <c r="E187" s="152"/>
      <c r="F187" s="152"/>
      <c r="G187" s="152"/>
      <c r="H187" s="154"/>
      <c r="I187" s="154"/>
      <c r="J187" s="152"/>
      <c r="K187" s="154"/>
      <c r="L187" s="152"/>
      <c r="M187" s="152"/>
      <c r="N187" s="152"/>
      <c r="O187" s="161"/>
      <c r="R187" s="163"/>
      <c r="S187" s="154"/>
      <c r="T187" s="154"/>
      <c r="U187" s="247"/>
    </row>
    <row r="188" spans="1:21" x14ac:dyDescent="0.15">
      <c r="A188" s="149"/>
      <c r="B188" s="152"/>
      <c r="C188" s="154"/>
      <c r="D188" s="152"/>
      <c r="E188" s="152"/>
      <c r="F188" s="152"/>
      <c r="G188" s="152"/>
      <c r="H188" s="154"/>
      <c r="I188" s="154"/>
      <c r="J188" s="152"/>
      <c r="K188" s="154"/>
      <c r="L188" s="152"/>
      <c r="M188" s="152"/>
      <c r="N188" s="152"/>
      <c r="O188" s="161"/>
      <c r="R188" s="163"/>
      <c r="S188" s="154"/>
      <c r="T188" s="154"/>
      <c r="U188" s="247"/>
    </row>
    <row r="189" spans="1:21" x14ac:dyDescent="0.15">
      <c r="A189" s="149"/>
      <c r="B189" s="152"/>
      <c r="C189" s="154"/>
      <c r="D189" s="152"/>
      <c r="E189" s="152"/>
      <c r="F189" s="152"/>
      <c r="G189" s="152"/>
      <c r="H189" s="154"/>
      <c r="I189" s="154"/>
      <c r="J189" s="152"/>
      <c r="K189" s="154"/>
      <c r="L189" s="152"/>
      <c r="M189" s="152"/>
      <c r="N189" s="152"/>
      <c r="O189" s="161"/>
      <c r="R189" s="163"/>
      <c r="S189" s="154"/>
      <c r="T189" s="154"/>
      <c r="U189" s="247"/>
    </row>
    <row r="190" spans="1:21" x14ac:dyDescent="0.15">
      <c r="A190" s="149"/>
      <c r="B190" s="152"/>
      <c r="C190" s="154"/>
      <c r="D190" s="152"/>
      <c r="E190" s="152"/>
      <c r="F190" s="152"/>
      <c r="G190" s="152"/>
      <c r="H190" s="154"/>
      <c r="I190" s="154"/>
      <c r="J190" s="152"/>
      <c r="K190" s="154"/>
      <c r="L190" s="152"/>
      <c r="M190" s="152"/>
      <c r="N190" s="152"/>
      <c r="O190" s="161"/>
      <c r="R190" s="163"/>
      <c r="S190" s="154"/>
      <c r="T190" s="154"/>
      <c r="U190" s="247"/>
    </row>
    <row r="191" spans="1:21" x14ac:dyDescent="0.15">
      <c r="A191" s="149"/>
      <c r="B191" s="152"/>
      <c r="C191" s="154"/>
      <c r="D191" s="152"/>
      <c r="E191" s="152"/>
      <c r="F191" s="152"/>
      <c r="G191" s="152"/>
      <c r="H191" s="154"/>
      <c r="I191" s="154"/>
      <c r="J191" s="152"/>
      <c r="K191" s="154"/>
      <c r="L191" s="152"/>
      <c r="M191" s="152"/>
      <c r="N191" s="152"/>
      <c r="O191" s="161"/>
      <c r="R191" s="163"/>
      <c r="S191" s="154"/>
      <c r="T191" s="154"/>
      <c r="U191" s="247"/>
    </row>
    <row r="192" spans="1:21" x14ac:dyDescent="0.15">
      <c r="A192" s="149"/>
      <c r="B192" s="152"/>
      <c r="C192" s="154"/>
      <c r="D192" s="152"/>
      <c r="E192" s="152"/>
      <c r="F192" s="152"/>
      <c r="G192" s="152"/>
      <c r="H192" s="154"/>
      <c r="I192" s="154"/>
      <c r="J192" s="152"/>
      <c r="K192" s="154"/>
      <c r="L192" s="152"/>
      <c r="M192" s="152"/>
      <c r="N192" s="152"/>
      <c r="O192" s="161"/>
      <c r="R192" s="163"/>
      <c r="S192" s="154"/>
      <c r="T192" s="154"/>
      <c r="U192" s="247"/>
    </row>
    <row r="193" spans="1:21" x14ac:dyDescent="0.15">
      <c r="A193" s="149"/>
      <c r="B193" s="152"/>
      <c r="C193" s="154"/>
      <c r="D193" s="152"/>
      <c r="E193" s="152"/>
      <c r="F193" s="152"/>
      <c r="G193" s="152"/>
      <c r="H193" s="154"/>
      <c r="I193" s="154"/>
      <c r="J193" s="152"/>
      <c r="K193" s="154"/>
      <c r="L193" s="152"/>
      <c r="M193" s="152"/>
      <c r="N193" s="152"/>
      <c r="O193" s="161"/>
      <c r="R193" s="163"/>
      <c r="S193" s="154"/>
      <c r="T193" s="154"/>
      <c r="U193" s="247"/>
    </row>
    <row r="194" spans="1:21" x14ac:dyDescent="0.15">
      <c r="A194" s="149"/>
      <c r="B194" s="152"/>
      <c r="C194" s="154"/>
      <c r="D194" s="152"/>
      <c r="E194" s="152"/>
      <c r="F194" s="152"/>
      <c r="G194" s="152"/>
      <c r="H194" s="154"/>
      <c r="I194" s="154"/>
      <c r="J194" s="152"/>
      <c r="K194" s="154"/>
      <c r="L194" s="152"/>
      <c r="M194" s="152"/>
      <c r="N194" s="152"/>
      <c r="O194" s="161"/>
      <c r="R194" s="163"/>
      <c r="S194" s="154"/>
      <c r="T194" s="154"/>
      <c r="U194" s="247"/>
    </row>
    <row r="195" spans="1:21" x14ac:dyDescent="0.15">
      <c r="A195" s="149"/>
      <c r="B195" s="152"/>
      <c r="C195" s="154"/>
      <c r="D195" s="152"/>
      <c r="E195" s="152"/>
      <c r="F195" s="152"/>
      <c r="G195" s="152"/>
      <c r="H195" s="154"/>
      <c r="I195" s="154"/>
      <c r="J195" s="152"/>
      <c r="K195" s="154"/>
      <c r="L195" s="152"/>
      <c r="M195" s="152"/>
      <c r="N195" s="152"/>
      <c r="O195" s="161"/>
      <c r="R195" s="163"/>
      <c r="S195" s="154"/>
      <c r="T195" s="154"/>
      <c r="U195" s="247"/>
    </row>
    <row r="196" spans="1:21" x14ac:dyDescent="0.15">
      <c r="A196" s="149"/>
      <c r="B196" s="152"/>
      <c r="C196" s="154"/>
      <c r="D196" s="152"/>
      <c r="E196" s="152"/>
      <c r="F196" s="152"/>
      <c r="G196" s="152"/>
      <c r="H196" s="154"/>
      <c r="I196" s="154"/>
      <c r="J196" s="152"/>
      <c r="K196" s="154"/>
      <c r="L196" s="152"/>
      <c r="M196" s="152"/>
      <c r="N196" s="152"/>
      <c r="O196" s="161"/>
      <c r="R196" s="163"/>
      <c r="S196" s="154"/>
      <c r="T196" s="154"/>
      <c r="U196" s="247"/>
    </row>
    <row r="197" spans="1:21" x14ac:dyDescent="0.15">
      <c r="A197" s="149"/>
      <c r="B197" s="152"/>
      <c r="C197" s="154"/>
      <c r="D197" s="152"/>
      <c r="E197" s="152"/>
      <c r="F197" s="152"/>
      <c r="G197" s="152"/>
      <c r="H197" s="154"/>
      <c r="I197" s="154"/>
      <c r="J197" s="152"/>
      <c r="K197" s="154"/>
      <c r="L197" s="152"/>
      <c r="M197" s="152"/>
      <c r="N197" s="152"/>
      <c r="O197" s="161"/>
      <c r="R197" s="163"/>
      <c r="S197" s="154"/>
      <c r="T197" s="154"/>
      <c r="U197" s="247"/>
    </row>
    <row r="198" spans="1:21" x14ac:dyDescent="0.15">
      <c r="A198" s="149"/>
      <c r="B198" s="152"/>
      <c r="C198" s="154"/>
      <c r="D198" s="152"/>
      <c r="E198" s="152"/>
      <c r="F198" s="152"/>
      <c r="G198" s="152"/>
      <c r="H198" s="154"/>
      <c r="I198" s="154"/>
      <c r="J198" s="152"/>
      <c r="K198" s="154"/>
      <c r="L198" s="152"/>
      <c r="M198" s="152"/>
      <c r="N198" s="152"/>
      <c r="O198" s="161"/>
      <c r="R198" s="163"/>
      <c r="S198" s="154"/>
      <c r="T198" s="154"/>
      <c r="U198" s="247"/>
    </row>
    <row r="199" spans="1:21" x14ac:dyDescent="0.15">
      <c r="A199" s="149"/>
      <c r="B199" s="152"/>
      <c r="C199" s="154"/>
      <c r="D199" s="152"/>
      <c r="E199" s="152"/>
      <c r="F199" s="152"/>
      <c r="G199" s="152"/>
      <c r="H199" s="154"/>
      <c r="I199" s="154"/>
      <c r="J199" s="152"/>
      <c r="K199" s="154"/>
      <c r="L199" s="152"/>
      <c r="M199" s="152"/>
      <c r="N199" s="152"/>
      <c r="O199" s="161"/>
      <c r="R199" s="163"/>
      <c r="S199" s="154"/>
      <c r="T199" s="154"/>
      <c r="U199" s="247"/>
    </row>
    <row r="200" spans="1:21" x14ac:dyDescent="0.15">
      <c r="A200" s="149"/>
      <c r="B200" s="152"/>
      <c r="C200" s="154"/>
      <c r="D200" s="152"/>
      <c r="E200" s="152"/>
      <c r="F200" s="152"/>
      <c r="G200" s="152"/>
      <c r="H200" s="154"/>
      <c r="I200" s="154"/>
      <c r="J200" s="152"/>
      <c r="K200" s="154"/>
      <c r="L200" s="152"/>
      <c r="M200" s="152"/>
      <c r="N200" s="152"/>
      <c r="O200" s="161"/>
      <c r="R200" s="163"/>
      <c r="S200" s="154"/>
      <c r="T200" s="154"/>
      <c r="U200" s="247"/>
    </row>
    <row r="201" spans="1:21" x14ac:dyDescent="0.15">
      <c r="A201" s="149"/>
      <c r="B201" s="152"/>
      <c r="C201" s="154"/>
      <c r="D201" s="152"/>
      <c r="E201" s="152"/>
      <c r="F201" s="152"/>
      <c r="G201" s="152"/>
      <c r="H201" s="154"/>
      <c r="I201" s="154"/>
      <c r="J201" s="152"/>
      <c r="K201" s="154"/>
      <c r="L201" s="152"/>
      <c r="M201" s="152"/>
      <c r="N201" s="152"/>
      <c r="O201" s="161"/>
      <c r="R201" s="163"/>
      <c r="S201" s="154"/>
      <c r="T201" s="154"/>
      <c r="U201" s="247"/>
    </row>
    <row r="202" spans="1:21" x14ac:dyDescent="0.15">
      <c r="A202" s="149"/>
      <c r="B202" s="152"/>
      <c r="C202" s="154"/>
      <c r="D202" s="152"/>
      <c r="E202" s="152"/>
      <c r="F202" s="152"/>
      <c r="G202" s="152"/>
      <c r="H202" s="154"/>
      <c r="I202" s="154"/>
      <c r="J202" s="152"/>
      <c r="K202" s="154"/>
      <c r="L202" s="152"/>
      <c r="M202" s="152"/>
      <c r="N202" s="152"/>
      <c r="O202" s="161"/>
      <c r="R202" s="163"/>
      <c r="S202" s="154"/>
      <c r="T202" s="154"/>
      <c r="U202" s="247"/>
    </row>
    <row r="203" spans="1:21" x14ac:dyDescent="0.15">
      <c r="A203" s="149"/>
      <c r="B203" s="152"/>
      <c r="C203" s="154"/>
      <c r="D203" s="152"/>
      <c r="E203" s="152"/>
      <c r="F203" s="152"/>
      <c r="G203" s="152"/>
      <c r="H203" s="154"/>
      <c r="I203" s="154"/>
      <c r="J203" s="152"/>
      <c r="K203" s="154"/>
      <c r="L203" s="152"/>
      <c r="M203" s="152"/>
      <c r="N203" s="152"/>
      <c r="O203" s="161"/>
      <c r="R203" s="163"/>
      <c r="S203" s="154"/>
      <c r="T203" s="154"/>
      <c r="U203" s="247"/>
    </row>
    <row r="204" spans="1:21" x14ac:dyDescent="0.15">
      <c r="A204" s="149"/>
      <c r="B204" s="152"/>
      <c r="C204" s="154"/>
      <c r="D204" s="152"/>
      <c r="E204" s="152"/>
      <c r="F204" s="152"/>
      <c r="G204" s="152"/>
      <c r="H204" s="154"/>
      <c r="I204" s="154"/>
      <c r="J204" s="152"/>
      <c r="K204" s="154"/>
      <c r="L204" s="152"/>
      <c r="M204" s="152"/>
      <c r="N204" s="152"/>
      <c r="O204" s="161"/>
      <c r="R204" s="163"/>
      <c r="S204" s="154"/>
      <c r="T204" s="154"/>
      <c r="U204" s="247"/>
    </row>
    <row r="205" spans="1:21" x14ac:dyDescent="0.15">
      <c r="A205" s="149"/>
      <c r="B205" s="152"/>
      <c r="C205" s="154"/>
      <c r="D205" s="152"/>
      <c r="E205" s="152"/>
      <c r="F205" s="152"/>
      <c r="G205" s="152"/>
      <c r="H205" s="154"/>
      <c r="I205" s="154"/>
      <c r="J205" s="152"/>
      <c r="K205" s="154"/>
      <c r="L205" s="152"/>
      <c r="M205" s="152"/>
      <c r="N205" s="152"/>
      <c r="O205" s="161"/>
      <c r="R205" s="163"/>
      <c r="S205" s="154"/>
      <c r="T205" s="154"/>
      <c r="U205" s="247"/>
    </row>
    <row r="206" spans="1:21" x14ac:dyDescent="0.15">
      <c r="A206" s="149"/>
      <c r="B206" s="152"/>
      <c r="C206" s="154"/>
      <c r="D206" s="152"/>
      <c r="E206" s="152"/>
      <c r="F206" s="152"/>
      <c r="G206" s="152"/>
      <c r="H206" s="154"/>
      <c r="I206" s="154"/>
      <c r="J206" s="152"/>
      <c r="K206" s="154"/>
      <c r="L206" s="152"/>
      <c r="M206" s="152"/>
      <c r="N206" s="152"/>
      <c r="O206" s="161"/>
      <c r="R206" s="163"/>
      <c r="S206" s="154"/>
      <c r="T206" s="154"/>
      <c r="U206" s="247"/>
    </row>
    <row r="207" spans="1:21" x14ac:dyDescent="0.15">
      <c r="A207" s="149"/>
      <c r="B207" s="152"/>
      <c r="C207" s="154"/>
      <c r="D207" s="152"/>
      <c r="E207" s="152"/>
      <c r="F207" s="152"/>
      <c r="G207" s="152"/>
      <c r="H207" s="154"/>
      <c r="I207" s="154"/>
      <c r="J207" s="152"/>
      <c r="K207" s="154"/>
      <c r="L207" s="152"/>
      <c r="M207" s="152"/>
      <c r="N207" s="152"/>
      <c r="O207" s="161"/>
      <c r="R207" s="163"/>
      <c r="S207" s="154"/>
      <c r="T207" s="154"/>
      <c r="U207" s="247"/>
    </row>
    <row r="208" spans="1:21" x14ac:dyDescent="0.15">
      <c r="A208" s="149"/>
      <c r="B208" s="152"/>
      <c r="C208" s="154"/>
      <c r="D208" s="152"/>
      <c r="E208" s="152"/>
      <c r="F208" s="152"/>
      <c r="G208" s="152"/>
      <c r="H208" s="154"/>
      <c r="I208" s="154"/>
      <c r="J208" s="152"/>
      <c r="K208" s="154"/>
      <c r="L208" s="152"/>
      <c r="M208" s="152"/>
      <c r="N208" s="152"/>
      <c r="O208" s="161"/>
      <c r="R208" s="163"/>
      <c r="S208" s="154"/>
      <c r="T208" s="154"/>
      <c r="U208" s="247"/>
    </row>
    <row r="209" spans="1:21" x14ac:dyDescent="0.15">
      <c r="A209" s="149"/>
      <c r="B209" s="152"/>
      <c r="C209" s="154"/>
      <c r="D209" s="152"/>
      <c r="E209" s="152"/>
      <c r="F209" s="152"/>
      <c r="G209" s="152"/>
      <c r="H209" s="154"/>
      <c r="I209" s="154"/>
      <c r="J209" s="152"/>
      <c r="K209" s="154"/>
      <c r="L209" s="152"/>
      <c r="M209" s="152"/>
      <c r="N209" s="152"/>
      <c r="O209" s="161"/>
      <c r="R209" s="163"/>
      <c r="S209" s="154"/>
      <c r="T209" s="154"/>
      <c r="U209" s="247"/>
    </row>
    <row r="210" spans="1:21" x14ac:dyDescent="0.15">
      <c r="A210" s="149"/>
      <c r="B210" s="152"/>
      <c r="C210" s="154"/>
      <c r="D210" s="152"/>
      <c r="E210" s="152"/>
      <c r="F210" s="152"/>
      <c r="G210" s="152"/>
      <c r="H210" s="154"/>
      <c r="I210" s="154"/>
      <c r="J210" s="152"/>
      <c r="K210" s="154"/>
      <c r="L210" s="152"/>
      <c r="M210" s="152"/>
      <c r="N210" s="152"/>
      <c r="O210" s="161"/>
      <c r="R210" s="163"/>
      <c r="S210" s="154"/>
      <c r="T210" s="154"/>
      <c r="U210" s="247"/>
    </row>
    <row r="211" spans="1:21" x14ac:dyDescent="0.15">
      <c r="A211" s="149"/>
      <c r="B211" s="152"/>
      <c r="C211" s="154"/>
      <c r="D211" s="152"/>
      <c r="E211" s="152"/>
      <c r="F211" s="152"/>
      <c r="G211" s="152"/>
      <c r="H211" s="154"/>
      <c r="I211" s="154"/>
      <c r="J211" s="152"/>
      <c r="K211" s="154"/>
      <c r="L211" s="152"/>
      <c r="M211" s="152"/>
      <c r="N211" s="152"/>
      <c r="O211" s="161"/>
      <c r="R211" s="163"/>
      <c r="S211" s="154"/>
      <c r="T211" s="154"/>
      <c r="U211" s="247"/>
    </row>
    <row r="212" spans="1:21" x14ac:dyDescent="0.15">
      <c r="A212" s="149"/>
      <c r="B212" s="152"/>
      <c r="C212" s="154"/>
      <c r="D212" s="152"/>
      <c r="E212" s="152"/>
      <c r="F212" s="152"/>
      <c r="G212" s="152"/>
      <c r="H212" s="154"/>
      <c r="I212" s="154"/>
      <c r="J212" s="152"/>
      <c r="K212" s="154"/>
      <c r="L212" s="152"/>
      <c r="M212" s="152"/>
      <c r="N212" s="152"/>
      <c r="O212" s="161"/>
      <c r="R212" s="163"/>
      <c r="S212" s="154"/>
      <c r="T212" s="154"/>
      <c r="U212" s="247"/>
    </row>
    <row r="213" spans="1:21" x14ac:dyDescent="0.15">
      <c r="A213" s="149"/>
      <c r="B213" s="152"/>
      <c r="C213" s="154"/>
      <c r="D213" s="152"/>
      <c r="E213" s="152"/>
      <c r="F213" s="152"/>
      <c r="G213" s="152"/>
      <c r="H213" s="154"/>
      <c r="I213" s="154"/>
      <c r="J213" s="152"/>
      <c r="K213" s="154"/>
      <c r="L213" s="152"/>
      <c r="M213" s="152"/>
      <c r="N213" s="152"/>
      <c r="O213" s="161"/>
      <c r="R213" s="163"/>
      <c r="S213" s="154"/>
      <c r="T213" s="154"/>
      <c r="U213" s="247"/>
    </row>
    <row r="214" spans="1:21" x14ac:dyDescent="0.15">
      <c r="A214" s="149"/>
      <c r="B214" s="152"/>
      <c r="C214" s="154"/>
      <c r="D214" s="152"/>
      <c r="E214" s="152"/>
      <c r="F214" s="152"/>
      <c r="G214" s="152"/>
      <c r="H214" s="154"/>
      <c r="I214" s="154"/>
      <c r="J214" s="152"/>
      <c r="K214" s="154"/>
      <c r="L214" s="152"/>
      <c r="M214" s="152"/>
      <c r="N214" s="152"/>
      <c r="O214" s="161"/>
      <c r="R214" s="163"/>
      <c r="S214" s="154"/>
      <c r="T214" s="154"/>
      <c r="U214" s="247"/>
    </row>
    <row r="215" spans="1:21" x14ac:dyDescent="0.15">
      <c r="A215" s="149"/>
      <c r="B215" s="152"/>
      <c r="C215" s="154"/>
      <c r="D215" s="152"/>
      <c r="E215" s="152"/>
      <c r="F215" s="152"/>
      <c r="G215" s="152"/>
      <c r="H215" s="154"/>
      <c r="I215" s="154"/>
      <c r="J215" s="152"/>
      <c r="K215" s="154"/>
      <c r="L215" s="152"/>
      <c r="M215" s="152"/>
      <c r="N215" s="152"/>
      <c r="O215" s="161"/>
      <c r="R215" s="163"/>
      <c r="S215" s="154"/>
      <c r="T215" s="154"/>
      <c r="U215" s="247"/>
    </row>
    <row r="216" spans="1:21" x14ac:dyDescent="0.15">
      <c r="A216" s="149"/>
      <c r="B216" s="152"/>
      <c r="C216" s="154"/>
      <c r="D216" s="152"/>
      <c r="E216" s="152"/>
      <c r="F216" s="152"/>
      <c r="G216" s="152"/>
      <c r="H216" s="154"/>
      <c r="I216" s="154"/>
      <c r="J216" s="152"/>
      <c r="K216" s="154"/>
      <c r="L216" s="152"/>
      <c r="M216" s="152"/>
      <c r="N216" s="152"/>
      <c r="O216" s="161"/>
      <c r="R216" s="163"/>
      <c r="S216" s="154"/>
      <c r="T216" s="154"/>
      <c r="U216" s="247"/>
    </row>
    <row r="217" spans="1:21" x14ac:dyDescent="0.15">
      <c r="A217" s="149"/>
      <c r="B217" s="152"/>
      <c r="C217" s="154"/>
      <c r="D217" s="152"/>
      <c r="E217" s="152"/>
      <c r="F217" s="152"/>
      <c r="G217" s="152"/>
      <c r="H217" s="154"/>
      <c r="I217" s="154"/>
      <c r="J217" s="152"/>
      <c r="K217" s="154"/>
      <c r="L217" s="152"/>
      <c r="M217" s="152"/>
      <c r="N217" s="152"/>
      <c r="O217" s="161"/>
      <c r="R217" s="163"/>
      <c r="S217" s="154"/>
      <c r="T217" s="154"/>
      <c r="U217" s="247"/>
    </row>
    <row r="218" spans="1:21" x14ac:dyDescent="0.15">
      <c r="A218" s="149"/>
      <c r="B218" s="152"/>
      <c r="C218" s="154"/>
      <c r="D218" s="152"/>
      <c r="E218" s="152"/>
      <c r="F218" s="152"/>
      <c r="G218" s="152"/>
      <c r="H218" s="154"/>
      <c r="I218" s="154"/>
      <c r="J218" s="152"/>
      <c r="K218" s="154"/>
      <c r="L218" s="152"/>
      <c r="M218" s="152"/>
      <c r="N218" s="152"/>
      <c r="O218" s="161"/>
      <c r="R218" s="163"/>
      <c r="S218" s="154"/>
      <c r="T218" s="154"/>
      <c r="U218" s="247"/>
    </row>
    <row r="219" spans="1:21" x14ac:dyDescent="0.15">
      <c r="A219" s="149"/>
      <c r="B219" s="152"/>
      <c r="C219" s="154"/>
      <c r="D219" s="152"/>
      <c r="E219" s="152"/>
      <c r="F219" s="152"/>
      <c r="G219" s="152"/>
      <c r="H219" s="154"/>
      <c r="I219" s="154"/>
      <c r="J219" s="152"/>
      <c r="K219" s="154"/>
      <c r="L219" s="152"/>
      <c r="M219" s="152"/>
      <c r="N219" s="152"/>
      <c r="O219" s="161"/>
      <c r="R219" s="163"/>
      <c r="S219" s="154"/>
      <c r="T219" s="154"/>
      <c r="U219" s="247"/>
    </row>
    <row r="220" spans="1:21" x14ac:dyDescent="0.15">
      <c r="A220" s="149"/>
      <c r="B220" s="152"/>
      <c r="C220" s="154"/>
      <c r="D220" s="152"/>
      <c r="E220" s="152"/>
      <c r="F220" s="152"/>
      <c r="G220" s="152"/>
      <c r="H220" s="154"/>
      <c r="I220" s="154"/>
      <c r="J220" s="152"/>
      <c r="K220" s="154"/>
      <c r="L220" s="152"/>
      <c r="M220" s="152"/>
      <c r="N220" s="152"/>
      <c r="O220" s="161"/>
      <c r="R220" s="163"/>
      <c r="S220" s="154"/>
      <c r="T220" s="154"/>
      <c r="U220" s="247"/>
    </row>
    <row r="221" spans="1:21" x14ac:dyDescent="0.15">
      <c r="A221" s="149"/>
      <c r="B221" s="152"/>
      <c r="C221" s="154"/>
      <c r="D221" s="152"/>
      <c r="E221" s="152"/>
      <c r="F221" s="152"/>
      <c r="G221" s="152"/>
      <c r="H221" s="154"/>
      <c r="I221" s="154"/>
      <c r="J221" s="152"/>
      <c r="K221" s="154"/>
      <c r="L221" s="152"/>
      <c r="M221" s="152"/>
      <c r="N221" s="152"/>
      <c r="O221" s="161"/>
      <c r="R221" s="163"/>
      <c r="S221" s="154"/>
      <c r="T221" s="154"/>
      <c r="U221" s="247"/>
    </row>
    <row r="222" spans="1:21" x14ac:dyDescent="0.15">
      <c r="A222" s="149"/>
      <c r="B222" s="152"/>
      <c r="C222" s="154"/>
      <c r="D222" s="152"/>
      <c r="E222" s="152"/>
      <c r="F222" s="152"/>
      <c r="G222" s="152"/>
      <c r="H222" s="154"/>
      <c r="I222" s="154"/>
      <c r="J222" s="152"/>
      <c r="K222" s="154"/>
      <c r="L222" s="152"/>
      <c r="M222" s="152"/>
      <c r="N222" s="152"/>
      <c r="O222" s="161"/>
      <c r="R222" s="163"/>
      <c r="S222" s="154"/>
      <c r="T222" s="154"/>
      <c r="U222" s="247"/>
    </row>
    <row r="223" spans="1:21" x14ac:dyDescent="0.15">
      <c r="A223" s="149"/>
      <c r="B223" s="152"/>
      <c r="C223" s="154"/>
      <c r="D223" s="152"/>
      <c r="E223" s="152"/>
      <c r="F223" s="152"/>
      <c r="G223" s="152"/>
      <c r="H223" s="154"/>
      <c r="I223" s="154"/>
      <c r="J223" s="152"/>
      <c r="K223" s="154"/>
      <c r="L223" s="152"/>
      <c r="M223" s="152"/>
      <c r="N223" s="152"/>
      <c r="O223" s="161"/>
      <c r="R223" s="163"/>
      <c r="S223" s="154"/>
      <c r="T223" s="154"/>
      <c r="U223" s="247"/>
    </row>
    <row r="224" spans="1:21" x14ac:dyDescent="0.15">
      <c r="A224" s="149"/>
      <c r="B224" s="152"/>
      <c r="C224" s="154"/>
      <c r="D224" s="152"/>
      <c r="E224" s="152"/>
      <c r="F224" s="152"/>
      <c r="G224" s="152"/>
      <c r="H224" s="154"/>
      <c r="I224" s="154"/>
      <c r="J224" s="152"/>
      <c r="K224" s="154"/>
      <c r="L224" s="152"/>
      <c r="M224" s="152"/>
      <c r="N224" s="152"/>
      <c r="O224" s="161"/>
      <c r="R224" s="163"/>
      <c r="S224" s="154"/>
      <c r="T224" s="154"/>
      <c r="U224" s="247"/>
    </row>
    <row r="225" spans="1:21" x14ac:dyDescent="0.15">
      <c r="A225" s="149"/>
      <c r="B225" s="152"/>
      <c r="C225" s="154"/>
      <c r="D225" s="152"/>
      <c r="E225" s="152"/>
      <c r="F225" s="152"/>
      <c r="G225" s="152"/>
      <c r="H225" s="154"/>
      <c r="I225" s="154"/>
      <c r="J225" s="152"/>
      <c r="K225" s="154"/>
      <c r="L225" s="152"/>
      <c r="M225" s="152"/>
      <c r="N225" s="152"/>
      <c r="O225" s="161"/>
      <c r="R225" s="163"/>
      <c r="S225" s="154"/>
      <c r="T225" s="154"/>
      <c r="U225" s="247"/>
    </row>
    <row r="226" spans="1:21" x14ac:dyDescent="0.15">
      <c r="A226" s="149"/>
      <c r="B226" s="152"/>
      <c r="C226" s="154"/>
      <c r="D226" s="152"/>
      <c r="E226" s="152"/>
      <c r="F226" s="152"/>
      <c r="G226" s="152"/>
      <c r="H226" s="154"/>
      <c r="I226" s="154"/>
      <c r="J226" s="152"/>
      <c r="K226" s="154"/>
      <c r="L226" s="152"/>
      <c r="M226" s="152"/>
      <c r="N226" s="152"/>
      <c r="O226" s="161"/>
      <c r="R226" s="163"/>
      <c r="S226" s="154"/>
      <c r="T226" s="154"/>
      <c r="U226" s="247"/>
    </row>
    <row r="227" spans="1:21" x14ac:dyDescent="0.15">
      <c r="A227" s="149"/>
      <c r="B227" s="152"/>
      <c r="C227" s="154"/>
      <c r="D227" s="152"/>
      <c r="E227" s="152"/>
      <c r="F227" s="152"/>
      <c r="G227" s="152"/>
      <c r="H227" s="154"/>
      <c r="I227" s="154"/>
      <c r="J227" s="152"/>
      <c r="K227" s="154"/>
      <c r="L227" s="152"/>
      <c r="M227" s="152"/>
      <c r="N227" s="152"/>
      <c r="O227" s="161"/>
      <c r="R227" s="163"/>
      <c r="S227" s="154"/>
      <c r="T227" s="154"/>
      <c r="U227" s="247"/>
    </row>
    <row r="228" spans="1:21" x14ac:dyDescent="0.15">
      <c r="A228" s="149"/>
      <c r="B228" s="152"/>
      <c r="C228" s="154"/>
      <c r="D228" s="152"/>
      <c r="E228" s="152"/>
      <c r="F228" s="152"/>
      <c r="G228" s="152"/>
      <c r="H228" s="154"/>
      <c r="I228" s="154"/>
      <c r="J228" s="152"/>
      <c r="K228" s="154"/>
      <c r="L228" s="152"/>
      <c r="M228" s="152"/>
      <c r="N228" s="152"/>
      <c r="O228" s="161"/>
      <c r="R228" s="163"/>
      <c r="S228" s="154"/>
      <c r="T228" s="154"/>
      <c r="U228" s="247"/>
    </row>
    <row r="229" spans="1:21" x14ac:dyDescent="0.15">
      <c r="A229" s="149"/>
      <c r="B229" s="152"/>
      <c r="C229" s="154"/>
      <c r="D229" s="152"/>
      <c r="E229" s="152"/>
      <c r="F229" s="152"/>
      <c r="G229" s="152"/>
      <c r="H229" s="154"/>
      <c r="I229" s="154"/>
      <c r="J229" s="152"/>
      <c r="K229" s="154"/>
      <c r="L229" s="152"/>
      <c r="M229" s="152"/>
      <c r="N229" s="152"/>
      <c r="O229" s="161"/>
      <c r="R229" s="163"/>
      <c r="S229" s="154"/>
      <c r="T229" s="154"/>
      <c r="U229" s="247"/>
    </row>
    <row r="230" spans="1:21" x14ac:dyDescent="0.15">
      <c r="A230" s="149"/>
      <c r="B230" s="152"/>
      <c r="C230" s="154"/>
      <c r="D230" s="152"/>
      <c r="E230" s="152"/>
      <c r="F230" s="152"/>
      <c r="G230" s="152"/>
      <c r="H230" s="154"/>
      <c r="I230" s="154"/>
      <c r="J230" s="152"/>
      <c r="K230" s="154"/>
      <c r="L230" s="152"/>
      <c r="M230" s="152"/>
      <c r="N230" s="152"/>
      <c r="O230" s="161"/>
      <c r="R230" s="163"/>
      <c r="S230" s="154"/>
      <c r="T230" s="154"/>
      <c r="U230" s="247"/>
    </row>
    <row r="231" spans="1:21" x14ac:dyDescent="0.15">
      <c r="A231" s="149"/>
      <c r="B231" s="152"/>
      <c r="C231" s="154"/>
      <c r="D231" s="152"/>
      <c r="E231" s="152"/>
      <c r="F231" s="152"/>
      <c r="G231" s="152"/>
      <c r="H231" s="154"/>
      <c r="I231" s="154"/>
      <c r="J231" s="152"/>
      <c r="K231" s="154"/>
      <c r="L231" s="152"/>
      <c r="M231" s="152"/>
      <c r="N231" s="152"/>
      <c r="O231" s="161"/>
      <c r="R231" s="163"/>
      <c r="S231" s="154"/>
      <c r="T231" s="154"/>
      <c r="U231" s="247"/>
    </row>
    <row r="232" spans="1:21" x14ac:dyDescent="0.15">
      <c r="A232" s="149"/>
      <c r="B232" s="152"/>
      <c r="C232" s="154"/>
      <c r="D232" s="152"/>
      <c r="E232" s="152"/>
      <c r="F232" s="152"/>
      <c r="G232" s="152"/>
      <c r="H232" s="154"/>
      <c r="I232" s="154"/>
      <c r="J232" s="152"/>
      <c r="K232" s="154"/>
      <c r="L232" s="152"/>
      <c r="M232" s="152"/>
      <c r="N232" s="152"/>
      <c r="O232" s="161"/>
      <c r="R232" s="163"/>
      <c r="S232" s="154"/>
      <c r="T232" s="154"/>
      <c r="U232" s="247"/>
    </row>
    <row r="233" spans="1:21" x14ac:dyDescent="0.15">
      <c r="A233" s="149"/>
      <c r="B233" s="152"/>
      <c r="C233" s="154"/>
      <c r="D233" s="152"/>
      <c r="E233" s="152"/>
      <c r="F233" s="152"/>
      <c r="G233" s="152"/>
      <c r="H233" s="154"/>
      <c r="I233" s="154"/>
      <c r="J233" s="152"/>
      <c r="K233" s="154"/>
      <c r="L233" s="152"/>
      <c r="M233" s="152"/>
      <c r="N233" s="152"/>
      <c r="O233" s="161"/>
      <c r="R233" s="163"/>
      <c r="S233" s="154"/>
      <c r="T233" s="154"/>
      <c r="U233" s="247"/>
    </row>
    <row r="234" spans="1:21" x14ac:dyDescent="0.15">
      <c r="A234" s="149"/>
      <c r="B234" s="152"/>
      <c r="C234" s="154"/>
      <c r="D234" s="152"/>
      <c r="E234" s="152"/>
      <c r="F234" s="152"/>
      <c r="G234" s="152"/>
      <c r="H234" s="154"/>
      <c r="I234" s="154"/>
      <c r="J234" s="152"/>
      <c r="K234" s="154"/>
      <c r="L234" s="152"/>
      <c r="M234" s="152"/>
      <c r="N234" s="152"/>
      <c r="O234" s="161"/>
      <c r="R234" s="163"/>
      <c r="S234" s="154"/>
      <c r="T234" s="154"/>
      <c r="U234" s="247"/>
    </row>
    <row r="235" spans="1:21" x14ac:dyDescent="0.15">
      <c r="A235" s="149"/>
      <c r="B235" s="152"/>
      <c r="C235" s="154"/>
      <c r="D235" s="152"/>
      <c r="E235" s="152"/>
      <c r="F235" s="152"/>
      <c r="G235" s="152"/>
      <c r="H235" s="154"/>
      <c r="I235" s="154"/>
      <c r="J235" s="152"/>
      <c r="K235" s="154"/>
      <c r="L235" s="152"/>
      <c r="M235" s="152"/>
      <c r="N235" s="152"/>
      <c r="O235" s="161"/>
      <c r="R235" s="163"/>
      <c r="S235" s="154"/>
      <c r="T235" s="154"/>
      <c r="U235" s="247"/>
    </row>
    <row r="236" spans="1:21" x14ac:dyDescent="0.15">
      <c r="A236" s="149"/>
      <c r="B236" s="152"/>
      <c r="C236" s="154"/>
      <c r="D236" s="152"/>
      <c r="E236" s="152"/>
      <c r="F236" s="152"/>
      <c r="G236" s="152"/>
      <c r="H236" s="154"/>
      <c r="I236" s="154"/>
      <c r="J236" s="152"/>
      <c r="K236" s="154"/>
      <c r="L236" s="152"/>
      <c r="M236" s="152"/>
      <c r="N236" s="152"/>
      <c r="O236" s="161"/>
      <c r="R236" s="163"/>
      <c r="S236" s="154"/>
      <c r="T236" s="154"/>
      <c r="U236" s="247"/>
    </row>
    <row r="237" spans="1:21" x14ac:dyDescent="0.15">
      <c r="A237" s="149"/>
      <c r="B237" s="152"/>
      <c r="C237" s="154"/>
      <c r="D237" s="152"/>
      <c r="E237" s="152"/>
      <c r="F237" s="152"/>
      <c r="G237" s="152"/>
      <c r="H237" s="154"/>
      <c r="I237" s="154"/>
      <c r="J237" s="152"/>
      <c r="K237" s="154"/>
      <c r="L237" s="152"/>
      <c r="M237" s="152"/>
      <c r="N237" s="152"/>
      <c r="O237" s="161"/>
      <c r="R237" s="163"/>
      <c r="S237" s="154"/>
      <c r="T237" s="154"/>
      <c r="U237" s="247"/>
    </row>
    <row r="238" spans="1:21" x14ac:dyDescent="0.15">
      <c r="A238" s="149"/>
      <c r="B238" s="152"/>
      <c r="C238" s="154"/>
      <c r="D238" s="152"/>
      <c r="E238" s="152"/>
      <c r="F238" s="152"/>
      <c r="G238" s="152"/>
      <c r="H238" s="154"/>
      <c r="I238" s="154"/>
      <c r="J238" s="152"/>
      <c r="K238" s="154"/>
      <c r="L238" s="152"/>
      <c r="M238" s="152"/>
      <c r="N238" s="152"/>
      <c r="O238" s="161"/>
      <c r="R238" s="163"/>
      <c r="S238" s="154"/>
      <c r="T238" s="154"/>
      <c r="U238" s="247"/>
    </row>
    <row r="239" spans="1:21" x14ac:dyDescent="0.15">
      <c r="A239" s="149"/>
      <c r="B239" s="152"/>
      <c r="C239" s="154"/>
      <c r="D239" s="152"/>
      <c r="E239" s="152"/>
      <c r="F239" s="152"/>
      <c r="G239" s="152"/>
      <c r="H239" s="154"/>
      <c r="I239" s="154"/>
      <c r="J239" s="152"/>
      <c r="K239" s="154"/>
      <c r="L239" s="152"/>
      <c r="M239" s="152"/>
      <c r="N239" s="152"/>
      <c r="O239" s="161"/>
      <c r="R239" s="163"/>
      <c r="S239" s="154"/>
      <c r="T239" s="154"/>
      <c r="U239" s="247"/>
    </row>
    <row r="240" spans="1:21" x14ac:dyDescent="0.15">
      <c r="A240" s="149"/>
      <c r="B240" s="152"/>
      <c r="C240" s="154"/>
      <c r="D240" s="152"/>
      <c r="E240" s="152"/>
      <c r="F240" s="152"/>
      <c r="G240" s="152"/>
      <c r="H240" s="154"/>
      <c r="I240" s="154"/>
      <c r="J240" s="152"/>
      <c r="K240" s="154"/>
      <c r="L240" s="152"/>
      <c r="M240" s="152"/>
      <c r="N240" s="152"/>
      <c r="O240" s="161"/>
      <c r="R240" s="163"/>
      <c r="S240" s="154"/>
      <c r="T240" s="154"/>
      <c r="U240" s="247"/>
    </row>
    <row r="241" spans="1:21" x14ac:dyDescent="0.15">
      <c r="A241" s="149"/>
      <c r="B241" s="152"/>
      <c r="C241" s="154"/>
      <c r="D241" s="152"/>
      <c r="E241" s="152"/>
      <c r="F241" s="152"/>
      <c r="G241" s="152"/>
      <c r="H241" s="154"/>
      <c r="I241" s="154"/>
      <c r="J241" s="152"/>
      <c r="K241" s="154"/>
      <c r="L241" s="152"/>
      <c r="M241" s="152"/>
      <c r="N241" s="152"/>
      <c r="O241" s="161"/>
      <c r="R241" s="163"/>
      <c r="S241" s="154"/>
      <c r="T241" s="154"/>
      <c r="U241" s="247"/>
    </row>
    <row r="242" spans="1:21" x14ac:dyDescent="0.15">
      <c r="A242" s="149"/>
      <c r="B242" s="152"/>
      <c r="C242" s="154"/>
      <c r="D242" s="152"/>
      <c r="E242" s="152"/>
      <c r="F242" s="152"/>
      <c r="G242" s="152"/>
      <c r="H242" s="154"/>
      <c r="I242" s="154"/>
      <c r="J242" s="152"/>
      <c r="K242" s="154"/>
      <c r="L242" s="152"/>
      <c r="M242" s="152"/>
      <c r="N242" s="152"/>
      <c r="O242" s="161"/>
      <c r="R242" s="163"/>
      <c r="S242" s="154"/>
      <c r="T242" s="154"/>
      <c r="U242" s="247"/>
    </row>
    <row r="243" spans="1:21" x14ac:dyDescent="0.15">
      <c r="A243" s="149"/>
      <c r="B243" s="152"/>
      <c r="C243" s="154"/>
      <c r="D243" s="152"/>
      <c r="E243" s="152"/>
      <c r="F243" s="152"/>
      <c r="G243" s="152"/>
      <c r="H243" s="154"/>
      <c r="I243" s="154"/>
      <c r="J243" s="152"/>
      <c r="K243" s="154"/>
      <c r="L243" s="152"/>
      <c r="M243" s="152"/>
      <c r="N243" s="152"/>
      <c r="O243" s="161"/>
      <c r="R243" s="163"/>
      <c r="S243" s="154"/>
      <c r="T243" s="154"/>
      <c r="U243" s="247"/>
    </row>
    <row r="244" spans="1:21" x14ac:dyDescent="0.15">
      <c r="A244" s="149"/>
      <c r="B244" s="152"/>
      <c r="C244" s="154"/>
      <c r="D244" s="152"/>
      <c r="E244" s="152"/>
      <c r="F244" s="152"/>
      <c r="G244" s="152"/>
      <c r="H244" s="154"/>
      <c r="I244" s="154"/>
      <c r="J244" s="152"/>
      <c r="K244" s="154"/>
      <c r="L244" s="152"/>
      <c r="M244" s="152"/>
      <c r="N244" s="152"/>
      <c r="O244" s="161"/>
      <c r="R244" s="163"/>
      <c r="S244" s="154"/>
      <c r="T244" s="154"/>
      <c r="U244" s="247"/>
    </row>
    <row r="245" spans="1:21" x14ac:dyDescent="0.15">
      <c r="A245" s="149"/>
      <c r="B245" s="152"/>
      <c r="C245" s="154"/>
      <c r="D245" s="152"/>
      <c r="E245" s="152"/>
      <c r="F245" s="152"/>
      <c r="G245" s="152"/>
      <c r="H245" s="154"/>
      <c r="I245" s="154"/>
      <c r="J245" s="152"/>
      <c r="K245" s="154"/>
      <c r="L245" s="152"/>
      <c r="M245" s="152"/>
      <c r="N245" s="152"/>
      <c r="O245" s="161"/>
      <c r="R245" s="163"/>
      <c r="S245" s="154"/>
      <c r="T245" s="154"/>
      <c r="U245" s="247"/>
    </row>
    <row r="246" spans="1:21" x14ac:dyDescent="0.15">
      <c r="A246" s="149"/>
      <c r="B246" s="152"/>
      <c r="C246" s="154"/>
      <c r="D246" s="152"/>
      <c r="E246" s="152"/>
      <c r="F246" s="152"/>
      <c r="G246" s="152"/>
      <c r="H246" s="154"/>
      <c r="I246" s="154"/>
      <c r="J246" s="152"/>
      <c r="K246" s="154"/>
      <c r="L246" s="152"/>
      <c r="M246" s="152"/>
      <c r="N246" s="152"/>
      <c r="O246" s="161"/>
      <c r="R246" s="163"/>
      <c r="S246" s="154"/>
      <c r="T246" s="154"/>
      <c r="U246" s="247"/>
    </row>
    <row r="247" spans="1:21" x14ac:dyDescent="0.15">
      <c r="A247" s="149"/>
      <c r="B247" s="152"/>
      <c r="C247" s="154"/>
      <c r="D247" s="152"/>
      <c r="E247" s="152"/>
      <c r="F247" s="152"/>
      <c r="G247" s="152"/>
      <c r="H247" s="154"/>
      <c r="I247" s="154"/>
      <c r="J247" s="152"/>
      <c r="K247" s="154"/>
      <c r="L247" s="152"/>
      <c r="M247" s="152"/>
      <c r="N247" s="152"/>
      <c r="O247" s="161"/>
      <c r="R247" s="163"/>
      <c r="S247" s="154"/>
      <c r="T247" s="154"/>
      <c r="U247" s="247"/>
    </row>
    <row r="248" spans="1:21" x14ac:dyDescent="0.15">
      <c r="A248" s="149"/>
      <c r="B248" s="152"/>
      <c r="C248" s="154"/>
      <c r="D248" s="152"/>
      <c r="E248" s="152"/>
      <c r="F248" s="152"/>
      <c r="G248" s="152"/>
      <c r="H248" s="154"/>
      <c r="I248" s="154"/>
      <c r="J248" s="152"/>
      <c r="K248" s="154"/>
      <c r="L248" s="152"/>
      <c r="M248" s="152"/>
      <c r="N248" s="152"/>
      <c r="O248" s="161"/>
      <c r="R248" s="163"/>
      <c r="S248" s="154"/>
      <c r="T248" s="154"/>
      <c r="U248" s="247"/>
    </row>
    <row r="249" spans="1:21" x14ac:dyDescent="0.15">
      <c r="A249" s="149"/>
      <c r="B249" s="152"/>
      <c r="C249" s="154"/>
      <c r="D249" s="152"/>
      <c r="E249" s="152"/>
      <c r="F249" s="152"/>
      <c r="G249" s="152"/>
      <c r="H249" s="154"/>
      <c r="I249" s="154"/>
      <c r="J249" s="152"/>
      <c r="K249" s="154"/>
      <c r="L249" s="152"/>
      <c r="M249" s="152"/>
      <c r="N249" s="152"/>
      <c r="O249" s="161"/>
      <c r="R249" s="163"/>
      <c r="S249" s="154"/>
      <c r="T249" s="154"/>
      <c r="U249" s="247"/>
    </row>
    <row r="250" spans="1:21" x14ac:dyDescent="0.15">
      <c r="A250" s="149"/>
      <c r="B250" s="152"/>
      <c r="C250" s="154"/>
      <c r="D250" s="152"/>
      <c r="E250" s="152"/>
      <c r="F250" s="152"/>
      <c r="G250" s="152"/>
      <c r="H250" s="154"/>
      <c r="I250" s="154"/>
      <c r="J250" s="152"/>
      <c r="K250" s="154"/>
      <c r="L250" s="152"/>
      <c r="M250" s="152"/>
      <c r="N250" s="152"/>
      <c r="O250" s="161"/>
      <c r="R250" s="163"/>
      <c r="S250" s="154"/>
      <c r="T250" s="154"/>
      <c r="U250" s="247"/>
    </row>
    <row r="251" spans="1:21" x14ac:dyDescent="0.15">
      <c r="A251" s="149"/>
      <c r="B251" s="152"/>
      <c r="C251" s="154"/>
      <c r="D251" s="152"/>
      <c r="E251" s="152"/>
      <c r="F251" s="152"/>
      <c r="G251" s="152"/>
      <c r="H251" s="154"/>
      <c r="I251" s="154"/>
      <c r="J251" s="152"/>
      <c r="K251" s="154"/>
      <c r="L251" s="152"/>
      <c r="M251" s="152"/>
      <c r="N251" s="152"/>
      <c r="O251" s="161"/>
      <c r="R251" s="163"/>
      <c r="S251" s="154"/>
      <c r="T251" s="154"/>
      <c r="U251" s="247"/>
    </row>
    <row r="252" spans="1:21" x14ac:dyDescent="0.15">
      <c r="A252" s="149"/>
      <c r="B252" s="152"/>
      <c r="C252" s="154"/>
      <c r="D252" s="152"/>
      <c r="E252" s="152"/>
      <c r="F252" s="152"/>
      <c r="G252" s="152"/>
      <c r="H252" s="154"/>
      <c r="I252" s="154"/>
      <c r="J252" s="152"/>
      <c r="K252" s="154"/>
      <c r="L252" s="152"/>
      <c r="M252" s="152"/>
      <c r="N252" s="152"/>
      <c r="O252" s="161"/>
      <c r="R252" s="163"/>
      <c r="S252" s="154"/>
      <c r="T252" s="154"/>
      <c r="U252" s="247"/>
    </row>
    <row r="253" spans="1:21" x14ac:dyDescent="0.15">
      <c r="A253" s="149"/>
      <c r="B253" s="152"/>
      <c r="C253" s="154"/>
      <c r="D253" s="152"/>
      <c r="E253" s="152"/>
      <c r="F253" s="152"/>
      <c r="G253" s="152"/>
      <c r="H253" s="154"/>
      <c r="I253" s="154"/>
      <c r="J253" s="152"/>
      <c r="K253" s="154"/>
      <c r="L253" s="152"/>
      <c r="M253" s="152"/>
      <c r="N253" s="152"/>
      <c r="O253" s="161"/>
      <c r="R253" s="163"/>
      <c r="S253" s="154"/>
      <c r="T253" s="154"/>
      <c r="U253" s="247"/>
    </row>
    <row r="254" spans="1:21" x14ac:dyDescent="0.15">
      <c r="A254" s="149"/>
      <c r="B254" s="152"/>
      <c r="C254" s="154"/>
      <c r="D254" s="152"/>
      <c r="E254" s="152"/>
      <c r="F254" s="152"/>
      <c r="G254" s="152"/>
      <c r="H254" s="154"/>
      <c r="I254" s="154"/>
      <c r="J254" s="152"/>
      <c r="K254" s="154"/>
      <c r="L254" s="152"/>
      <c r="M254" s="152"/>
      <c r="N254" s="152"/>
      <c r="O254" s="161"/>
      <c r="R254" s="163"/>
      <c r="S254" s="154"/>
      <c r="T254" s="154"/>
      <c r="U254" s="247"/>
    </row>
    <row r="255" spans="1:21" x14ac:dyDescent="0.15">
      <c r="A255" s="149"/>
      <c r="B255" s="152"/>
      <c r="C255" s="154"/>
      <c r="D255" s="152"/>
      <c r="E255" s="152"/>
      <c r="F255" s="152"/>
      <c r="G255" s="152"/>
      <c r="H255" s="154"/>
      <c r="I255" s="154"/>
      <c r="J255" s="152"/>
      <c r="K255" s="154"/>
      <c r="L255" s="152"/>
      <c r="M255" s="152"/>
      <c r="N255" s="152"/>
      <c r="O255" s="161"/>
      <c r="R255" s="163"/>
      <c r="S255" s="154"/>
      <c r="T255" s="154"/>
      <c r="U255" s="247"/>
    </row>
    <row r="256" spans="1:21" x14ac:dyDescent="0.15">
      <c r="A256" s="149"/>
      <c r="B256" s="152"/>
      <c r="C256" s="154"/>
      <c r="D256" s="152"/>
      <c r="E256" s="152"/>
      <c r="F256" s="152"/>
      <c r="G256" s="152"/>
      <c r="H256" s="154"/>
      <c r="I256" s="154"/>
      <c r="J256" s="152"/>
      <c r="K256" s="154"/>
      <c r="L256" s="152"/>
      <c r="M256" s="152"/>
      <c r="N256" s="152"/>
      <c r="O256" s="161"/>
      <c r="R256" s="163"/>
      <c r="S256" s="154"/>
      <c r="T256" s="154"/>
      <c r="U256" s="247"/>
    </row>
    <row r="257" spans="1:21" x14ac:dyDescent="0.15">
      <c r="A257" s="149"/>
      <c r="B257" s="152"/>
      <c r="C257" s="154"/>
      <c r="D257" s="152"/>
      <c r="E257" s="152"/>
      <c r="F257" s="152"/>
      <c r="G257" s="152"/>
      <c r="H257" s="154"/>
      <c r="I257" s="154"/>
      <c r="J257" s="152"/>
      <c r="K257" s="154"/>
      <c r="L257" s="152"/>
      <c r="M257" s="152"/>
      <c r="N257" s="152"/>
      <c r="O257" s="161"/>
      <c r="R257" s="163"/>
      <c r="S257" s="154"/>
      <c r="T257" s="154"/>
      <c r="U257" s="247"/>
    </row>
    <row r="258" spans="1:21" x14ac:dyDescent="0.15">
      <c r="A258" s="149"/>
      <c r="B258" s="152"/>
      <c r="C258" s="154"/>
      <c r="D258" s="152"/>
      <c r="E258" s="152"/>
      <c r="F258" s="152"/>
      <c r="G258" s="152"/>
      <c r="H258" s="154"/>
      <c r="I258" s="154"/>
      <c r="J258" s="152"/>
      <c r="K258" s="154"/>
      <c r="L258" s="152"/>
      <c r="M258" s="152"/>
      <c r="N258" s="152"/>
      <c r="O258" s="161"/>
      <c r="R258" s="163"/>
      <c r="S258" s="154"/>
      <c r="T258" s="154"/>
      <c r="U258" s="247"/>
    </row>
    <row r="259" spans="1:21" x14ac:dyDescent="0.15">
      <c r="A259" s="149"/>
      <c r="B259" s="152"/>
      <c r="C259" s="154"/>
      <c r="D259" s="152"/>
      <c r="E259" s="152"/>
      <c r="F259" s="152"/>
      <c r="G259" s="152"/>
      <c r="H259" s="154"/>
      <c r="I259" s="154"/>
      <c r="J259" s="152"/>
      <c r="K259" s="154"/>
      <c r="L259" s="152"/>
      <c r="M259" s="152"/>
      <c r="N259" s="152"/>
      <c r="O259" s="161"/>
      <c r="R259" s="163"/>
      <c r="S259" s="154"/>
      <c r="T259" s="154"/>
      <c r="U259" s="247"/>
    </row>
    <row r="260" spans="1:21" x14ac:dyDescent="0.15">
      <c r="A260" s="149"/>
      <c r="B260" s="152"/>
      <c r="C260" s="154"/>
      <c r="D260" s="152"/>
      <c r="E260" s="152"/>
      <c r="F260" s="152"/>
      <c r="G260" s="152"/>
      <c r="H260" s="154"/>
      <c r="I260" s="154"/>
      <c r="J260" s="152"/>
      <c r="K260" s="154"/>
      <c r="L260" s="152"/>
      <c r="M260" s="152"/>
      <c r="N260" s="152"/>
      <c r="O260" s="161"/>
      <c r="R260" s="163"/>
      <c r="S260" s="154"/>
      <c r="T260" s="154"/>
      <c r="U260" s="247"/>
    </row>
    <row r="261" spans="1:21" x14ac:dyDescent="0.15">
      <c r="A261" s="149"/>
      <c r="B261" s="152"/>
      <c r="C261" s="154"/>
      <c r="D261" s="152"/>
      <c r="E261" s="152"/>
      <c r="F261" s="152"/>
      <c r="G261" s="152"/>
      <c r="H261" s="154"/>
      <c r="I261" s="154"/>
      <c r="J261" s="152"/>
      <c r="K261" s="154"/>
      <c r="L261" s="152"/>
      <c r="M261" s="152"/>
      <c r="N261" s="152"/>
      <c r="O261" s="161"/>
      <c r="R261" s="163"/>
      <c r="S261" s="154"/>
      <c r="T261" s="154"/>
      <c r="U261" s="247"/>
    </row>
    <row r="262" spans="1:21" x14ac:dyDescent="0.15">
      <c r="A262" s="149"/>
      <c r="B262" s="152"/>
      <c r="C262" s="154"/>
      <c r="D262" s="152"/>
      <c r="E262" s="152"/>
      <c r="F262" s="152"/>
      <c r="G262" s="152"/>
      <c r="H262" s="154"/>
      <c r="I262" s="154"/>
      <c r="J262" s="152"/>
      <c r="K262" s="154"/>
      <c r="L262" s="152"/>
      <c r="M262" s="152"/>
      <c r="N262" s="152"/>
      <c r="O262" s="161"/>
      <c r="R262" s="163"/>
      <c r="S262" s="154"/>
      <c r="T262" s="154"/>
      <c r="U262" s="247"/>
    </row>
    <row r="263" spans="1:21" x14ac:dyDescent="0.15">
      <c r="A263" s="149"/>
      <c r="B263" s="152"/>
      <c r="C263" s="154"/>
      <c r="D263" s="152"/>
      <c r="E263" s="152"/>
      <c r="F263" s="152"/>
      <c r="G263" s="152"/>
      <c r="H263" s="154"/>
      <c r="I263" s="154"/>
      <c r="J263" s="152"/>
      <c r="K263" s="154"/>
      <c r="L263" s="152"/>
      <c r="M263" s="152"/>
      <c r="N263" s="152"/>
      <c r="O263" s="161"/>
      <c r="R263" s="163"/>
      <c r="S263" s="154"/>
      <c r="T263" s="154"/>
      <c r="U263" s="247"/>
    </row>
    <row r="264" spans="1:21" x14ac:dyDescent="0.15">
      <c r="A264" s="149"/>
      <c r="B264" s="152"/>
      <c r="C264" s="154"/>
      <c r="D264" s="152"/>
      <c r="E264" s="152"/>
      <c r="F264" s="152"/>
      <c r="G264" s="152"/>
      <c r="H264" s="154"/>
      <c r="I264" s="154"/>
      <c r="J264" s="152"/>
      <c r="K264" s="154"/>
      <c r="L264" s="152"/>
      <c r="M264" s="152"/>
      <c r="N264" s="152"/>
      <c r="O264" s="161"/>
      <c r="R264" s="163"/>
      <c r="S264" s="154"/>
      <c r="T264" s="154"/>
      <c r="U264" s="247"/>
    </row>
    <row r="265" spans="1:21" x14ac:dyDescent="0.15">
      <c r="A265" s="149"/>
      <c r="B265" s="152"/>
      <c r="C265" s="154"/>
      <c r="D265" s="152"/>
      <c r="E265" s="152"/>
      <c r="F265" s="152"/>
      <c r="G265" s="152"/>
      <c r="H265" s="154"/>
      <c r="I265" s="154"/>
      <c r="J265" s="152"/>
      <c r="K265" s="154"/>
      <c r="L265" s="152"/>
      <c r="M265" s="152"/>
      <c r="N265" s="152"/>
      <c r="O265" s="161"/>
      <c r="R265" s="163"/>
      <c r="S265" s="154"/>
      <c r="T265" s="154"/>
      <c r="U265" s="247"/>
    </row>
    <row r="266" spans="1:21" x14ac:dyDescent="0.15">
      <c r="A266" s="149"/>
      <c r="B266" s="152"/>
      <c r="C266" s="154"/>
      <c r="D266" s="152"/>
      <c r="E266" s="152"/>
      <c r="F266" s="152"/>
      <c r="G266" s="152"/>
      <c r="H266" s="154"/>
      <c r="I266" s="154"/>
      <c r="J266" s="152"/>
      <c r="K266" s="154"/>
      <c r="L266" s="152"/>
      <c r="M266" s="152"/>
      <c r="N266" s="152"/>
      <c r="O266" s="161"/>
      <c r="R266" s="163"/>
      <c r="S266" s="154"/>
      <c r="T266" s="154"/>
      <c r="U266" s="247"/>
    </row>
    <row r="267" spans="1:21" x14ac:dyDescent="0.15">
      <c r="A267" s="149"/>
      <c r="B267" s="152"/>
      <c r="C267" s="154"/>
      <c r="D267" s="152"/>
      <c r="E267" s="152"/>
      <c r="F267" s="152"/>
      <c r="G267" s="152"/>
      <c r="H267" s="154"/>
      <c r="I267" s="154"/>
      <c r="J267" s="152"/>
      <c r="K267" s="154"/>
      <c r="L267" s="152"/>
      <c r="M267" s="152"/>
      <c r="N267" s="152"/>
      <c r="O267" s="161"/>
      <c r="R267" s="163"/>
      <c r="S267" s="154"/>
      <c r="T267" s="154"/>
      <c r="U267" s="247"/>
    </row>
    <row r="268" spans="1:21" x14ac:dyDescent="0.15">
      <c r="A268" s="149"/>
      <c r="B268" s="152"/>
      <c r="C268" s="154"/>
      <c r="D268" s="152"/>
      <c r="E268" s="152"/>
      <c r="F268" s="152"/>
      <c r="G268" s="152"/>
      <c r="H268" s="154"/>
      <c r="I268" s="154"/>
      <c r="J268" s="152"/>
      <c r="K268" s="154"/>
      <c r="L268" s="152"/>
      <c r="M268" s="152"/>
      <c r="N268" s="152"/>
      <c r="O268" s="161"/>
      <c r="R268" s="163"/>
      <c r="S268" s="154"/>
      <c r="T268" s="154"/>
      <c r="U268" s="247"/>
    </row>
    <row r="269" spans="1:21" x14ac:dyDescent="0.15">
      <c r="A269" s="149"/>
      <c r="B269" s="152"/>
      <c r="C269" s="154"/>
      <c r="D269" s="152"/>
      <c r="E269" s="152"/>
      <c r="F269" s="152"/>
      <c r="G269" s="152"/>
      <c r="H269" s="154"/>
      <c r="I269" s="154"/>
      <c r="J269" s="152"/>
      <c r="K269" s="154"/>
      <c r="L269" s="152"/>
      <c r="M269" s="152"/>
      <c r="N269" s="152"/>
      <c r="O269" s="161"/>
      <c r="R269" s="163"/>
      <c r="S269" s="154"/>
      <c r="T269" s="154"/>
      <c r="U269" s="247"/>
    </row>
    <row r="270" spans="1:21" x14ac:dyDescent="0.15">
      <c r="A270" s="149"/>
      <c r="B270" s="152"/>
      <c r="C270" s="154"/>
      <c r="D270" s="152"/>
      <c r="E270" s="152"/>
      <c r="F270" s="152"/>
      <c r="G270" s="152"/>
      <c r="H270" s="154"/>
      <c r="I270" s="154"/>
      <c r="J270" s="152"/>
      <c r="K270" s="154"/>
      <c r="L270" s="152"/>
      <c r="M270" s="152"/>
      <c r="N270" s="152"/>
      <c r="O270" s="161"/>
      <c r="R270" s="163"/>
      <c r="S270" s="154"/>
      <c r="T270" s="154"/>
      <c r="U270" s="247"/>
    </row>
    <row r="271" spans="1:21" x14ac:dyDescent="0.15">
      <c r="A271" s="149"/>
      <c r="B271" s="152"/>
      <c r="C271" s="154"/>
      <c r="D271" s="152"/>
      <c r="E271" s="152"/>
      <c r="F271" s="152"/>
      <c r="G271" s="152"/>
      <c r="H271" s="154"/>
      <c r="I271" s="154"/>
      <c r="J271" s="152"/>
      <c r="K271" s="154"/>
      <c r="L271" s="152"/>
      <c r="M271" s="152"/>
      <c r="N271" s="152"/>
      <c r="O271" s="161"/>
      <c r="R271" s="163"/>
      <c r="S271" s="154"/>
      <c r="T271" s="154"/>
      <c r="U271" s="247"/>
    </row>
    <row r="272" spans="1:21" x14ac:dyDescent="0.15">
      <c r="A272" s="149"/>
      <c r="B272" s="152"/>
      <c r="C272" s="154"/>
      <c r="D272" s="152"/>
      <c r="E272" s="152"/>
      <c r="F272" s="152"/>
      <c r="G272" s="152"/>
      <c r="H272" s="154"/>
      <c r="I272" s="154"/>
      <c r="J272" s="152"/>
      <c r="K272" s="154"/>
      <c r="L272" s="152"/>
      <c r="M272" s="152"/>
      <c r="N272" s="152"/>
      <c r="O272" s="161"/>
      <c r="R272" s="163"/>
      <c r="S272" s="154"/>
      <c r="T272" s="154"/>
      <c r="U272" s="247"/>
    </row>
    <row r="273" spans="1:21" x14ac:dyDescent="0.15">
      <c r="A273" s="149"/>
      <c r="B273" s="152"/>
      <c r="C273" s="154"/>
      <c r="D273" s="152"/>
      <c r="E273" s="152"/>
      <c r="F273" s="152"/>
      <c r="G273" s="152"/>
      <c r="H273" s="154"/>
      <c r="I273" s="154"/>
      <c r="J273" s="152"/>
      <c r="K273" s="154"/>
      <c r="L273" s="152"/>
      <c r="M273" s="152"/>
      <c r="N273" s="152"/>
      <c r="O273" s="161"/>
      <c r="R273" s="163"/>
      <c r="S273" s="154"/>
      <c r="T273" s="154"/>
      <c r="U273" s="247"/>
    </row>
    <row r="274" spans="1:21" x14ac:dyDescent="0.15">
      <c r="A274" s="149"/>
      <c r="B274" s="152"/>
      <c r="C274" s="154"/>
      <c r="D274" s="152"/>
      <c r="E274" s="152"/>
      <c r="F274" s="152"/>
      <c r="G274" s="152"/>
      <c r="H274" s="154"/>
      <c r="I274" s="154"/>
      <c r="J274" s="152"/>
      <c r="K274" s="154"/>
      <c r="L274" s="152"/>
      <c r="M274" s="152"/>
      <c r="N274" s="152"/>
      <c r="O274" s="161"/>
      <c r="R274" s="163"/>
      <c r="S274" s="154"/>
      <c r="T274" s="154"/>
      <c r="U274" s="247"/>
    </row>
    <row r="275" spans="1:21" x14ac:dyDescent="0.15">
      <c r="A275" s="149"/>
      <c r="B275" s="152"/>
      <c r="C275" s="154"/>
      <c r="D275" s="152"/>
      <c r="E275" s="152"/>
      <c r="F275" s="152"/>
      <c r="G275" s="152"/>
      <c r="H275" s="154"/>
      <c r="I275" s="154"/>
      <c r="J275" s="152"/>
      <c r="K275" s="154"/>
      <c r="L275" s="152"/>
      <c r="M275" s="152"/>
      <c r="N275" s="152"/>
      <c r="O275" s="161"/>
      <c r="R275" s="163"/>
      <c r="S275" s="154"/>
      <c r="T275" s="154"/>
      <c r="U275" s="247"/>
    </row>
    <row r="276" spans="1:21" x14ac:dyDescent="0.15">
      <c r="A276" s="149"/>
      <c r="B276" s="152"/>
      <c r="C276" s="154"/>
      <c r="D276" s="152"/>
      <c r="E276" s="152"/>
      <c r="F276" s="152"/>
      <c r="G276" s="152"/>
      <c r="H276" s="154"/>
      <c r="I276" s="154"/>
      <c r="J276" s="152"/>
      <c r="K276" s="154"/>
      <c r="L276" s="152"/>
      <c r="M276" s="152"/>
      <c r="N276" s="152"/>
      <c r="O276" s="161"/>
      <c r="R276" s="163"/>
      <c r="S276" s="154"/>
      <c r="T276" s="154"/>
      <c r="U276" s="247"/>
    </row>
    <row r="277" spans="1:21" x14ac:dyDescent="0.15">
      <c r="A277" s="149"/>
      <c r="B277" s="152"/>
      <c r="C277" s="154"/>
      <c r="D277" s="152"/>
      <c r="E277" s="152"/>
      <c r="F277" s="152"/>
      <c r="G277" s="152"/>
      <c r="H277" s="154"/>
      <c r="I277" s="154"/>
      <c r="J277" s="152"/>
      <c r="K277" s="154"/>
      <c r="L277" s="152"/>
      <c r="M277" s="152"/>
      <c r="N277" s="152"/>
      <c r="O277" s="161"/>
      <c r="R277" s="163"/>
      <c r="S277" s="154"/>
      <c r="T277" s="154"/>
      <c r="U277" s="247"/>
    </row>
    <row r="278" spans="1:21" x14ac:dyDescent="0.15">
      <c r="A278" s="149"/>
      <c r="B278" s="152"/>
      <c r="C278" s="154"/>
      <c r="D278" s="152"/>
      <c r="E278" s="152"/>
      <c r="F278" s="152"/>
      <c r="G278" s="152"/>
      <c r="H278" s="154"/>
      <c r="I278" s="154"/>
      <c r="J278" s="152"/>
      <c r="K278" s="154"/>
      <c r="L278" s="152"/>
      <c r="M278" s="152"/>
      <c r="N278" s="152"/>
      <c r="O278" s="161"/>
      <c r="R278" s="163"/>
      <c r="S278" s="154"/>
      <c r="T278" s="154"/>
      <c r="U278" s="247"/>
    </row>
    <row r="279" spans="1:21" x14ac:dyDescent="0.15">
      <c r="A279" s="149"/>
      <c r="B279" s="152"/>
      <c r="C279" s="154"/>
      <c r="D279" s="152"/>
      <c r="E279" s="152"/>
      <c r="F279" s="152"/>
      <c r="G279" s="152"/>
      <c r="H279" s="154"/>
      <c r="I279" s="154"/>
      <c r="J279" s="152"/>
      <c r="K279" s="154"/>
      <c r="L279" s="152"/>
      <c r="M279" s="152"/>
      <c r="N279" s="152"/>
      <c r="O279" s="161"/>
      <c r="R279" s="163"/>
      <c r="S279" s="154"/>
      <c r="T279" s="154"/>
      <c r="U279" s="247"/>
    </row>
    <row r="280" spans="1:21" x14ac:dyDescent="0.15">
      <c r="A280" s="149"/>
      <c r="B280" s="152"/>
      <c r="C280" s="154"/>
      <c r="D280" s="152"/>
      <c r="E280" s="152"/>
      <c r="F280" s="152"/>
      <c r="G280" s="152"/>
      <c r="H280" s="154"/>
      <c r="I280" s="154"/>
      <c r="J280" s="152"/>
      <c r="K280" s="154"/>
      <c r="L280" s="152"/>
      <c r="M280" s="152"/>
      <c r="N280" s="152"/>
      <c r="O280" s="161"/>
      <c r="R280" s="163"/>
      <c r="S280" s="154"/>
      <c r="T280" s="154"/>
      <c r="U280" s="247"/>
    </row>
    <row r="281" spans="1:21" x14ac:dyDescent="0.15">
      <c r="A281" s="149"/>
      <c r="B281" s="152"/>
      <c r="C281" s="154"/>
      <c r="D281" s="152"/>
      <c r="E281" s="152"/>
      <c r="F281" s="152"/>
      <c r="G281" s="152"/>
      <c r="H281" s="154"/>
      <c r="I281" s="154"/>
      <c r="J281" s="152"/>
      <c r="K281" s="154"/>
      <c r="L281" s="152"/>
      <c r="M281" s="152"/>
      <c r="N281" s="152"/>
      <c r="O281" s="161"/>
      <c r="R281" s="163"/>
      <c r="S281" s="154"/>
      <c r="T281" s="154"/>
      <c r="U281" s="247"/>
    </row>
    <row r="282" spans="1:21" x14ac:dyDescent="0.15">
      <c r="A282" s="149"/>
      <c r="B282" s="152"/>
      <c r="C282" s="154"/>
      <c r="D282" s="152"/>
      <c r="E282" s="152"/>
      <c r="F282" s="152"/>
      <c r="G282" s="152"/>
      <c r="H282" s="154"/>
      <c r="I282" s="154"/>
      <c r="J282" s="152"/>
      <c r="K282" s="154"/>
      <c r="L282" s="152"/>
      <c r="M282" s="152"/>
      <c r="N282" s="152"/>
      <c r="O282" s="161"/>
      <c r="R282" s="163"/>
      <c r="S282" s="154"/>
      <c r="T282" s="154"/>
      <c r="U282" s="247"/>
    </row>
    <row r="283" spans="1:21" x14ac:dyDescent="0.15">
      <c r="A283" s="149"/>
      <c r="B283" s="152"/>
      <c r="C283" s="154"/>
      <c r="D283" s="152"/>
      <c r="E283" s="152"/>
      <c r="F283" s="152"/>
      <c r="G283" s="152"/>
      <c r="H283" s="154"/>
      <c r="I283" s="154"/>
      <c r="J283" s="152"/>
      <c r="K283" s="154"/>
      <c r="L283" s="152"/>
      <c r="M283" s="152"/>
      <c r="N283" s="152"/>
      <c r="O283" s="161"/>
      <c r="R283" s="163"/>
      <c r="S283" s="154"/>
      <c r="T283" s="154"/>
      <c r="U283" s="247"/>
    </row>
    <row r="284" spans="1:21" x14ac:dyDescent="0.15">
      <c r="A284" s="149"/>
      <c r="B284" s="152"/>
      <c r="C284" s="154"/>
      <c r="D284" s="152"/>
      <c r="E284" s="152"/>
      <c r="F284" s="152"/>
      <c r="G284" s="152"/>
      <c r="H284" s="154"/>
      <c r="I284" s="154"/>
      <c r="J284" s="152"/>
      <c r="K284" s="154"/>
      <c r="L284" s="152"/>
      <c r="M284" s="152"/>
      <c r="N284" s="152"/>
      <c r="O284" s="161"/>
      <c r="R284" s="163"/>
      <c r="S284" s="154"/>
      <c r="T284" s="154"/>
      <c r="U284" s="247"/>
    </row>
    <row r="285" spans="1:21" x14ac:dyDescent="0.15">
      <c r="A285" s="149"/>
      <c r="B285" s="152"/>
      <c r="C285" s="154"/>
      <c r="D285" s="152"/>
      <c r="E285" s="152"/>
      <c r="F285" s="152"/>
      <c r="G285" s="152"/>
      <c r="H285" s="154"/>
      <c r="I285" s="154"/>
      <c r="J285" s="152"/>
      <c r="K285" s="154"/>
      <c r="L285" s="152"/>
      <c r="M285" s="152"/>
      <c r="N285" s="152"/>
      <c r="O285" s="161"/>
      <c r="R285" s="163"/>
      <c r="S285" s="154"/>
      <c r="T285" s="154"/>
      <c r="U285" s="247"/>
    </row>
    <row r="286" spans="1:21" x14ac:dyDescent="0.15">
      <c r="A286" s="149"/>
      <c r="B286" s="152"/>
      <c r="C286" s="154"/>
      <c r="D286" s="152"/>
      <c r="E286" s="152"/>
      <c r="F286" s="152"/>
      <c r="G286" s="152"/>
      <c r="H286" s="154"/>
      <c r="I286" s="154"/>
      <c r="J286" s="152"/>
      <c r="K286" s="154"/>
      <c r="L286" s="152"/>
      <c r="M286" s="152"/>
      <c r="N286" s="152"/>
      <c r="O286" s="161"/>
      <c r="R286" s="163"/>
      <c r="S286" s="154"/>
      <c r="T286" s="154"/>
      <c r="U286" s="247"/>
    </row>
    <row r="287" spans="1:21" x14ac:dyDescent="0.15">
      <c r="A287" s="149"/>
      <c r="B287" s="152"/>
      <c r="C287" s="154"/>
      <c r="D287" s="152"/>
      <c r="E287" s="152"/>
      <c r="F287" s="152"/>
      <c r="G287" s="152"/>
      <c r="H287" s="154"/>
      <c r="I287" s="154"/>
      <c r="J287" s="152"/>
      <c r="K287" s="154"/>
      <c r="L287" s="152"/>
      <c r="M287" s="152"/>
      <c r="N287" s="152"/>
      <c r="O287" s="161"/>
      <c r="R287" s="163"/>
      <c r="S287" s="154"/>
      <c r="T287" s="154"/>
      <c r="U287" s="247"/>
    </row>
    <row r="288" spans="1:21" x14ac:dyDescent="0.15">
      <c r="A288" s="149"/>
      <c r="B288" s="152"/>
      <c r="C288" s="154"/>
      <c r="D288" s="152"/>
      <c r="E288" s="152"/>
      <c r="F288" s="152"/>
      <c r="G288" s="152"/>
      <c r="H288" s="154"/>
      <c r="I288" s="154"/>
      <c r="J288" s="152"/>
      <c r="K288" s="154"/>
      <c r="L288" s="152"/>
      <c r="M288" s="152"/>
      <c r="N288" s="152"/>
      <c r="O288" s="161"/>
      <c r="R288" s="163"/>
      <c r="S288" s="154"/>
      <c r="T288" s="154"/>
      <c r="U288" s="247"/>
    </row>
    <row r="289" spans="1:21" x14ac:dyDescent="0.15">
      <c r="A289" s="149"/>
      <c r="B289" s="152"/>
      <c r="C289" s="154"/>
      <c r="D289" s="152"/>
      <c r="E289" s="152"/>
      <c r="F289" s="152"/>
      <c r="G289" s="152"/>
      <c r="H289" s="154"/>
      <c r="I289" s="154"/>
      <c r="J289" s="152"/>
      <c r="K289" s="154"/>
      <c r="L289" s="152"/>
      <c r="M289" s="152"/>
      <c r="N289" s="152"/>
      <c r="O289" s="161"/>
      <c r="R289" s="163"/>
      <c r="S289" s="154"/>
      <c r="T289" s="154"/>
      <c r="U289" s="247"/>
    </row>
    <row r="290" spans="1:21" x14ac:dyDescent="0.15">
      <c r="A290" s="149"/>
      <c r="B290" s="152"/>
      <c r="C290" s="154"/>
      <c r="D290" s="152"/>
      <c r="E290" s="152"/>
      <c r="F290" s="152"/>
      <c r="G290" s="152"/>
      <c r="H290" s="154"/>
      <c r="I290" s="154"/>
      <c r="J290" s="152"/>
      <c r="K290" s="154"/>
      <c r="L290" s="152"/>
      <c r="M290" s="152"/>
      <c r="N290" s="152"/>
      <c r="O290" s="161"/>
      <c r="R290" s="163"/>
      <c r="S290" s="154"/>
      <c r="T290" s="154"/>
      <c r="U290" s="247"/>
    </row>
    <row r="291" spans="1:21" x14ac:dyDescent="0.15">
      <c r="A291" s="149"/>
      <c r="B291" s="152"/>
      <c r="C291" s="154"/>
      <c r="D291" s="152"/>
      <c r="E291" s="152"/>
      <c r="F291" s="152"/>
      <c r="G291" s="152"/>
      <c r="H291" s="154"/>
      <c r="I291" s="154"/>
      <c r="J291" s="152"/>
      <c r="K291" s="154"/>
      <c r="L291" s="152"/>
      <c r="M291" s="152"/>
      <c r="N291" s="152"/>
      <c r="O291" s="161"/>
      <c r="R291" s="163"/>
      <c r="S291" s="154"/>
      <c r="T291" s="154"/>
      <c r="U291" s="247"/>
    </row>
    <row r="292" spans="1:21" x14ac:dyDescent="0.15">
      <c r="A292" s="149"/>
      <c r="B292" s="152"/>
      <c r="C292" s="154"/>
      <c r="D292" s="152"/>
      <c r="E292" s="152"/>
      <c r="F292" s="152"/>
      <c r="G292" s="152"/>
      <c r="H292" s="154"/>
      <c r="I292" s="154"/>
      <c r="J292" s="152"/>
      <c r="K292" s="154"/>
      <c r="L292" s="152"/>
      <c r="M292" s="152"/>
      <c r="N292" s="152"/>
      <c r="O292" s="161"/>
      <c r="R292" s="163"/>
      <c r="S292" s="154"/>
      <c r="T292" s="154"/>
      <c r="U292" s="247"/>
    </row>
    <row r="293" spans="1:21" x14ac:dyDescent="0.15">
      <c r="A293" s="149"/>
      <c r="B293" s="152"/>
      <c r="C293" s="154"/>
      <c r="D293" s="152"/>
      <c r="E293" s="152"/>
      <c r="F293" s="152"/>
      <c r="G293" s="152"/>
      <c r="H293" s="154"/>
      <c r="I293" s="154"/>
      <c r="J293" s="152"/>
      <c r="K293" s="154"/>
      <c r="L293" s="152"/>
      <c r="M293" s="152"/>
      <c r="N293" s="152"/>
      <c r="O293" s="161"/>
      <c r="R293" s="163"/>
      <c r="S293" s="154"/>
      <c r="T293" s="154"/>
      <c r="U293" s="247"/>
    </row>
    <row r="294" spans="1:21" x14ac:dyDescent="0.15">
      <c r="A294" s="149"/>
      <c r="B294" s="152"/>
      <c r="C294" s="154"/>
      <c r="D294" s="152"/>
      <c r="E294" s="152"/>
      <c r="F294" s="152"/>
      <c r="G294" s="152"/>
      <c r="H294" s="154"/>
      <c r="I294" s="154"/>
      <c r="J294" s="152"/>
      <c r="K294" s="154"/>
      <c r="L294" s="152"/>
      <c r="M294" s="152"/>
      <c r="N294" s="152"/>
      <c r="O294" s="161"/>
      <c r="R294" s="163"/>
      <c r="S294" s="154"/>
      <c r="T294" s="154"/>
      <c r="U294" s="247"/>
    </row>
    <row r="295" spans="1:21" x14ac:dyDescent="0.15">
      <c r="A295" s="149"/>
      <c r="B295" s="152"/>
      <c r="C295" s="154"/>
      <c r="D295" s="152"/>
      <c r="E295" s="152"/>
      <c r="F295" s="152"/>
      <c r="G295" s="152"/>
      <c r="H295" s="154"/>
      <c r="I295" s="154"/>
      <c r="J295" s="152"/>
      <c r="K295" s="154"/>
      <c r="L295" s="152"/>
      <c r="M295" s="152"/>
      <c r="N295" s="152"/>
      <c r="O295" s="161"/>
      <c r="R295" s="163"/>
      <c r="S295" s="154"/>
      <c r="T295" s="154"/>
      <c r="U295" s="247"/>
    </row>
    <row r="296" spans="1:21" x14ac:dyDescent="0.15">
      <c r="A296" s="149"/>
      <c r="B296" s="152"/>
      <c r="C296" s="154"/>
      <c r="D296" s="152"/>
      <c r="E296" s="152"/>
      <c r="F296" s="152"/>
      <c r="G296" s="152"/>
      <c r="H296" s="154"/>
      <c r="I296" s="154"/>
      <c r="J296" s="152"/>
      <c r="K296" s="154"/>
      <c r="L296" s="152"/>
      <c r="M296" s="152"/>
      <c r="N296" s="152"/>
      <c r="O296" s="161"/>
      <c r="R296" s="163"/>
      <c r="S296" s="154"/>
      <c r="T296" s="154"/>
      <c r="U296" s="247"/>
    </row>
    <row r="297" spans="1:21" x14ac:dyDescent="0.15">
      <c r="A297" s="149"/>
      <c r="B297" s="152"/>
      <c r="C297" s="154"/>
      <c r="D297" s="152"/>
      <c r="E297" s="152"/>
      <c r="F297" s="152"/>
      <c r="G297" s="152"/>
      <c r="H297" s="154"/>
      <c r="I297" s="154"/>
      <c r="J297" s="152"/>
      <c r="K297" s="154"/>
      <c r="L297" s="152"/>
      <c r="M297" s="152"/>
      <c r="N297" s="152"/>
      <c r="O297" s="161"/>
      <c r="R297" s="163"/>
      <c r="S297" s="154"/>
      <c r="T297" s="154"/>
      <c r="U297" s="247"/>
    </row>
    <row r="298" spans="1:21" x14ac:dyDescent="0.15">
      <c r="A298" s="149"/>
      <c r="B298" s="152"/>
      <c r="C298" s="154"/>
      <c r="D298" s="152"/>
      <c r="E298" s="152"/>
      <c r="F298" s="152"/>
      <c r="G298" s="152"/>
      <c r="H298" s="154"/>
      <c r="I298" s="154"/>
      <c r="J298" s="152"/>
      <c r="K298" s="154"/>
      <c r="L298" s="152"/>
      <c r="M298" s="152"/>
      <c r="N298" s="152"/>
      <c r="O298" s="161"/>
      <c r="R298" s="163"/>
      <c r="S298" s="154"/>
      <c r="T298" s="154"/>
      <c r="U298" s="247"/>
    </row>
    <row r="299" spans="1:21" x14ac:dyDescent="0.15">
      <c r="A299" s="149"/>
      <c r="B299" s="152"/>
      <c r="C299" s="154"/>
      <c r="D299" s="152"/>
      <c r="E299" s="152"/>
      <c r="F299" s="152"/>
      <c r="G299" s="152"/>
      <c r="H299" s="154"/>
      <c r="I299" s="154"/>
      <c r="J299" s="152"/>
      <c r="K299" s="154"/>
      <c r="L299" s="152"/>
      <c r="M299" s="152"/>
      <c r="N299" s="152"/>
      <c r="O299" s="161"/>
      <c r="R299" s="163"/>
      <c r="S299" s="154"/>
      <c r="T299" s="154"/>
      <c r="U299" s="247"/>
    </row>
    <row r="300" spans="1:21" x14ac:dyDescent="0.15">
      <c r="A300" s="149"/>
      <c r="B300" s="152"/>
      <c r="C300" s="154"/>
      <c r="D300" s="152"/>
      <c r="E300" s="152"/>
      <c r="F300" s="152"/>
      <c r="G300" s="152"/>
      <c r="H300" s="154"/>
      <c r="I300" s="154"/>
      <c r="J300" s="152"/>
      <c r="K300" s="154"/>
      <c r="L300" s="152"/>
      <c r="M300" s="152"/>
      <c r="N300" s="152"/>
      <c r="O300" s="161"/>
      <c r="R300" s="163"/>
      <c r="S300" s="154"/>
      <c r="T300" s="154"/>
      <c r="U300" s="247"/>
    </row>
    <row r="301" spans="1:21" x14ac:dyDescent="0.15">
      <c r="A301" s="149"/>
      <c r="B301" s="152"/>
      <c r="C301" s="154"/>
      <c r="D301" s="152"/>
      <c r="E301" s="152"/>
      <c r="F301" s="152"/>
      <c r="G301" s="152"/>
      <c r="H301" s="154"/>
      <c r="I301" s="154"/>
      <c r="J301" s="152"/>
      <c r="K301" s="154"/>
      <c r="L301" s="152"/>
      <c r="M301" s="152"/>
      <c r="N301" s="152"/>
      <c r="O301" s="161"/>
      <c r="R301" s="163"/>
      <c r="S301" s="154"/>
      <c r="T301" s="154"/>
      <c r="U301" s="247"/>
    </row>
    <row r="302" spans="1:21" x14ac:dyDescent="0.15">
      <c r="A302" s="149"/>
      <c r="B302" s="152"/>
      <c r="C302" s="154"/>
      <c r="D302" s="152"/>
      <c r="E302" s="152"/>
      <c r="F302" s="152"/>
      <c r="G302" s="152"/>
      <c r="H302" s="154"/>
      <c r="I302" s="154"/>
      <c r="J302" s="152"/>
      <c r="K302" s="154"/>
      <c r="L302" s="152"/>
      <c r="M302" s="152"/>
      <c r="N302" s="152"/>
      <c r="O302" s="161"/>
      <c r="R302" s="163"/>
      <c r="S302" s="154"/>
      <c r="T302" s="154"/>
      <c r="U302" s="247"/>
    </row>
    <row r="303" spans="1:21" x14ac:dyDescent="0.15">
      <c r="A303" s="149"/>
      <c r="B303" s="152"/>
      <c r="C303" s="154"/>
      <c r="D303" s="152"/>
      <c r="E303" s="152"/>
      <c r="F303" s="152"/>
      <c r="G303" s="152"/>
      <c r="H303" s="154"/>
      <c r="I303" s="154"/>
      <c r="J303" s="152"/>
      <c r="K303" s="154"/>
      <c r="L303" s="152"/>
      <c r="M303" s="152"/>
      <c r="N303" s="152"/>
      <c r="O303" s="161"/>
      <c r="R303" s="163"/>
      <c r="S303" s="154"/>
      <c r="T303" s="154"/>
      <c r="U303" s="247"/>
    </row>
    <row r="304" spans="1:21" x14ac:dyDescent="0.15">
      <c r="A304" s="149"/>
      <c r="B304" s="152"/>
      <c r="C304" s="154"/>
      <c r="D304" s="152"/>
      <c r="E304" s="152"/>
      <c r="F304" s="152"/>
      <c r="G304" s="152"/>
      <c r="H304" s="154"/>
      <c r="I304" s="154"/>
      <c r="J304" s="152"/>
      <c r="K304" s="154"/>
      <c r="L304" s="152"/>
      <c r="M304" s="152"/>
      <c r="N304" s="152"/>
      <c r="O304" s="161"/>
      <c r="R304" s="163"/>
      <c r="S304" s="154"/>
      <c r="T304" s="154"/>
      <c r="U304" s="247"/>
    </row>
    <row r="305" spans="1:21" x14ac:dyDescent="0.15">
      <c r="A305" s="149"/>
      <c r="B305" s="152"/>
      <c r="C305" s="154"/>
      <c r="D305" s="152"/>
      <c r="E305" s="152"/>
      <c r="F305" s="152"/>
      <c r="G305" s="152"/>
      <c r="H305" s="154"/>
      <c r="I305" s="154"/>
      <c r="J305" s="152"/>
      <c r="K305" s="154"/>
      <c r="L305" s="152"/>
      <c r="M305" s="152"/>
      <c r="N305" s="152"/>
      <c r="O305" s="161"/>
      <c r="R305" s="163"/>
      <c r="S305" s="154"/>
      <c r="T305" s="154"/>
      <c r="U305" s="247"/>
    </row>
    <row r="306" spans="1:21" x14ac:dyDescent="0.15">
      <c r="A306" s="149"/>
      <c r="B306" s="152"/>
      <c r="C306" s="154"/>
      <c r="D306" s="152"/>
      <c r="E306" s="152"/>
      <c r="F306" s="152"/>
      <c r="G306" s="152"/>
      <c r="H306" s="154"/>
      <c r="I306" s="154"/>
      <c r="J306" s="152"/>
      <c r="K306" s="154"/>
      <c r="L306" s="152"/>
      <c r="M306" s="152"/>
      <c r="N306" s="152"/>
      <c r="O306" s="161"/>
      <c r="R306" s="163"/>
      <c r="S306" s="154"/>
      <c r="T306" s="154"/>
      <c r="U306" s="247"/>
    </row>
    <row r="307" spans="1:21" x14ac:dyDescent="0.15">
      <c r="A307" s="149"/>
      <c r="B307" s="152"/>
      <c r="C307" s="154"/>
      <c r="D307" s="152"/>
      <c r="E307" s="152"/>
      <c r="F307" s="152"/>
      <c r="G307" s="152"/>
      <c r="H307" s="154"/>
      <c r="I307" s="154"/>
      <c r="J307" s="152"/>
      <c r="K307" s="154"/>
      <c r="L307" s="152"/>
      <c r="M307" s="152"/>
      <c r="N307" s="152"/>
      <c r="O307" s="161"/>
      <c r="R307" s="163"/>
      <c r="S307" s="154"/>
      <c r="T307" s="154"/>
      <c r="U307" s="247"/>
    </row>
    <row r="308" spans="1:21" x14ac:dyDescent="0.15">
      <c r="A308" s="149"/>
      <c r="B308" s="152"/>
      <c r="C308" s="154"/>
      <c r="D308" s="152"/>
      <c r="E308" s="152"/>
      <c r="F308" s="152"/>
      <c r="G308" s="152"/>
      <c r="H308" s="154"/>
      <c r="I308" s="154"/>
      <c r="J308" s="152"/>
      <c r="K308" s="154"/>
      <c r="L308" s="152"/>
      <c r="M308" s="152"/>
      <c r="N308" s="152"/>
      <c r="O308" s="161"/>
      <c r="R308" s="163"/>
      <c r="S308" s="154"/>
      <c r="T308" s="154"/>
      <c r="U308" s="247"/>
    </row>
    <row r="309" spans="1:21" x14ac:dyDescent="0.15">
      <c r="A309" s="149"/>
      <c r="B309" s="152"/>
      <c r="C309" s="154"/>
      <c r="D309" s="152"/>
      <c r="E309" s="152"/>
      <c r="F309" s="152"/>
      <c r="G309" s="152"/>
      <c r="H309" s="154"/>
      <c r="I309" s="154"/>
      <c r="J309" s="152"/>
      <c r="K309" s="154"/>
      <c r="L309" s="152"/>
      <c r="M309" s="152"/>
      <c r="N309" s="152"/>
      <c r="O309" s="161"/>
      <c r="R309" s="163"/>
      <c r="S309" s="154"/>
      <c r="T309" s="154"/>
      <c r="U309" s="247"/>
    </row>
    <row r="310" spans="1:21" x14ac:dyDescent="0.15">
      <c r="A310" s="149"/>
      <c r="B310" s="152"/>
      <c r="C310" s="154"/>
      <c r="D310" s="152"/>
      <c r="E310" s="152"/>
      <c r="F310" s="152"/>
      <c r="G310" s="152"/>
      <c r="H310" s="154"/>
      <c r="I310" s="154"/>
      <c r="J310" s="152"/>
      <c r="K310" s="154"/>
      <c r="L310" s="152"/>
      <c r="M310" s="152"/>
      <c r="N310" s="152"/>
      <c r="O310" s="161"/>
      <c r="R310" s="163"/>
      <c r="S310" s="154"/>
      <c r="T310" s="154"/>
      <c r="U310" s="247"/>
    </row>
    <row r="311" spans="1:21" x14ac:dyDescent="0.15">
      <c r="A311" s="149"/>
      <c r="B311" s="152"/>
      <c r="C311" s="154"/>
      <c r="D311" s="152"/>
      <c r="E311" s="152"/>
      <c r="F311" s="152"/>
      <c r="G311" s="152"/>
      <c r="H311" s="154"/>
      <c r="I311" s="154"/>
      <c r="J311" s="152"/>
      <c r="K311" s="154"/>
      <c r="L311" s="152"/>
      <c r="M311" s="152"/>
      <c r="N311" s="152"/>
      <c r="O311" s="161"/>
      <c r="R311" s="163"/>
      <c r="S311" s="154"/>
      <c r="T311" s="154"/>
      <c r="U311" s="247"/>
    </row>
    <row r="312" spans="1:21" x14ac:dyDescent="0.15">
      <c r="A312" s="149"/>
      <c r="B312" s="152"/>
      <c r="C312" s="154"/>
      <c r="D312" s="152"/>
      <c r="E312" s="152"/>
      <c r="F312" s="152"/>
      <c r="G312" s="152"/>
      <c r="H312" s="154"/>
      <c r="I312" s="154"/>
      <c r="J312" s="152"/>
      <c r="K312" s="154"/>
      <c r="L312" s="152"/>
      <c r="M312" s="152"/>
      <c r="N312" s="152"/>
      <c r="O312" s="161"/>
      <c r="R312" s="163"/>
      <c r="S312" s="154"/>
      <c r="T312" s="154"/>
      <c r="U312" s="247"/>
    </row>
    <row r="313" spans="1:21" x14ac:dyDescent="0.15">
      <c r="A313" s="149"/>
      <c r="B313" s="152"/>
      <c r="C313" s="154"/>
      <c r="D313" s="152"/>
      <c r="E313" s="152"/>
      <c r="F313" s="152"/>
      <c r="G313" s="152"/>
      <c r="H313" s="154"/>
      <c r="I313" s="154"/>
      <c r="J313" s="152"/>
      <c r="K313" s="154"/>
      <c r="L313" s="152"/>
      <c r="M313" s="152"/>
      <c r="N313" s="152"/>
      <c r="O313" s="161"/>
      <c r="R313" s="163"/>
      <c r="S313" s="154"/>
      <c r="T313" s="154"/>
      <c r="U313" s="247"/>
    </row>
    <row r="314" spans="1:21" x14ac:dyDescent="0.15">
      <c r="A314" s="149"/>
      <c r="B314" s="152"/>
      <c r="C314" s="154"/>
      <c r="D314" s="152"/>
      <c r="E314" s="152"/>
      <c r="F314" s="152"/>
      <c r="G314" s="152"/>
      <c r="H314" s="154"/>
      <c r="I314" s="154"/>
      <c r="J314" s="152"/>
      <c r="K314" s="154"/>
      <c r="L314" s="152"/>
      <c r="M314" s="152"/>
      <c r="N314" s="152"/>
      <c r="O314" s="161"/>
      <c r="R314" s="163"/>
      <c r="S314" s="154"/>
      <c r="T314" s="154"/>
      <c r="U314" s="247"/>
    </row>
    <row r="315" spans="1:21" x14ac:dyDescent="0.15">
      <c r="A315" s="149"/>
      <c r="B315" s="152"/>
      <c r="C315" s="154"/>
      <c r="D315" s="152"/>
      <c r="E315" s="152"/>
      <c r="F315" s="152"/>
      <c r="G315" s="152"/>
      <c r="H315" s="154"/>
      <c r="I315" s="154"/>
      <c r="J315" s="152"/>
      <c r="K315" s="154"/>
      <c r="L315" s="152"/>
      <c r="M315" s="152"/>
      <c r="N315" s="152"/>
      <c r="O315" s="161"/>
      <c r="R315" s="163"/>
      <c r="S315" s="154"/>
      <c r="T315" s="154"/>
      <c r="U315" s="247"/>
    </row>
    <row r="316" spans="1:21" x14ac:dyDescent="0.15">
      <c r="A316" s="149"/>
      <c r="B316" s="152"/>
      <c r="C316" s="154"/>
      <c r="D316" s="152"/>
      <c r="E316" s="152"/>
      <c r="F316" s="152"/>
      <c r="G316" s="152"/>
      <c r="H316" s="154"/>
      <c r="I316" s="154"/>
      <c r="J316" s="152"/>
      <c r="K316" s="154"/>
      <c r="L316" s="152"/>
      <c r="M316" s="152"/>
      <c r="N316" s="152"/>
      <c r="O316" s="161"/>
      <c r="R316" s="163"/>
      <c r="S316" s="154"/>
      <c r="T316" s="154"/>
      <c r="U316" s="247"/>
    </row>
    <row r="317" spans="1:21" x14ac:dyDescent="0.15">
      <c r="A317" s="149"/>
      <c r="B317" s="152"/>
      <c r="C317" s="154"/>
      <c r="D317" s="152"/>
      <c r="E317" s="152"/>
      <c r="F317" s="152"/>
      <c r="G317" s="152"/>
      <c r="H317" s="154"/>
      <c r="I317" s="154"/>
      <c r="J317" s="152"/>
      <c r="K317" s="154"/>
      <c r="L317" s="152"/>
      <c r="M317" s="152"/>
      <c r="N317" s="152"/>
      <c r="O317" s="161"/>
      <c r="R317" s="163"/>
      <c r="S317" s="154"/>
      <c r="T317" s="154"/>
      <c r="U317" s="247"/>
    </row>
    <row r="318" spans="1:21" x14ac:dyDescent="0.15">
      <c r="A318" s="149"/>
      <c r="B318" s="152"/>
      <c r="C318" s="154"/>
      <c r="D318" s="152"/>
      <c r="E318" s="152"/>
      <c r="F318" s="152"/>
      <c r="G318" s="152"/>
      <c r="H318" s="154"/>
      <c r="I318" s="154"/>
      <c r="J318" s="152"/>
      <c r="K318" s="154"/>
      <c r="L318" s="152"/>
      <c r="M318" s="152"/>
      <c r="N318" s="152"/>
      <c r="O318" s="161"/>
      <c r="R318" s="163"/>
      <c r="S318" s="154"/>
      <c r="T318" s="154"/>
      <c r="U318" s="247"/>
    </row>
    <row r="319" spans="1:21" x14ac:dyDescent="0.15">
      <c r="A319" s="149"/>
      <c r="B319" s="152"/>
      <c r="C319" s="154"/>
      <c r="D319" s="152"/>
      <c r="E319" s="152"/>
      <c r="F319" s="152"/>
      <c r="G319" s="152"/>
      <c r="H319" s="154"/>
      <c r="I319" s="154"/>
      <c r="J319" s="152"/>
      <c r="K319" s="154"/>
      <c r="L319" s="152"/>
      <c r="M319" s="152"/>
      <c r="N319" s="152"/>
      <c r="O319" s="161"/>
      <c r="R319" s="163"/>
      <c r="S319" s="154"/>
      <c r="T319" s="154"/>
      <c r="U319" s="247"/>
    </row>
    <row r="320" spans="1:21" x14ac:dyDescent="0.15">
      <c r="A320" s="149"/>
      <c r="B320" s="152"/>
      <c r="C320" s="154"/>
      <c r="D320" s="152"/>
      <c r="E320" s="152"/>
      <c r="F320" s="152"/>
      <c r="G320" s="152"/>
      <c r="H320" s="154"/>
      <c r="I320" s="154"/>
      <c r="J320" s="152"/>
      <c r="K320" s="154"/>
      <c r="L320" s="152"/>
      <c r="M320" s="152"/>
      <c r="N320" s="152"/>
      <c r="O320" s="161"/>
      <c r="R320" s="163"/>
      <c r="S320" s="154"/>
      <c r="T320" s="154"/>
      <c r="U320" s="247"/>
    </row>
    <row r="321" spans="1:21" x14ac:dyDescent="0.15">
      <c r="A321" s="149"/>
      <c r="B321" s="152"/>
      <c r="C321" s="154"/>
      <c r="D321" s="152"/>
      <c r="E321" s="152"/>
      <c r="F321" s="152"/>
      <c r="G321" s="152"/>
      <c r="H321" s="154"/>
      <c r="I321" s="154"/>
      <c r="J321" s="152"/>
      <c r="K321" s="154"/>
      <c r="L321" s="152"/>
      <c r="M321" s="152"/>
      <c r="N321" s="152"/>
      <c r="O321" s="161"/>
      <c r="R321" s="163"/>
      <c r="S321" s="154"/>
      <c r="T321" s="154"/>
      <c r="U321" s="247"/>
    </row>
    <row r="322" spans="1:21" x14ac:dyDescent="0.15">
      <c r="A322" s="149"/>
      <c r="B322" s="152"/>
      <c r="C322" s="154"/>
      <c r="D322" s="152"/>
      <c r="E322" s="152"/>
      <c r="F322" s="152"/>
      <c r="G322" s="152"/>
      <c r="H322" s="154"/>
      <c r="I322" s="154"/>
      <c r="J322" s="152"/>
      <c r="K322" s="154"/>
      <c r="L322" s="152"/>
      <c r="M322" s="152"/>
      <c r="N322" s="152"/>
      <c r="O322" s="161"/>
      <c r="R322" s="163"/>
      <c r="S322" s="154"/>
      <c r="T322" s="154"/>
      <c r="U322" s="247"/>
    </row>
    <row r="323" spans="1:21" x14ac:dyDescent="0.15">
      <c r="A323" s="149"/>
      <c r="B323" s="152"/>
      <c r="C323" s="154"/>
      <c r="D323" s="152"/>
      <c r="E323" s="152"/>
      <c r="F323" s="152"/>
      <c r="G323" s="152"/>
      <c r="H323" s="154"/>
      <c r="I323" s="154"/>
      <c r="J323" s="152"/>
      <c r="K323" s="154"/>
      <c r="L323" s="152"/>
      <c r="M323" s="152"/>
      <c r="N323" s="152"/>
      <c r="O323" s="161"/>
      <c r="R323" s="163"/>
      <c r="S323" s="154"/>
      <c r="T323" s="154"/>
      <c r="U323" s="247"/>
    </row>
    <row r="324" spans="1:21" x14ac:dyDescent="0.15">
      <c r="A324" s="149"/>
      <c r="B324" s="152"/>
      <c r="C324" s="154"/>
      <c r="D324" s="152"/>
      <c r="E324" s="152"/>
      <c r="F324" s="152"/>
      <c r="G324" s="152"/>
      <c r="H324" s="154"/>
      <c r="I324" s="154"/>
      <c r="J324" s="152"/>
      <c r="K324" s="154"/>
      <c r="L324" s="152"/>
      <c r="M324" s="152"/>
      <c r="N324" s="152"/>
      <c r="O324" s="161"/>
      <c r="R324" s="163"/>
      <c r="S324" s="154"/>
      <c r="T324" s="154"/>
      <c r="U324" s="247"/>
    </row>
    <row r="325" spans="1:21" x14ac:dyDescent="0.15">
      <c r="A325" s="149"/>
      <c r="B325" s="152"/>
      <c r="C325" s="154"/>
      <c r="D325" s="152"/>
      <c r="E325" s="152"/>
      <c r="F325" s="152"/>
      <c r="G325" s="152"/>
      <c r="H325" s="154"/>
      <c r="I325" s="154"/>
      <c r="J325" s="152"/>
      <c r="K325" s="154"/>
      <c r="L325" s="152"/>
      <c r="M325" s="152"/>
      <c r="N325" s="152"/>
      <c r="O325" s="161"/>
      <c r="R325" s="163"/>
      <c r="S325" s="154"/>
      <c r="T325" s="154"/>
      <c r="U325" s="247"/>
    </row>
    <row r="326" spans="1:21" x14ac:dyDescent="0.15">
      <c r="A326" s="149"/>
      <c r="B326" s="152"/>
      <c r="C326" s="154"/>
      <c r="D326" s="152"/>
      <c r="E326" s="152"/>
      <c r="F326" s="152"/>
      <c r="G326" s="152"/>
      <c r="H326" s="154"/>
      <c r="I326" s="154"/>
      <c r="J326" s="152"/>
      <c r="K326" s="154"/>
      <c r="L326" s="152"/>
      <c r="M326" s="152"/>
      <c r="N326" s="152"/>
      <c r="O326" s="161"/>
      <c r="R326" s="163"/>
      <c r="S326" s="154"/>
      <c r="T326" s="154"/>
      <c r="U326" s="247"/>
    </row>
    <row r="327" spans="1:21" x14ac:dyDescent="0.15">
      <c r="A327" s="149"/>
      <c r="B327" s="152"/>
      <c r="C327" s="154"/>
      <c r="D327" s="152"/>
      <c r="E327" s="152"/>
      <c r="F327" s="152"/>
      <c r="G327" s="152"/>
      <c r="H327" s="154"/>
      <c r="I327" s="154"/>
      <c r="J327" s="152"/>
      <c r="K327" s="154"/>
      <c r="L327" s="152"/>
      <c r="M327" s="152"/>
      <c r="N327" s="152"/>
      <c r="O327" s="161"/>
      <c r="R327" s="163"/>
      <c r="S327" s="154"/>
      <c r="T327" s="154"/>
      <c r="U327" s="247"/>
    </row>
    <row r="328" spans="1:21" x14ac:dyDescent="0.15">
      <c r="A328" s="149"/>
      <c r="B328" s="152"/>
      <c r="C328" s="154"/>
      <c r="D328" s="152"/>
      <c r="E328" s="152"/>
      <c r="F328" s="152"/>
      <c r="G328" s="152"/>
      <c r="H328" s="154"/>
      <c r="I328" s="154"/>
      <c r="J328" s="152"/>
      <c r="K328" s="154"/>
      <c r="L328" s="152"/>
      <c r="M328" s="152"/>
      <c r="N328" s="152"/>
      <c r="O328" s="161"/>
      <c r="R328" s="163"/>
      <c r="S328" s="154"/>
      <c r="T328" s="154"/>
      <c r="U328" s="247"/>
    </row>
    <row r="329" spans="1:21" x14ac:dyDescent="0.15">
      <c r="A329" s="149"/>
      <c r="B329" s="152"/>
      <c r="C329" s="154"/>
      <c r="D329" s="152"/>
      <c r="E329" s="152"/>
      <c r="F329" s="152"/>
      <c r="G329" s="152"/>
      <c r="H329" s="154"/>
      <c r="I329" s="154"/>
      <c r="J329" s="152"/>
      <c r="K329" s="154"/>
      <c r="L329" s="152"/>
      <c r="M329" s="152"/>
      <c r="N329" s="152"/>
      <c r="O329" s="161"/>
      <c r="R329" s="163"/>
      <c r="S329" s="154"/>
      <c r="T329" s="154"/>
      <c r="U329" s="247"/>
    </row>
    <row r="330" spans="1:21" x14ac:dyDescent="0.15">
      <c r="A330" s="149"/>
      <c r="B330" s="152"/>
      <c r="C330" s="154"/>
      <c r="D330" s="152"/>
      <c r="E330" s="152"/>
      <c r="F330" s="152"/>
      <c r="G330" s="152"/>
      <c r="H330" s="154"/>
      <c r="I330" s="154"/>
      <c r="J330" s="152"/>
      <c r="K330" s="154"/>
      <c r="L330" s="152"/>
      <c r="M330" s="152"/>
      <c r="N330" s="152"/>
      <c r="O330" s="161"/>
      <c r="R330" s="163"/>
      <c r="S330" s="154"/>
      <c r="T330" s="154"/>
      <c r="U330" s="247"/>
    </row>
    <row r="331" spans="1:21" x14ac:dyDescent="0.15">
      <c r="A331" s="149"/>
      <c r="B331" s="152"/>
      <c r="C331" s="154"/>
      <c r="D331" s="152"/>
      <c r="E331" s="152"/>
      <c r="F331" s="152"/>
      <c r="G331" s="152"/>
      <c r="H331" s="154"/>
      <c r="I331" s="154"/>
      <c r="J331" s="152"/>
      <c r="K331" s="154"/>
      <c r="L331" s="152"/>
      <c r="M331" s="152"/>
      <c r="N331" s="152"/>
      <c r="O331" s="161"/>
      <c r="R331" s="163"/>
      <c r="S331" s="154"/>
      <c r="T331" s="154"/>
      <c r="U331" s="247"/>
    </row>
    <row r="332" spans="1:21" x14ac:dyDescent="0.15">
      <c r="A332" s="149"/>
      <c r="B332" s="152"/>
      <c r="C332" s="154"/>
      <c r="D332" s="152"/>
      <c r="E332" s="152"/>
      <c r="F332" s="152"/>
      <c r="G332" s="152"/>
      <c r="H332" s="154"/>
      <c r="I332" s="154"/>
      <c r="J332" s="152"/>
      <c r="K332" s="154"/>
      <c r="L332" s="152"/>
      <c r="M332" s="152"/>
      <c r="N332" s="152"/>
      <c r="O332" s="161"/>
      <c r="R332" s="163"/>
      <c r="S332" s="154"/>
      <c r="T332" s="154"/>
      <c r="U332" s="247"/>
    </row>
    <row r="333" spans="1:21" x14ac:dyDescent="0.15">
      <c r="A333" s="149"/>
      <c r="B333" s="152"/>
      <c r="C333" s="154"/>
      <c r="D333" s="152"/>
      <c r="E333" s="152"/>
      <c r="F333" s="152"/>
      <c r="G333" s="152"/>
      <c r="H333" s="154"/>
      <c r="I333" s="154"/>
      <c r="J333" s="152"/>
      <c r="K333" s="154"/>
      <c r="L333" s="152"/>
      <c r="M333" s="152"/>
      <c r="N333" s="152"/>
      <c r="O333" s="161"/>
      <c r="R333" s="163"/>
      <c r="S333" s="154"/>
      <c r="T333" s="154"/>
      <c r="U333" s="247"/>
    </row>
    <row r="334" spans="1:21" x14ac:dyDescent="0.15">
      <c r="A334" s="149"/>
      <c r="B334" s="152"/>
      <c r="C334" s="154"/>
      <c r="D334" s="152"/>
      <c r="E334" s="152"/>
      <c r="F334" s="152"/>
      <c r="G334" s="152"/>
      <c r="H334" s="154"/>
      <c r="I334" s="154"/>
      <c r="J334" s="152"/>
      <c r="K334" s="154"/>
      <c r="L334" s="152"/>
      <c r="M334" s="152"/>
      <c r="N334" s="152"/>
      <c r="O334" s="161"/>
      <c r="R334" s="163"/>
      <c r="S334" s="154"/>
      <c r="T334" s="154"/>
      <c r="U334" s="247"/>
    </row>
    <row r="335" spans="1:21" x14ac:dyDescent="0.15">
      <c r="A335" s="149"/>
      <c r="B335" s="152"/>
      <c r="C335" s="154"/>
      <c r="D335" s="152"/>
      <c r="E335" s="152"/>
      <c r="F335" s="152"/>
      <c r="G335" s="152"/>
      <c r="H335" s="154"/>
      <c r="I335" s="154"/>
      <c r="J335" s="152"/>
      <c r="K335" s="154"/>
      <c r="L335" s="152"/>
      <c r="M335" s="152"/>
      <c r="N335" s="152"/>
      <c r="O335" s="161"/>
      <c r="R335" s="163"/>
      <c r="S335" s="154"/>
      <c r="T335" s="154"/>
      <c r="U335" s="247"/>
    </row>
    <row r="336" spans="1:21" x14ac:dyDescent="0.15">
      <c r="A336" s="149"/>
      <c r="B336" s="152"/>
      <c r="C336" s="154"/>
      <c r="D336" s="152"/>
      <c r="E336" s="152"/>
      <c r="F336" s="152"/>
      <c r="G336" s="152"/>
      <c r="H336" s="154"/>
      <c r="I336" s="154"/>
      <c r="J336" s="152"/>
      <c r="K336" s="154"/>
      <c r="L336" s="152"/>
      <c r="M336" s="152"/>
      <c r="N336" s="152"/>
      <c r="O336" s="161"/>
      <c r="R336" s="163"/>
      <c r="S336" s="154"/>
      <c r="T336" s="154"/>
      <c r="U336" s="247"/>
    </row>
    <row r="337" spans="1:21" x14ac:dyDescent="0.15">
      <c r="A337" s="149"/>
      <c r="B337" s="152"/>
      <c r="C337" s="154"/>
      <c r="D337" s="152"/>
      <c r="E337" s="152"/>
      <c r="F337" s="152"/>
      <c r="G337" s="152"/>
      <c r="H337" s="154"/>
      <c r="I337" s="154"/>
      <c r="J337" s="152"/>
      <c r="K337" s="154"/>
      <c r="L337" s="152"/>
      <c r="M337" s="152"/>
      <c r="N337" s="152"/>
      <c r="O337" s="161"/>
      <c r="R337" s="163"/>
      <c r="S337" s="154"/>
      <c r="T337" s="154"/>
      <c r="U337" s="247"/>
    </row>
    <row r="338" spans="1:21" x14ac:dyDescent="0.15">
      <c r="A338" s="149"/>
      <c r="B338" s="152"/>
      <c r="C338" s="154"/>
      <c r="D338" s="152"/>
      <c r="E338" s="152"/>
      <c r="F338" s="152"/>
      <c r="G338" s="152"/>
      <c r="H338" s="154"/>
      <c r="I338" s="154"/>
      <c r="J338" s="152"/>
      <c r="K338" s="154"/>
      <c r="L338" s="152"/>
      <c r="M338" s="152"/>
      <c r="N338" s="152"/>
      <c r="O338" s="161"/>
      <c r="R338" s="163"/>
      <c r="S338" s="154"/>
      <c r="T338" s="154"/>
      <c r="U338" s="247"/>
    </row>
    <row r="339" spans="1:21" x14ac:dyDescent="0.15">
      <c r="A339" s="149"/>
      <c r="B339" s="152"/>
      <c r="C339" s="154"/>
      <c r="D339" s="152"/>
      <c r="E339" s="152"/>
      <c r="F339" s="152"/>
      <c r="G339" s="152"/>
      <c r="H339" s="154"/>
      <c r="I339" s="154"/>
      <c r="J339" s="152"/>
      <c r="K339" s="154"/>
      <c r="L339" s="152"/>
      <c r="M339" s="152"/>
      <c r="N339" s="152"/>
      <c r="O339" s="161"/>
      <c r="R339" s="163"/>
      <c r="S339" s="154"/>
      <c r="T339" s="154"/>
      <c r="U339" s="247"/>
    </row>
    <row r="340" spans="1:21" x14ac:dyDescent="0.15">
      <c r="A340" s="149"/>
      <c r="B340" s="152"/>
      <c r="C340" s="154"/>
      <c r="D340" s="152"/>
      <c r="E340" s="152"/>
      <c r="F340" s="152"/>
      <c r="G340" s="152"/>
      <c r="H340" s="154"/>
      <c r="I340" s="154"/>
      <c r="J340" s="152"/>
      <c r="K340" s="154"/>
      <c r="L340" s="152"/>
      <c r="M340" s="152"/>
      <c r="N340" s="152"/>
      <c r="O340" s="161"/>
      <c r="R340" s="163"/>
      <c r="S340" s="154"/>
      <c r="T340" s="154"/>
      <c r="U340" s="247"/>
    </row>
    <row r="341" spans="1:21" x14ac:dyDescent="0.15">
      <c r="A341" s="149"/>
      <c r="B341" s="152"/>
      <c r="C341" s="154"/>
      <c r="D341" s="152"/>
      <c r="E341" s="152"/>
      <c r="F341" s="152"/>
      <c r="G341" s="152"/>
      <c r="H341" s="154"/>
      <c r="I341" s="154"/>
      <c r="J341" s="152"/>
      <c r="K341" s="154"/>
      <c r="L341" s="152"/>
      <c r="M341" s="152"/>
      <c r="N341" s="152"/>
      <c r="O341" s="161"/>
      <c r="R341" s="163"/>
      <c r="S341" s="154"/>
      <c r="T341" s="154"/>
      <c r="U341" s="247"/>
    </row>
    <row r="342" spans="1:21" x14ac:dyDescent="0.15">
      <c r="A342" s="149"/>
      <c r="B342" s="152"/>
      <c r="C342" s="154"/>
      <c r="D342" s="152"/>
      <c r="E342" s="152"/>
      <c r="F342" s="152"/>
      <c r="G342" s="152"/>
      <c r="H342" s="154"/>
      <c r="I342" s="154"/>
      <c r="J342" s="152"/>
      <c r="K342" s="154"/>
      <c r="L342" s="152"/>
      <c r="M342" s="152"/>
      <c r="N342" s="152"/>
      <c r="O342" s="161"/>
      <c r="R342" s="163"/>
      <c r="S342" s="154"/>
      <c r="T342" s="154"/>
      <c r="U342" s="247"/>
    </row>
    <row r="343" spans="1:21" x14ac:dyDescent="0.15">
      <c r="A343" s="149"/>
      <c r="B343" s="152"/>
      <c r="C343" s="154"/>
      <c r="D343" s="152"/>
      <c r="E343" s="152"/>
      <c r="F343" s="152"/>
      <c r="G343" s="152"/>
      <c r="H343" s="154"/>
      <c r="I343" s="154"/>
      <c r="J343" s="152"/>
      <c r="K343" s="154"/>
      <c r="L343" s="152"/>
      <c r="M343" s="152"/>
      <c r="N343" s="152"/>
      <c r="O343" s="161"/>
      <c r="R343" s="163"/>
      <c r="S343" s="154"/>
      <c r="T343" s="154"/>
      <c r="U343" s="247"/>
    </row>
    <row r="344" spans="1:21" x14ac:dyDescent="0.15">
      <c r="A344" s="149"/>
      <c r="B344" s="152"/>
      <c r="C344" s="154"/>
      <c r="D344" s="152"/>
      <c r="E344" s="152"/>
      <c r="F344" s="152"/>
      <c r="G344" s="152"/>
      <c r="H344" s="154"/>
      <c r="I344" s="154"/>
      <c r="J344" s="152"/>
      <c r="K344" s="154"/>
      <c r="L344" s="152"/>
      <c r="M344" s="152"/>
      <c r="N344" s="152"/>
      <c r="O344" s="161"/>
      <c r="R344" s="163"/>
      <c r="S344" s="154"/>
      <c r="T344" s="154"/>
      <c r="U344" s="247"/>
    </row>
    <row r="345" spans="1:21" x14ac:dyDescent="0.15">
      <c r="A345" s="149"/>
      <c r="B345" s="152"/>
      <c r="C345" s="154"/>
      <c r="D345" s="152"/>
      <c r="E345" s="152"/>
      <c r="F345" s="152"/>
      <c r="G345" s="152"/>
      <c r="H345" s="154"/>
      <c r="I345" s="154"/>
      <c r="J345" s="152"/>
      <c r="K345" s="154"/>
      <c r="L345" s="152"/>
      <c r="M345" s="152"/>
      <c r="N345" s="152"/>
      <c r="O345" s="161"/>
      <c r="R345" s="163"/>
      <c r="S345" s="154"/>
      <c r="T345" s="154"/>
      <c r="U345" s="247"/>
    </row>
    <row r="346" spans="1:21" x14ac:dyDescent="0.15">
      <c r="A346" s="149"/>
      <c r="B346" s="152"/>
      <c r="C346" s="154"/>
      <c r="D346" s="152"/>
      <c r="E346" s="152"/>
      <c r="F346" s="152"/>
      <c r="G346" s="152"/>
      <c r="H346" s="154"/>
      <c r="I346" s="154"/>
      <c r="J346" s="152"/>
      <c r="K346" s="154"/>
      <c r="L346" s="152"/>
      <c r="M346" s="152"/>
      <c r="N346" s="152"/>
      <c r="O346" s="161"/>
      <c r="R346" s="163"/>
      <c r="S346" s="154"/>
      <c r="T346" s="154"/>
      <c r="U346" s="247"/>
    </row>
    <row r="347" spans="1:21" x14ac:dyDescent="0.15">
      <c r="A347" s="149"/>
      <c r="B347" s="152"/>
      <c r="C347" s="154"/>
      <c r="D347" s="152"/>
      <c r="E347" s="152"/>
      <c r="F347" s="152"/>
      <c r="G347" s="152"/>
      <c r="H347" s="154"/>
      <c r="I347" s="154"/>
      <c r="J347" s="152"/>
      <c r="K347" s="154"/>
      <c r="L347" s="152"/>
      <c r="M347" s="152"/>
      <c r="N347" s="152"/>
      <c r="O347" s="161"/>
      <c r="R347" s="163"/>
      <c r="S347" s="154"/>
      <c r="T347" s="154"/>
      <c r="U347" s="247"/>
    </row>
    <row r="348" spans="1:21" x14ac:dyDescent="0.15">
      <c r="A348" s="149"/>
      <c r="B348" s="152"/>
      <c r="C348" s="154"/>
      <c r="D348" s="152"/>
      <c r="E348" s="152"/>
      <c r="F348" s="152"/>
      <c r="G348" s="152"/>
      <c r="H348" s="154"/>
      <c r="I348" s="154"/>
      <c r="J348" s="152"/>
      <c r="K348" s="154"/>
      <c r="L348" s="152"/>
      <c r="M348" s="152"/>
      <c r="N348" s="152"/>
      <c r="O348" s="161"/>
      <c r="R348" s="163"/>
      <c r="S348" s="154"/>
      <c r="T348" s="154"/>
      <c r="U348" s="247"/>
    </row>
    <row r="349" spans="1:21" x14ac:dyDescent="0.15">
      <c r="A349" s="149"/>
      <c r="B349" s="152"/>
      <c r="C349" s="154"/>
      <c r="D349" s="152"/>
      <c r="E349" s="152"/>
      <c r="F349" s="152"/>
      <c r="G349" s="152"/>
      <c r="H349" s="154"/>
      <c r="I349" s="154"/>
      <c r="J349" s="152"/>
      <c r="K349" s="154"/>
      <c r="L349" s="152"/>
      <c r="M349" s="152"/>
      <c r="N349" s="152"/>
      <c r="O349" s="161"/>
      <c r="R349" s="163"/>
      <c r="S349" s="154"/>
      <c r="T349" s="154"/>
      <c r="U349" s="247"/>
    </row>
    <row r="350" spans="1:21" x14ac:dyDescent="0.15">
      <c r="A350" s="149"/>
      <c r="B350" s="152"/>
      <c r="C350" s="154"/>
      <c r="D350" s="152"/>
      <c r="E350" s="152"/>
      <c r="F350" s="152"/>
      <c r="G350" s="152"/>
      <c r="H350" s="154"/>
      <c r="I350" s="154"/>
      <c r="J350" s="152"/>
      <c r="K350" s="154"/>
      <c r="L350" s="152"/>
      <c r="M350" s="152"/>
      <c r="N350" s="152"/>
      <c r="O350" s="161"/>
      <c r="R350" s="163"/>
      <c r="S350" s="154"/>
      <c r="T350" s="154"/>
      <c r="U350" s="247"/>
    </row>
    <row r="351" spans="1:21" x14ac:dyDescent="0.15">
      <c r="A351" s="149"/>
      <c r="B351" s="152"/>
      <c r="C351" s="154"/>
      <c r="D351" s="152"/>
      <c r="E351" s="152"/>
      <c r="F351" s="152"/>
      <c r="G351" s="152"/>
      <c r="H351" s="154"/>
      <c r="I351" s="154"/>
      <c r="J351" s="152"/>
      <c r="K351" s="154"/>
      <c r="L351" s="152"/>
      <c r="M351" s="152"/>
      <c r="N351" s="152"/>
      <c r="O351" s="161"/>
      <c r="R351" s="163"/>
      <c r="S351" s="154"/>
      <c r="T351" s="154"/>
      <c r="U351" s="247"/>
    </row>
    <row r="352" spans="1:21" x14ac:dyDescent="0.15">
      <c r="A352" s="149"/>
      <c r="B352" s="152"/>
      <c r="C352" s="154"/>
      <c r="D352" s="152"/>
      <c r="E352" s="152"/>
      <c r="F352" s="152"/>
      <c r="G352" s="152"/>
      <c r="H352" s="154"/>
      <c r="I352" s="154"/>
      <c r="J352" s="152"/>
      <c r="K352" s="154"/>
      <c r="L352" s="152"/>
      <c r="M352" s="152"/>
      <c r="N352" s="152"/>
      <c r="O352" s="161"/>
      <c r="R352" s="163"/>
      <c r="S352" s="154"/>
      <c r="T352" s="154"/>
      <c r="U352" s="247"/>
    </row>
    <row r="353" spans="1:21" x14ac:dyDescent="0.15">
      <c r="A353" s="149"/>
      <c r="B353" s="152"/>
      <c r="C353" s="154"/>
      <c r="D353" s="152"/>
      <c r="E353" s="152"/>
      <c r="F353" s="152"/>
      <c r="G353" s="152"/>
      <c r="H353" s="154"/>
      <c r="I353" s="154"/>
      <c r="J353" s="152"/>
      <c r="K353" s="154"/>
      <c r="L353" s="152"/>
      <c r="M353" s="152"/>
      <c r="N353" s="152"/>
      <c r="O353" s="161"/>
      <c r="R353" s="163"/>
      <c r="S353" s="154"/>
      <c r="T353" s="154"/>
      <c r="U353" s="247"/>
    </row>
    <row r="354" spans="1:21" x14ac:dyDescent="0.15">
      <c r="A354" s="149"/>
      <c r="B354" s="152"/>
      <c r="C354" s="154"/>
      <c r="D354" s="152"/>
      <c r="E354" s="152"/>
      <c r="F354" s="152"/>
      <c r="G354" s="152"/>
      <c r="H354" s="154"/>
      <c r="I354" s="154"/>
      <c r="J354" s="152"/>
      <c r="K354" s="154"/>
      <c r="L354" s="152"/>
      <c r="M354" s="152"/>
      <c r="N354" s="152"/>
      <c r="O354" s="161"/>
      <c r="R354" s="163"/>
      <c r="S354" s="154"/>
      <c r="T354" s="154"/>
      <c r="U354" s="247"/>
    </row>
    <row r="355" spans="1:21" x14ac:dyDescent="0.15">
      <c r="A355" s="149"/>
      <c r="B355" s="152"/>
      <c r="C355" s="154"/>
      <c r="D355" s="152"/>
      <c r="E355" s="152"/>
      <c r="F355" s="152"/>
      <c r="G355" s="152"/>
      <c r="H355" s="154"/>
      <c r="I355" s="154"/>
      <c r="J355" s="152"/>
      <c r="K355" s="154"/>
      <c r="L355" s="152"/>
      <c r="M355" s="152"/>
      <c r="N355" s="152"/>
      <c r="O355" s="161"/>
      <c r="R355" s="163"/>
      <c r="S355" s="154"/>
      <c r="T355" s="154"/>
      <c r="U355" s="247"/>
    </row>
    <row r="356" spans="1:21" x14ac:dyDescent="0.15">
      <c r="A356" s="149"/>
      <c r="B356" s="152"/>
      <c r="C356" s="154"/>
      <c r="D356" s="152"/>
      <c r="E356" s="152"/>
      <c r="F356" s="152"/>
      <c r="G356" s="152"/>
      <c r="H356" s="154"/>
      <c r="I356" s="154"/>
      <c r="J356" s="152"/>
      <c r="K356" s="154"/>
      <c r="L356" s="152"/>
      <c r="M356" s="152"/>
      <c r="N356" s="152"/>
      <c r="O356" s="161"/>
      <c r="R356" s="163"/>
      <c r="S356" s="154"/>
      <c r="T356" s="154"/>
      <c r="U356" s="247"/>
    </row>
    <row r="357" spans="1:21" x14ac:dyDescent="0.15">
      <c r="A357" s="149"/>
      <c r="B357" s="152"/>
      <c r="C357" s="154"/>
      <c r="D357" s="152"/>
      <c r="E357" s="152"/>
      <c r="F357" s="152"/>
      <c r="G357" s="152"/>
      <c r="H357" s="154"/>
      <c r="I357" s="154"/>
      <c r="J357" s="152"/>
      <c r="K357" s="154"/>
      <c r="L357" s="152"/>
      <c r="M357" s="152"/>
      <c r="N357" s="152"/>
      <c r="O357" s="161"/>
      <c r="R357" s="163"/>
      <c r="S357" s="154"/>
      <c r="T357" s="154"/>
      <c r="U357" s="247"/>
    </row>
    <row r="358" spans="1:21" x14ac:dyDescent="0.15">
      <c r="A358" s="149"/>
      <c r="B358" s="152"/>
      <c r="C358" s="154"/>
      <c r="D358" s="152"/>
      <c r="E358" s="152"/>
      <c r="F358" s="152"/>
      <c r="G358" s="152"/>
      <c r="H358" s="154"/>
      <c r="I358" s="154"/>
      <c r="J358" s="152"/>
      <c r="K358" s="154"/>
      <c r="L358" s="152"/>
      <c r="M358" s="152"/>
      <c r="N358" s="152"/>
      <c r="O358" s="161"/>
      <c r="R358" s="163"/>
      <c r="S358" s="154"/>
      <c r="T358" s="154"/>
      <c r="U358" s="247"/>
    </row>
    <row r="359" spans="1:21" x14ac:dyDescent="0.15">
      <c r="A359" s="149"/>
      <c r="B359" s="152"/>
      <c r="C359" s="154"/>
      <c r="D359" s="152"/>
      <c r="E359" s="152"/>
      <c r="F359" s="152"/>
      <c r="G359" s="152"/>
      <c r="H359" s="154"/>
      <c r="I359" s="154"/>
      <c r="J359" s="152"/>
      <c r="K359" s="154"/>
      <c r="L359" s="152"/>
      <c r="M359" s="152"/>
      <c r="N359" s="152"/>
      <c r="O359" s="161"/>
      <c r="R359" s="163"/>
      <c r="S359" s="154"/>
      <c r="T359" s="154"/>
      <c r="U359" s="247"/>
    </row>
    <row r="360" spans="1:21" x14ac:dyDescent="0.15">
      <c r="A360" s="149"/>
      <c r="B360" s="152"/>
      <c r="C360" s="154"/>
      <c r="D360" s="152"/>
      <c r="E360" s="152"/>
      <c r="F360" s="152"/>
      <c r="G360" s="152"/>
      <c r="H360" s="154"/>
      <c r="I360" s="154"/>
      <c r="J360" s="152"/>
      <c r="K360" s="154"/>
      <c r="L360" s="152"/>
      <c r="M360" s="152"/>
      <c r="N360" s="152"/>
      <c r="O360" s="161"/>
      <c r="R360" s="163"/>
      <c r="S360" s="154"/>
      <c r="T360" s="154"/>
      <c r="U360" s="247"/>
    </row>
    <row r="361" spans="1:21" x14ac:dyDescent="0.15">
      <c r="A361" s="149"/>
      <c r="B361" s="152"/>
      <c r="C361" s="154"/>
      <c r="D361" s="152"/>
      <c r="E361" s="152"/>
      <c r="F361" s="152"/>
      <c r="G361" s="152"/>
      <c r="H361" s="154"/>
      <c r="I361" s="154"/>
      <c r="J361" s="152"/>
      <c r="K361" s="154"/>
      <c r="L361" s="152"/>
      <c r="M361" s="152"/>
      <c r="N361" s="152"/>
      <c r="O361" s="161"/>
      <c r="R361" s="163"/>
      <c r="S361" s="154"/>
      <c r="T361" s="154"/>
      <c r="U361" s="247"/>
    </row>
    <row r="362" spans="1:21" x14ac:dyDescent="0.15">
      <c r="A362" s="149"/>
      <c r="B362" s="152"/>
      <c r="C362" s="154"/>
      <c r="D362" s="152"/>
      <c r="E362" s="152"/>
      <c r="F362" s="152"/>
      <c r="G362" s="152"/>
      <c r="H362" s="154"/>
      <c r="I362" s="154"/>
      <c r="J362" s="152"/>
      <c r="K362" s="154"/>
      <c r="L362" s="152"/>
      <c r="M362" s="152"/>
      <c r="N362" s="152"/>
      <c r="O362" s="161"/>
      <c r="R362" s="163"/>
      <c r="S362" s="154"/>
      <c r="T362" s="154"/>
      <c r="U362" s="247"/>
    </row>
    <row r="363" spans="1:21" x14ac:dyDescent="0.15">
      <c r="A363" s="149"/>
      <c r="B363" s="152"/>
      <c r="C363" s="154"/>
      <c r="D363" s="152"/>
      <c r="E363" s="152"/>
      <c r="F363" s="152"/>
      <c r="G363" s="152"/>
      <c r="H363" s="154"/>
      <c r="I363" s="154"/>
      <c r="J363" s="152"/>
      <c r="K363" s="154"/>
      <c r="L363" s="152"/>
      <c r="M363" s="152"/>
      <c r="N363" s="152"/>
      <c r="O363" s="161"/>
      <c r="R363" s="163"/>
      <c r="S363" s="154"/>
      <c r="T363" s="154"/>
      <c r="U363" s="247"/>
    </row>
    <row r="364" spans="1:21" x14ac:dyDescent="0.15">
      <c r="A364" s="149"/>
      <c r="B364" s="152"/>
      <c r="C364" s="154"/>
      <c r="D364" s="152"/>
      <c r="E364" s="152"/>
      <c r="F364" s="152"/>
      <c r="G364" s="152"/>
      <c r="H364" s="154"/>
      <c r="I364" s="154"/>
      <c r="J364" s="152"/>
      <c r="K364" s="154"/>
      <c r="L364" s="152"/>
      <c r="M364" s="152"/>
      <c r="N364" s="152"/>
      <c r="O364" s="161"/>
      <c r="R364" s="163"/>
      <c r="S364" s="154"/>
      <c r="T364" s="154"/>
      <c r="U364" s="247"/>
    </row>
    <row r="365" spans="1:21" x14ac:dyDescent="0.15">
      <c r="A365" s="149"/>
      <c r="B365" s="152"/>
      <c r="C365" s="154"/>
      <c r="D365" s="152"/>
      <c r="E365" s="152"/>
      <c r="F365" s="152"/>
      <c r="G365" s="152"/>
      <c r="H365" s="154"/>
      <c r="I365" s="154"/>
      <c r="J365" s="152"/>
      <c r="K365" s="154"/>
      <c r="L365" s="152"/>
      <c r="M365" s="152"/>
      <c r="N365" s="152"/>
      <c r="O365" s="161"/>
      <c r="R365" s="163"/>
      <c r="S365" s="154"/>
      <c r="T365" s="154"/>
      <c r="U365" s="247"/>
    </row>
    <row r="366" spans="1:21" x14ac:dyDescent="0.15">
      <c r="A366" s="149"/>
      <c r="B366" s="152"/>
      <c r="C366" s="154"/>
      <c r="D366" s="152"/>
      <c r="E366" s="152"/>
      <c r="F366" s="152"/>
      <c r="G366" s="152"/>
      <c r="H366" s="154"/>
      <c r="I366" s="154"/>
      <c r="J366" s="152"/>
      <c r="K366" s="154"/>
      <c r="L366" s="152"/>
      <c r="M366" s="152"/>
      <c r="N366" s="152"/>
      <c r="O366" s="161"/>
      <c r="R366" s="163"/>
      <c r="S366" s="154"/>
      <c r="T366" s="154"/>
      <c r="U366" s="247"/>
    </row>
    <row r="367" spans="1:21" x14ac:dyDescent="0.15">
      <c r="A367" s="149"/>
      <c r="B367" s="152"/>
      <c r="C367" s="154"/>
      <c r="D367" s="152"/>
      <c r="E367" s="152"/>
      <c r="F367" s="152"/>
      <c r="G367" s="152"/>
      <c r="H367" s="154"/>
      <c r="I367" s="154"/>
      <c r="J367" s="152"/>
      <c r="K367" s="154"/>
      <c r="L367" s="152"/>
      <c r="M367" s="152"/>
      <c r="N367" s="152"/>
      <c r="O367" s="161"/>
      <c r="R367" s="163"/>
      <c r="S367" s="154"/>
      <c r="T367" s="154"/>
      <c r="U367" s="247"/>
    </row>
    <row r="368" spans="1:21" x14ac:dyDescent="0.15">
      <c r="A368" s="149"/>
      <c r="B368" s="152"/>
      <c r="C368" s="154"/>
      <c r="D368" s="152"/>
      <c r="E368" s="152"/>
      <c r="F368" s="152"/>
      <c r="G368" s="152"/>
      <c r="H368" s="154"/>
      <c r="I368" s="154"/>
      <c r="J368" s="152"/>
      <c r="K368" s="154"/>
      <c r="L368" s="152"/>
      <c r="M368" s="152"/>
      <c r="N368" s="152"/>
      <c r="O368" s="161"/>
      <c r="R368" s="163"/>
      <c r="S368" s="154"/>
      <c r="T368" s="154"/>
      <c r="U368" s="247"/>
    </row>
    <row r="369" spans="1:21" x14ac:dyDescent="0.15">
      <c r="A369" s="149"/>
      <c r="B369" s="152"/>
      <c r="C369" s="154"/>
      <c r="D369" s="152"/>
      <c r="E369" s="152"/>
      <c r="F369" s="152"/>
      <c r="G369" s="152"/>
      <c r="H369" s="154"/>
      <c r="I369" s="154"/>
      <c r="J369" s="152"/>
      <c r="K369" s="154"/>
      <c r="L369" s="152"/>
      <c r="M369" s="152"/>
      <c r="N369" s="152"/>
      <c r="O369" s="161"/>
      <c r="R369" s="163"/>
      <c r="S369" s="154"/>
      <c r="T369" s="154"/>
      <c r="U369" s="247"/>
    </row>
    <row r="370" spans="1:21" x14ac:dyDescent="0.15">
      <c r="A370" s="149"/>
      <c r="B370" s="152"/>
      <c r="C370" s="154"/>
      <c r="D370" s="152"/>
      <c r="E370" s="152"/>
      <c r="F370" s="152"/>
      <c r="G370" s="152"/>
      <c r="H370" s="154"/>
      <c r="I370" s="154"/>
      <c r="J370" s="152"/>
      <c r="K370" s="154"/>
      <c r="L370" s="152"/>
      <c r="M370" s="152"/>
      <c r="N370" s="152"/>
      <c r="O370" s="161"/>
      <c r="R370" s="163"/>
      <c r="S370" s="154"/>
      <c r="T370" s="154"/>
      <c r="U370" s="247"/>
    </row>
    <row r="371" spans="1:21" x14ac:dyDescent="0.15">
      <c r="A371" s="149"/>
      <c r="B371" s="152"/>
      <c r="C371" s="154"/>
      <c r="D371" s="152"/>
      <c r="E371" s="152"/>
      <c r="F371" s="152"/>
      <c r="G371" s="152"/>
      <c r="H371" s="154"/>
      <c r="I371" s="154"/>
      <c r="J371" s="152"/>
      <c r="K371" s="154"/>
      <c r="L371" s="152"/>
      <c r="M371" s="152"/>
      <c r="N371" s="152"/>
      <c r="O371" s="161"/>
      <c r="R371" s="163"/>
      <c r="S371" s="154"/>
      <c r="T371" s="154"/>
      <c r="U371" s="247"/>
    </row>
    <row r="372" spans="1:21" x14ac:dyDescent="0.15">
      <c r="A372" s="149"/>
      <c r="B372" s="152"/>
      <c r="C372" s="154"/>
      <c r="D372" s="152"/>
      <c r="E372" s="152"/>
      <c r="F372" s="152"/>
      <c r="G372" s="152"/>
      <c r="H372" s="154"/>
      <c r="I372" s="154"/>
      <c r="J372" s="152"/>
      <c r="K372" s="154"/>
      <c r="L372" s="152"/>
      <c r="M372" s="152"/>
      <c r="N372" s="152"/>
      <c r="O372" s="161"/>
      <c r="R372" s="163"/>
      <c r="S372" s="154"/>
      <c r="T372" s="154"/>
      <c r="U372" s="247"/>
    </row>
    <row r="373" spans="1:21" x14ac:dyDescent="0.15">
      <c r="A373" s="149"/>
      <c r="B373" s="152"/>
      <c r="C373" s="154"/>
      <c r="D373" s="152"/>
      <c r="E373" s="152"/>
      <c r="F373" s="152"/>
      <c r="G373" s="152"/>
      <c r="H373" s="154"/>
      <c r="I373" s="154"/>
      <c r="J373" s="152"/>
      <c r="K373" s="154"/>
      <c r="L373" s="152"/>
      <c r="M373" s="152"/>
      <c r="N373" s="152"/>
      <c r="O373" s="161"/>
      <c r="R373" s="163"/>
      <c r="S373" s="154"/>
      <c r="T373" s="154"/>
      <c r="U373" s="247"/>
    </row>
    <row r="374" spans="1:21" x14ac:dyDescent="0.15">
      <c r="A374" s="149"/>
      <c r="B374" s="152"/>
      <c r="C374" s="154"/>
      <c r="D374" s="152"/>
      <c r="E374" s="152"/>
      <c r="F374" s="152"/>
      <c r="G374" s="152"/>
      <c r="H374" s="154"/>
      <c r="I374" s="154"/>
      <c r="J374" s="152"/>
      <c r="K374" s="154"/>
      <c r="L374" s="152"/>
      <c r="M374" s="152"/>
      <c r="N374" s="152"/>
      <c r="O374" s="161"/>
      <c r="R374" s="163"/>
      <c r="S374" s="154"/>
      <c r="T374" s="154"/>
      <c r="U374" s="247"/>
    </row>
    <row r="375" spans="1:21" x14ac:dyDescent="0.15">
      <c r="A375" s="149"/>
      <c r="B375" s="152"/>
      <c r="C375" s="154"/>
      <c r="D375" s="152"/>
      <c r="E375" s="152"/>
      <c r="F375" s="152"/>
      <c r="G375" s="152"/>
      <c r="H375" s="154"/>
      <c r="I375" s="154"/>
      <c r="J375" s="152"/>
      <c r="K375" s="154"/>
      <c r="L375" s="152"/>
      <c r="M375" s="152"/>
      <c r="N375" s="152"/>
      <c r="O375" s="161"/>
      <c r="R375" s="163"/>
      <c r="S375" s="154"/>
      <c r="T375" s="154"/>
      <c r="U375" s="247"/>
    </row>
    <row r="376" spans="1:21" x14ac:dyDescent="0.15">
      <c r="A376" s="149"/>
      <c r="B376" s="152"/>
      <c r="C376" s="154"/>
      <c r="D376" s="152"/>
      <c r="E376" s="152"/>
      <c r="F376" s="152"/>
      <c r="G376" s="152"/>
      <c r="H376" s="154"/>
      <c r="I376" s="154"/>
      <c r="J376" s="152"/>
      <c r="K376" s="154"/>
      <c r="L376" s="152"/>
      <c r="M376" s="152"/>
      <c r="N376" s="152"/>
      <c r="O376" s="161"/>
      <c r="R376" s="163"/>
      <c r="S376" s="154"/>
      <c r="T376" s="154"/>
      <c r="U376" s="247"/>
    </row>
    <row r="377" spans="1:21" x14ac:dyDescent="0.15">
      <c r="A377" s="149"/>
      <c r="B377" s="152"/>
      <c r="C377" s="154"/>
      <c r="D377" s="152"/>
      <c r="E377" s="152"/>
      <c r="F377" s="152"/>
      <c r="G377" s="152"/>
      <c r="H377" s="154"/>
      <c r="I377" s="154"/>
      <c r="J377" s="152"/>
      <c r="K377" s="154"/>
      <c r="L377" s="152"/>
      <c r="M377" s="152"/>
      <c r="N377" s="152"/>
      <c r="O377" s="161"/>
      <c r="R377" s="163"/>
      <c r="S377" s="154"/>
      <c r="T377" s="154"/>
      <c r="U377" s="247"/>
    </row>
    <row r="378" spans="1:21" x14ac:dyDescent="0.15">
      <c r="A378" s="149"/>
      <c r="B378" s="152"/>
      <c r="C378" s="154"/>
      <c r="D378" s="152"/>
      <c r="E378" s="152"/>
      <c r="F378" s="152"/>
      <c r="G378" s="152"/>
      <c r="H378" s="154"/>
      <c r="I378" s="154"/>
      <c r="J378" s="152"/>
      <c r="K378" s="154"/>
      <c r="L378" s="152"/>
      <c r="M378" s="152"/>
      <c r="N378" s="152"/>
      <c r="O378" s="161"/>
      <c r="R378" s="163"/>
      <c r="S378" s="154"/>
      <c r="T378" s="154"/>
      <c r="U378" s="247"/>
    </row>
    <row r="379" spans="1:21" x14ac:dyDescent="0.15">
      <c r="A379" s="149"/>
      <c r="B379" s="152"/>
      <c r="C379" s="154"/>
      <c r="D379" s="152"/>
      <c r="E379" s="152"/>
      <c r="F379" s="152"/>
      <c r="G379" s="152"/>
      <c r="H379" s="154"/>
      <c r="I379" s="154"/>
      <c r="J379" s="152"/>
      <c r="K379" s="154"/>
      <c r="L379" s="152"/>
      <c r="M379" s="152"/>
      <c r="N379" s="152"/>
      <c r="O379" s="161"/>
      <c r="R379" s="163"/>
      <c r="S379" s="154"/>
      <c r="T379" s="154"/>
      <c r="U379" s="247"/>
    </row>
    <row r="380" spans="1:21" x14ac:dyDescent="0.15">
      <c r="A380" s="149"/>
      <c r="B380" s="152"/>
      <c r="C380" s="154"/>
      <c r="D380" s="152"/>
      <c r="E380" s="152"/>
      <c r="F380" s="152"/>
      <c r="G380" s="152"/>
      <c r="H380" s="154"/>
      <c r="I380" s="154"/>
      <c r="J380" s="152"/>
      <c r="K380" s="154"/>
      <c r="L380" s="152"/>
      <c r="M380" s="152"/>
      <c r="N380" s="152"/>
      <c r="O380" s="161"/>
      <c r="R380" s="163"/>
      <c r="S380" s="154"/>
      <c r="T380" s="154"/>
      <c r="U380" s="247"/>
    </row>
    <row r="381" spans="1:21" x14ac:dyDescent="0.15">
      <c r="A381" s="149"/>
      <c r="B381" s="152"/>
      <c r="C381" s="154"/>
      <c r="D381" s="152"/>
      <c r="E381" s="152"/>
      <c r="F381" s="152"/>
      <c r="G381" s="152"/>
      <c r="H381" s="154"/>
      <c r="I381" s="154"/>
      <c r="J381" s="152"/>
      <c r="K381" s="154"/>
      <c r="L381" s="152"/>
      <c r="M381" s="152"/>
      <c r="N381" s="152"/>
      <c r="O381" s="161"/>
      <c r="R381" s="163"/>
      <c r="S381" s="154"/>
      <c r="T381" s="154"/>
      <c r="U381" s="247"/>
    </row>
    <row r="382" spans="1:21" x14ac:dyDescent="0.15">
      <c r="A382" s="149"/>
      <c r="B382" s="152"/>
      <c r="C382" s="154"/>
      <c r="D382" s="152"/>
      <c r="E382" s="152"/>
      <c r="F382" s="152"/>
      <c r="G382" s="152"/>
      <c r="H382" s="154"/>
      <c r="I382" s="154"/>
      <c r="J382" s="152"/>
      <c r="K382" s="154"/>
      <c r="L382" s="152"/>
      <c r="M382" s="152"/>
      <c r="N382" s="152"/>
      <c r="O382" s="161"/>
      <c r="R382" s="163"/>
      <c r="S382" s="154"/>
      <c r="T382" s="154"/>
      <c r="U382" s="247"/>
    </row>
    <row r="383" spans="1:21" x14ac:dyDescent="0.15">
      <c r="A383" s="149"/>
      <c r="B383" s="152"/>
      <c r="C383" s="154"/>
      <c r="D383" s="152"/>
      <c r="E383" s="152"/>
      <c r="F383" s="152"/>
      <c r="G383" s="152"/>
      <c r="H383" s="154"/>
      <c r="I383" s="154"/>
      <c r="J383" s="152"/>
      <c r="K383" s="154"/>
      <c r="L383" s="152"/>
      <c r="M383" s="152"/>
      <c r="N383" s="152"/>
      <c r="O383" s="161"/>
      <c r="R383" s="163"/>
      <c r="S383" s="154"/>
      <c r="T383" s="154"/>
      <c r="U383" s="247"/>
    </row>
    <row r="384" spans="1:21" x14ac:dyDescent="0.15">
      <c r="A384" s="149"/>
      <c r="B384" s="152"/>
      <c r="C384" s="154"/>
      <c r="D384" s="152"/>
      <c r="E384" s="152"/>
      <c r="F384" s="152"/>
      <c r="G384" s="152"/>
      <c r="H384" s="154"/>
      <c r="I384" s="154"/>
      <c r="J384" s="152"/>
      <c r="K384" s="154"/>
      <c r="L384" s="152"/>
      <c r="M384" s="152"/>
      <c r="N384" s="152"/>
      <c r="O384" s="161"/>
      <c r="R384" s="163"/>
      <c r="S384" s="154"/>
      <c r="T384" s="154"/>
      <c r="U384" s="247"/>
    </row>
    <row r="385" spans="1:21" x14ac:dyDescent="0.15">
      <c r="A385" s="149"/>
      <c r="B385" s="152"/>
      <c r="C385" s="154"/>
      <c r="D385" s="152"/>
      <c r="E385" s="152"/>
      <c r="F385" s="152"/>
      <c r="G385" s="152"/>
      <c r="H385" s="154"/>
      <c r="I385" s="154"/>
      <c r="J385" s="152"/>
      <c r="K385" s="154"/>
      <c r="L385" s="152"/>
      <c r="M385" s="152"/>
      <c r="N385" s="152"/>
      <c r="O385" s="161"/>
      <c r="R385" s="163"/>
      <c r="S385" s="154"/>
      <c r="T385" s="154"/>
      <c r="U385" s="247"/>
    </row>
    <row r="386" spans="1:21" x14ac:dyDescent="0.15">
      <c r="A386" s="149"/>
      <c r="B386" s="152"/>
      <c r="C386" s="154"/>
      <c r="D386" s="152"/>
      <c r="E386" s="152"/>
      <c r="F386" s="152"/>
      <c r="G386" s="152"/>
      <c r="H386" s="154"/>
      <c r="I386" s="154"/>
      <c r="J386" s="152"/>
      <c r="K386" s="154"/>
      <c r="L386" s="152"/>
      <c r="M386" s="152"/>
      <c r="N386" s="152"/>
      <c r="O386" s="161"/>
      <c r="R386" s="163"/>
      <c r="S386" s="154"/>
      <c r="T386" s="154"/>
      <c r="U386" s="247"/>
    </row>
    <row r="387" spans="1:21" x14ac:dyDescent="0.15">
      <c r="A387" s="149"/>
      <c r="B387" s="152"/>
      <c r="C387" s="154"/>
      <c r="D387" s="152"/>
      <c r="E387" s="152"/>
      <c r="F387" s="152"/>
      <c r="G387" s="152"/>
      <c r="H387" s="154"/>
      <c r="I387" s="154"/>
      <c r="J387" s="152"/>
      <c r="K387" s="154"/>
      <c r="L387" s="152"/>
      <c r="M387" s="152"/>
      <c r="N387" s="152"/>
      <c r="O387" s="161"/>
      <c r="R387" s="163"/>
      <c r="S387" s="154"/>
      <c r="T387" s="154"/>
      <c r="U387" s="247"/>
    </row>
    <row r="388" spans="1:21" x14ac:dyDescent="0.15">
      <c r="A388" s="149"/>
      <c r="B388" s="152"/>
      <c r="C388" s="154"/>
      <c r="D388" s="152"/>
      <c r="E388" s="152"/>
      <c r="F388" s="152"/>
      <c r="G388" s="152"/>
      <c r="H388" s="154"/>
      <c r="I388" s="154"/>
      <c r="J388" s="152"/>
      <c r="K388" s="154"/>
      <c r="L388" s="152"/>
      <c r="M388" s="152"/>
      <c r="N388" s="152"/>
      <c r="O388" s="161"/>
      <c r="R388" s="163"/>
      <c r="S388" s="154"/>
      <c r="T388" s="154"/>
      <c r="U388" s="247"/>
    </row>
    <row r="389" spans="1:21" x14ac:dyDescent="0.15">
      <c r="A389" s="149"/>
      <c r="B389" s="152"/>
      <c r="C389" s="154"/>
      <c r="D389" s="152"/>
      <c r="E389" s="152"/>
      <c r="F389" s="152"/>
      <c r="G389" s="152"/>
      <c r="H389" s="154"/>
      <c r="I389" s="154"/>
      <c r="J389" s="152"/>
      <c r="K389" s="154"/>
      <c r="L389" s="152"/>
      <c r="M389" s="152"/>
      <c r="N389" s="152"/>
      <c r="O389" s="161"/>
      <c r="R389" s="163"/>
      <c r="S389" s="154"/>
      <c r="T389" s="154"/>
      <c r="U389" s="247"/>
    </row>
    <row r="390" spans="1:21" x14ac:dyDescent="0.15">
      <c r="A390" s="149"/>
      <c r="B390" s="152"/>
      <c r="C390" s="154"/>
      <c r="D390" s="152"/>
      <c r="E390" s="152"/>
      <c r="F390" s="152"/>
      <c r="G390" s="152"/>
      <c r="H390" s="154"/>
      <c r="I390" s="154"/>
      <c r="J390" s="152"/>
      <c r="K390" s="154"/>
      <c r="L390" s="152"/>
      <c r="M390" s="152"/>
      <c r="N390" s="152"/>
      <c r="O390" s="161"/>
      <c r="R390" s="163"/>
      <c r="S390" s="154"/>
      <c r="T390" s="154"/>
      <c r="U390" s="247"/>
    </row>
    <row r="391" spans="1:21" x14ac:dyDescent="0.15">
      <c r="A391" s="149"/>
      <c r="B391" s="152"/>
      <c r="C391" s="154"/>
      <c r="D391" s="152"/>
      <c r="E391" s="152"/>
      <c r="F391" s="152"/>
      <c r="G391" s="152"/>
      <c r="H391" s="154"/>
      <c r="I391" s="154"/>
      <c r="J391" s="152"/>
      <c r="K391" s="154"/>
      <c r="L391" s="152"/>
      <c r="M391" s="152"/>
      <c r="N391" s="152"/>
      <c r="O391" s="161"/>
      <c r="R391" s="163"/>
      <c r="S391" s="154"/>
      <c r="T391" s="154"/>
      <c r="U391" s="247"/>
    </row>
    <row r="392" spans="1:21" x14ac:dyDescent="0.15">
      <c r="A392" s="149"/>
      <c r="B392" s="152"/>
      <c r="C392" s="154"/>
      <c r="D392" s="152"/>
      <c r="E392" s="152"/>
      <c r="F392" s="152"/>
      <c r="G392" s="152"/>
      <c r="H392" s="154"/>
      <c r="I392" s="154"/>
      <c r="J392" s="152"/>
      <c r="K392" s="154"/>
      <c r="L392" s="152"/>
      <c r="M392" s="152"/>
      <c r="N392" s="152"/>
      <c r="O392" s="161"/>
      <c r="R392" s="163"/>
      <c r="S392" s="154"/>
      <c r="T392" s="154"/>
      <c r="U392" s="247"/>
    </row>
    <row r="393" spans="1:21" x14ac:dyDescent="0.15">
      <c r="A393" s="149"/>
      <c r="B393" s="152"/>
      <c r="C393" s="154"/>
      <c r="D393" s="152"/>
      <c r="E393" s="152"/>
      <c r="F393" s="152"/>
      <c r="G393" s="152"/>
      <c r="H393" s="154"/>
      <c r="I393" s="154"/>
      <c r="J393" s="152"/>
      <c r="K393" s="154"/>
      <c r="L393" s="152"/>
      <c r="M393" s="152"/>
      <c r="N393" s="152"/>
      <c r="O393" s="161"/>
      <c r="R393" s="163"/>
      <c r="S393" s="154"/>
      <c r="T393" s="154"/>
      <c r="U393" s="247"/>
    </row>
    <row r="394" spans="1:21" x14ac:dyDescent="0.15">
      <c r="A394" s="149"/>
      <c r="B394" s="152"/>
      <c r="C394" s="154"/>
      <c r="D394" s="152"/>
      <c r="E394" s="152"/>
      <c r="F394" s="152"/>
      <c r="G394" s="152"/>
      <c r="H394" s="154"/>
      <c r="I394" s="154"/>
      <c r="J394" s="152"/>
      <c r="K394" s="154"/>
      <c r="L394" s="152"/>
      <c r="M394" s="152"/>
      <c r="N394" s="152"/>
      <c r="O394" s="161"/>
      <c r="R394" s="163"/>
      <c r="S394" s="154"/>
      <c r="T394" s="154"/>
      <c r="U394" s="247"/>
    </row>
    <row r="395" spans="1:21" x14ac:dyDescent="0.15">
      <c r="A395" s="149"/>
      <c r="B395" s="152"/>
      <c r="C395" s="154"/>
      <c r="D395" s="152"/>
      <c r="E395" s="152"/>
      <c r="F395" s="152"/>
      <c r="G395" s="152"/>
      <c r="H395" s="154"/>
      <c r="I395" s="154"/>
      <c r="J395" s="152"/>
      <c r="K395" s="154"/>
      <c r="L395" s="152"/>
      <c r="M395" s="152"/>
      <c r="N395" s="152"/>
      <c r="O395" s="161"/>
      <c r="R395" s="163"/>
      <c r="S395" s="154"/>
      <c r="T395" s="154"/>
      <c r="U395" s="247"/>
    </row>
    <row r="396" spans="1:21" x14ac:dyDescent="0.15">
      <c r="A396" s="149"/>
      <c r="B396" s="152"/>
      <c r="C396" s="154"/>
      <c r="D396" s="152"/>
      <c r="E396" s="152"/>
      <c r="F396" s="152"/>
      <c r="G396" s="152"/>
      <c r="H396" s="154"/>
      <c r="I396" s="154"/>
      <c r="J396" s="152"/>
      <c r="K396" s="154"/>
      <c r="L396" s="152"/>
      <c r="M396" s="152"/>
      <c r="N396" s="152"/>
      <c r="O396" s="161"/>
      <c r="R396" s="163"/>
      <c r="S396" s="154"/>
      <c r="T396" s="154"/>
      <c r="U396" s="247"/>
    </row>
    <row r="397" spans="1:21" x14ac:dyDescent="0.15">
      <c r="A397" s="149"/>
      <c r="B397" s="152"/>
      <c r="C397" s="154"/>
      <c r="D397" s="152"/>
      <c r="E397" s="152"/>
      <c r="F397" s="152"/>
      <c r="G397" s="152"/>
      <c r="H397" s="154"/>
      <c r="I397" s="154"/>
      <c r="J397" s="152"/>
      <c r="K397" s="154"/>
      <c r="L397" s="152"/>
      <c r="M397" s="152"/>
      <c r="N397" s="152"/>
      <c r="O397" s="161"/>
      <c r="R397" s="163"/>
      <c r="S397" s="154"/>
      <c r="T397" s="154"/>
      <c r="U397" s="247"/>
    </row>
    <row r="398" spans="1:21" x14ac:dyDescent="0.15">
      <c r="A398" s="149"/>
      <c r="B398" s="152"/>
      <c r="C398" s="154"/>
      <c r="D398" s="152"/>
      <c r="E398" s="152"/>
      <c r="F398" s="152"/>
      <c r="G398" s="152"/>
      <c r="H398" s="154"/>
      <c r="I398" s="154"/>
      <c r="J398" s="152"/>
      <c r="K398" s="154"/>
      <c r="L398" s="152"/>
      <c r="M398" s="152"/>
      <c r="N398" s="152"/>
      <c r="O398" s="161"/>
      <c r="R398" s="163"/>
      <c r="S398" s="154"/>
      <c r="T398" s="154"/>
      <c r="U398" s="247"/>
    </row>
    <row r="399" spans="1:21" x14ac:dyDescent="0.15">
      <c r="A399" s="149"/>
      <c r="B399" s="152"/>
      <c r="C399" s="154"/>
      <c r="D399" s="152"/>
      <c r="E399" s="152"/>
      <c r="F399" s="152"/>
      <c r="G399" s="152"/>
      <c r="H399" s="154"/>
      <c r="I399" s="154"/>
      <c r="J399" s="152"/>
      <c r="K399" s="154"/>
      <c r="L399" s="152"/>
      <c r="M399" s="152"/>
      <c r="N399" s="152"/>
      <c r="O399" s="161"/>
      <c r="R399" s="163"/>
      <c r="S399" s="154"/>
      <c r="T399" s="154"/>
      <c r="U399" s="247"/>
    </row>
    <row r="400" spans="1:21" x14ac:dyDescent="0.15">
      <c r="A400" s="149"/>
      <c r="B400" s="152"/>
      <c r="C400" s="154"/>
      <c r="D400" s="152"/>
      <c r="E400" s="152"/>
      <c r="F400" s="152"/>
      <c r="G400" s="152"/>
      <c r="H400" s="154"/>
      <c r="I400" s="154"/>
      <c r="J400" s="152"/>
      <c r="K400" s="154"/>
      <c r="L400" s="152"/>
      <c r="M400" s="152"/>
      <c r="N400" s="152"/>
      <c r="O400" s="161"/>
      <c r="R400" s="163"/>
      <c r="S400" s="154"/>
      <c r="T400" s="154"/>
      <c r="U400" s="247"/>
    </row>
    <row r="401" spans="1:21" x14ac:dyDescent="0.15">
      <c r="A401" s="149"/>
      <c r="B401" s="152"/>
      <c r="C401" s="154"/>
      <c r="D401" s="152"/>
      <c r="E401" s="152"/>
      <c r="F401" s="152"/>
      <c r="G401" s="152"/>
      <c r="H401" s="154"/>
      <c r="I401" s="154"/>
      <c r="J401" s="152"/>
      <c r="K401" s="154"/>
      <c r="L401" s="152"/>
      <c r="M401" s="152"/>
      <c r="N401" s="152"/>
      <c r="O401" s="161"/>
      <c r="R401" s="163"/>
      <c r="S401" s="154"/>
      <c r="T401" s="154"/>
      <c r="U401" s="247"/>
    </row>
    <row r="402" spans="1:21" x14ac:dyDescent="0.15">
      <c r="A402" s="149"/>
      <c r="B402" s="152"/>
      <c r="C402" s="154"/>
      <c r="D402" s="152"/>
      <c r="E402" s="152"/>
      <c r="F402" s="152"/>
      <c r="G402" s="152"/>
      <c r="H402" s="154"/>
      <c r="I402" s="154"/>
      <c r="J402" s="152"/>
      <c r="K402" s="154"/>
      <c r="L402" s="152"/>
      <c r="M402" s="152"/>
      <c r="N402" s="152"/>
      <c r="O402" s="161"/>
      <c r="R402" s="163"/>
      <c r="S402" s="154"/>
      <c r="T402" s="154"/>
      <c r="U402" s="247"/>
    </row>
    <row r="403" spans="1:21" x14ac:dyDescent="0.15">
      <c r="A403" s="149"/>
      <c r="B403" s="152"/>
      <c r="C403" s="154"/>
      <c r="D403" s="152"/>
      <c r="E403" s="152"/>
      <c r="F403" s="152"/>
      <c r="G403" s="152"/>
      <c r="H403" s="154"/>
      <c r="I403" s="154"/>
      <c r="J403" s="152"/>
      <c r="K403" s="154"/>
      <c r="L403" s="152"/>
      <c r="M403" s="152"/>
      <c r="N403" s="152"/>
      <c r="O403" s="161"/>
      <c r="R403" s="163"/>
      <c r="S403" s="154"/>
      <c r="T403" s="154"/>
      <c r="U403" s="247"/>
    </row>
    <row r="404" spans="1:21" x14ac:dyDescent="0.15">
      <c r="A404" s="149"/>
      <c r="B404" s="152"/>
      <c r="C404" s="154"/>
      <c r="D404" s="152"/>
      <c r="E404" s="152"/>
      <c r="F404" s="152"/>
      <c r="G404" s="152"/>
      <c r="H404" s="154"/>
      <c r="I404" s="154"/>
      <c r="J404" s="152"/>
      <c r="K404" s="154"/>
      <c r="L404" s="152"/>
      <c r="M404" s="152"/>
      <c r="N404" s="152"/>
      <c r="O404" s="161"/>
      <c r="R404" s="163"/>
      <c r="S404" s="154"/>
      <c r="T404" s="154"/>
      <c r="U404" s="247"/>
    </row>
    <row r="405" spans="1:21" x14ac:dyDescent="0.15">
      <c r="A405" s="149"/>
      <c r="B405" s="152"/>
      <c r="C405" s="154"/>
      <c r="D405" s="152"/>
      <c r="E405" s="152"/>
      <c r="F405" s="152"/>
      <c r="G405" s="152"/>
      <c r="H405" s="154"/>
      <c r="I405" s="154"/>
      <c r="J405" s="152"/>
      <c r="K405" s="154"/>
      <c r="L405" s="152"/>
      <c r="M405" s="152"/>
      <c r="N405" s="152"/>
      <c r="O405" s="161"/>
      <c r="R405" s="163"/>
      <c r="S405" s="154"/>
      <c r="T405" s="154"/>
      <c r="U405" s="247"/>
    </row>
    <row r="406" spans="1:21" x14ac:dyDescent="0.15">
      <c r="A406" s="149"/>
      <c r="B406" s="152"/>
      <c r="C406" s="154"/>
      <c r="D406" s="152"/>
      <c r="E406" s="152"/>
      <c r="F406" s="152"/>
      <c r="G406" s="152"/>
      <c r="H406" s="154"/>
      <c r="I406" s="154"/>
      <c r="J406" s="152"/>
      <c r="K406" s="154"/>
      <c r="L406" s="152"/>
      <c r="M406" s="152"/>
      <c r="N406" s="152"/>
      <c r="O406" s="161"/>
      <c r="R406" s="163"/>
      <c r="S406" s="154"/>
      <c r="T406" s="154"/>
      <c r="U406" s="247"/>
    </row>
    <row r="407" spans="1:21" x14ac:dyDescent="0.15">
      <c r="A407" s="149"/>
      <c r="B407" s="152"/>
      <c r="C407" s="154"/>
      <c r="D407" s="152"/>
      <c r="E407" s="152"/>
      <c r="F407" s="152"/>
      <c r="G407" s="152"/>
      <c r="H407" s="154"/>
      <c r="I407" s="154"/>
      <c r="J407" s="152"/>
      <c r="K407" s="154"/>
      <c r="L407" s="152"/>
      <c r="M407" s="152"/>
      <c r="N407" s="152"/>
      <c r="O407" s="161"/>
      <c r="R407" s="163"/>
      <c r="S407" s="154"/>
      <c r="T407" s="154"/>
      <c r="U407" s="247"/>
    </row>
    <row r="408" spans="1:21" x14ac:dyDescent="0.15">
      <c r="A408" s="149"/>
      <c r="B408" s="152"/>
      <c r="C408" s="154"/>
      <c r="D408" s="152"/>
      <c r="E408" s="152"/>
      <c r="F408" s="152"/>
      <c r="G408" s="152"/>
      <c r="H408" s="154"/>
      <c r="I408" s="154"/>
      <c r="J408" s="152"/>
      <c r="K408" s="154"/>
      <c r="L408" s="152"/>
      <c r="M408" s="152"/>
      <c r="N408" s="152"/>
      <c r="O408" s="161"/>
      <c r="R408" s="163"/>
      <c r="S408" s="154"/>
      <c r="T408" s="154"/>
      <c r="U408" s="247"/>
    </row>
    <row r="409" spans="1:21" x14ac:dyDescent="0.15">
      <c r="A409" s="149"/>
      <c r="B409" s="152"/>
      <c r="C409" s="154"/>
      <c r="D409" s="152"/>
      <c r="E409" s="152"/>
      <c r="F409" s="152"/>
      <c r="G409" s="152"/>
      <c r="H409" s="154"/>
      <c r="I409" s="154"/>
      <c r="J409" s="152"/>
      <c r="K409" s="154"/>
      <c r="L409" s="152"/>
      <c r="M409" s="152"/>
      <c r="N409" s="152"/>
      <c r="O409" s="161"/>
      <c r="R409" s="163"/>
      <c r="S409" s="154"/>
      <c r="T409" s="154"/>
      <c r="U409" s="247"/>
    </row>
    <row r="410" spans="1:21" x14ac:dyDescent="0.15">
      <c r="A410" s="149"/>
      <c r="B410" s="152"/>
      <c r="C410" s="154"/>
      <c r="D410" s="152"/>
      <c r="E410" s="152"/>
      <c r="F410" s="152"/>
      <c r="G410" s="152"/>
      <c r="H410" s="154"/>
      <c r="I410" s="154"/>
      <c r="J410" s="152"/>
      <c r="K410" s="154"/>
      <c r="L410" s="152"/>
      <c r="M410" s="152"/>
      <c r="N410" s="152"/>
      <c r="O410" s="161"/>
      <c r="R410" s="163"/>
      <c r="S410" s="154"/>
      <c r="T410" s="154"/>
      <c r="U410" s="247"/>
    </row>
    <row r="411" spans="1:21" x14ac:dyDescent="0.15">
      <c r="A411" s="149"/>
      <c r="B411" s="152"/>
      <c r="C411" s="154"/>
      <c r="D411" s="152"/>
      <c r="E411" s="152"/>
      <c r="F411" s="152"/>
      <c r="G411" s="152"/>
      <c r="H411" s="154"/>
      <c r="I411" s="154"/>
      <c r="J411" s="152"/>
      <c r="K411" s="154"/>
      <c r="L411" s="152"/>
      <c r="M411" s="152"/>
      <c r="N411" s="152"/>
      <c r="O411" s="161"/>
      <c r="R411" s="163"/>
      <c r="S411" s="154"/>
      <c r="T411" s="154"/>
      <c r="U411" s="247"/>
    </row>
    <row r="412" spans="1:21" x14ac:dyDescent="0.15">
      <c r="A412" s="149"/>
      <c r="B412" s="152"/>
      <c r="C412" s="154"/>
      <c r="D412" s="152"/>
      <c r="E412" s="152"/>
      <c r="F412" s="152"/>
      <c r="G412" s="152"/>
      <c r="H412" s="154"/>
      <c r="I412" s="154"/>
      <c r="J412" s="152"/>
      <c r="K412" s="154"/>
      <c r="L412" s="152"/>
      <c r="M412" s="152"/>
      <c r="N412" s="152"/>
      <c r="O412" s="161"/>
      <c r="R412" s="163"/>
      <c r="S412" s="154"/>
      <c r="T412" s="154"/>
      <c r="U412" s="247"/>
    </row>
    <row r="413" spans="1:21" x14ac:dyDescent="0.15">
      <c r="A413" s="149"/>
      <c r="B413" s="152"/>
      <c r="C413" s="154"/>
      <c r="D413" s="152"/>
      <c r="E413" s="152"/>
      <c r="F413" s="152"/>
      <c r="G413" s="152"/>
      <c r="H413" s="154"/>
      <c r="I413" s="154"/>
      <c r="J413" s="152"/>
      <c r="K413" s="154"/>
      <c r="L413" s="152"/>
      <c r="M413" s="152"/>
      <c r="N413" s="152"/>
      <c r="O413" s="161"/>
      <c r="R413" s="163"/>
      <c r="S413" s="154"/>
      <c r="T413" s="154"/>
      <c r="U413" s="247"/>
    </row>
    <row r="414" spans="1:21" x14ac:dyDescent="0.15">
      <c r="A414" s="149"/>
      <c r="B414" s="152"/>
      <c r="C414" s="154"/>
      <c r="D414" s="152"/>
      <c r="E414" s="152"/>
      <c r="F414" s="152"/>
      <c r="G414" s="152"/>
      <c r="H414" s="154"/>
      <c r="I414" s="154"/>
      <c r="J414" s="152"/>
      <c r="K414" s="154"/>
      <c r="L414" s="152"/>
      <c r="M414" s="152"/>
      <c r="N414" s="152"/>
      <c r="O414" s="161"/>
      <c r="R414" s="163"/>
      <c r="S414" s="154"/>
      <c r="T414" s="154"/>
      <c r="U414" s="247"/>
    </row>
    <row r="415" spans="1:21" x14ac:dyDescent="0.15">
      <c r="A415" s="149"/>
      <c r="B415" s="152"/>
      <c r="C415" s="154"/>
      <c r="D415" s="152"/>
      <c r="E415" s="152"/>
      <c r="F415" s="152"/>
      <c r="G415" s="152"/>
      <c r="H415" s="154"/>
      <c r="I415" s="154"/>
      <c r="J415" s="152"/>
      <c r="K415" s="154"/>
      <c r="L415" s="152"/>
      <c r="M415" s="152"/>
      <c r="N415" s="152"/>
      <c r="O415" s="161"/>
      <c r="R415" s="163"/>
      <c r="S415" s="154"/>
      <c r="T415" s="154"/>
      <c r="U415" s="247"/>
    </row>
    <row r="416" spans="1:21" x14ac:dyDescent="0.15">
      <c r="A416" s="149"/>
      <c r="B416" s="152"/>
      <c r="C416" s="154"/>
      <c r="D416" s="152"/>
      <c r="E416" s="152"/>
      <c r="F416" s="152"/>
      <c r="G416" s="152"/>
      <c r="H416" s="154"/>
      <c r="I416" s="154"/>
      <c r="J416" s="152"/>
      <c r="K416" s="154"/>
      <c r="L416" s="152"/>
      <c r="M416" s="152"/>
      <c r="N416" s="152"/>
      <c r="O416" s="161"/>
      <c r="R416" s="163"/>
      <c r="S416" s="154"/>
      <c r="T416" s="154"/>
      <c r="U416" s="247"/>
    </row>
    <row r="417" spans="1:21" x14ac:dyDescent="0.15">
      <c r="A417" s="149"/>
      <c r="B417" s="152"/>
      <c r="C417" s="154"/>
      <c r="D417" s="152"/>
      <c r="E417" s="152"/>
      <c r="F417" s="152"/>
      <c r="G417" s="152"/>
      <c r="H417" s="154"/>
      <c r="I417" s="154"/>
      <c r="J417" s="152"/>
      <c r="K417" s="154"/>
      <c r="L417" s="152"/>
      <c r="M417" s="152"/>
      <c r="N417" s="152"/>
      <c r="O417" s="161"/>
      <c r="R417" s="163"/>
      <c r="S417" s="154"/>
      <c r="T417" s="154"/>
      <c r="U417" s="247"/>
    </row>
    <row r="418" spans="1:21" x14ac:dyDescent="0.15">
      <c r="A418" s="149"/>
      <c r="B418" s="152"/>
      <c r="C418" s="154"/>
      <c r="D418" s="152"/>
      <c r="E418" s="152"/>
      <c r="F418" s="152"/>
      <c r="G418" s="152"/>
      <c r="H418" s="154"/>
      <c r="I418" s="154"/>
      <c r="J418" s="152"/>
      <c r="K418" s="154"/>
      <c r="L418" s="152"/>
      <c r="M418" s="152"/>
      <c r="N418" s="152"/>
      <c r="O418" s="161"/>
      <c r="R418" s="163"/>
      <c r="S418" s="154"/>
      <c r="T418" s="154"/>
      <c r="U418" s="247"/>
    </row>
    <row r="419" spans="1:21" x14ac:dyDescent="0.15">
      <c r="A419" s="149"/>
      <c r="B419" s="152"/>
      <c r="C419" s="154"/>
      <c r="D419" s="152"/>
      <c r="E419" s="152"/>
      <c r="F419" s="152"/>
      <c r="G419" s="152"/>
      <c r="H419" s="154"/>
      <c r="I419" s="154"/>
      <c r="J419" s="152"/>
      <c r="K419" s="154"/>
      <c r="L419" s="152"/>
      <c r="M419" s="152"/>
      <c r="N419" s="152"/>
      <c r="O419" s="161"/>
      <c r="R419" s="163"/>
      <c r="S419" s="154"/>
      <c r="T419" s="154"/>
      <c r="U419" s="247"/>
    </row>
    <row r="420" spans="1:21" x14ac:dyDescent="0.15">
      <c r="A420" s="149"/>
      <c r="B420" s="152"/>
      <c r="C420" s="154"/>
      <c r="D420" s="152"/>
      <c r="E420" s="152"/>
      <c r="F420" s="152"/>
      <c r="G420" s="152"/>
      <c r="H420" s="154"/>
      <c r="I420" s="154"/>
      <c r="J420" s="152"/>
      <c r="K420" s="154"/>
      <c r="L420" s="152"/>
      <c r="M420" s="152"/>
      <c r="N420" s="152"/>
      <c r="O420" s="161"/>
      <c r="R420" s="163"/>
      <c r="S420" s="154"/>
      <c r="T420" s="154"/>
      <c r="U420" s="247"/>
    </row>
    <row r="421" spans="1:21" x14ac:dyDescent="0.15">
      <c r="A421" s="149"/>
      <c r="B421" s="152"/>
      <c r="C421" s="154"/>
      <c r="D421" s="152"/>
      <c r="E421" s="152"/>
      <c r="F421" s="152"/>
      <c r="G421" s="152"/>
      <c r="H421" s="154"/>
      <c r="I421" s="154"/>
      <c r="J421" s="152"/>
      <c r="K421" s="154"/>
      <c r="L421" s="152"/>
      <c r="M421" s="152"/>
      <c r="N421" s="152"/>
      <c r="O421" s="161"/>
      <c r="R421" s="163"/>
      <c r="S421" s="154"/>
      <c r="T421" s="154"/>
      <c r="U421" s="247"/>
    </row>
    <row r="422" spans="1:21" x14ac:dyDescent="0.15">
      <c r="A422" s="149"/>
      <c r="B422" s="152"/>
      <c r="C422" s="154"/>
      <c r="D422" s="152"/>
      <c r="E422" s="152"/>
      <c r="F422" s="152"/>
      <c r="G422" s="152"/>
      <c r="H422" s="154"/>
      <c r="I422" s="154"/>
      <c r="J422" s="152"/>
      <c r="K422" s="154"/>
      <c r="L422" s="152"/>
      <c r="M422" s="152"/>
      <c r="N422" s="152"/>
      <c r="O422" s="161"/>
      <c r="R422" s="163"/>
      <c r="S422" s="154"/>
      <c r="T422" s="154"/>
      <c r="U422" s="247"/>
    </row>
    <row r="423" spans="1:21" x14ac:dyDescent="0.15">
      <c r="A423" s="149"/>
      <c r="B423" s="152"/>
      <c r="C423" s="154"/>
      <c r="D423" s="152"/>
      <c r="E423" s="152"/>
      <c r="F423" s="152"/>
      <c r="G423" s="152"/>
      <c r="H423" s="154"/>
      <c r="I423" s="154"/>
      <c r="J423" s="152"/>
      <c r="K423" s="154"/>
      <c r="L423" s="152"/>
      <c r="M423" s="152"/>
      <c r="N423" s="152"/>
      <c r="O423" s="161"/>
      <c r="R423" s="163"/>
      <c r="S423" s="154"/>
      <c r="T423" s="154"/>
      <c r="U423" s="247"/>
    </row>
    <row r="424" spans="1:21" x14ac:dyDescent="0.15">
      <c r="A424" s="149"/>
      <c r="B424" s="152"/>
      <c r="C424" s="154"/>
      <c r="D424" s="152"/>
      <c r="E424" s="152"/>
      <c r="F424" s="152"/>
      <c r="G424" s="152"/>
      <c r="H424" s="154"/>
      <c r="I424" s="154"/>
      <c r="J424" s="152"/>
      <c r="K424" s="154"/>
      <c r="L424" s="152"/>
      <c r="M424" s="152"/>
      <c r="N424" s="152"/>
      <c r="O424" s="161"/>
      <c r="R424" s="163"/>
      <c r="S424" s="154"/>
      <c r="T424" s="154"/>
      <c r="U424" s="247"/>
    </row>
    <row r="425" spans="1:21" x14ac:dyDescent="0.15">
      <c r="A425" s="149"/>
      <c r="B425" s="152"/>
      <c r="C425" s="154"/>
      <c r="D425" s="152"/>
      <c r="E425" s="152"/>
      <c r="F425" s="152"/>
      <c r="G425" s="152"/>
      <c r="H425" s="154"/>
      <c r="I425" s="154"/>
      <c r="J425" s="152"/>
      <c r="K425" s="154"/>
      <c r="L425" s="152"/>
      <c r="M425" s="152"/>
      <c r="N425" s="152"/>
      <c r="O425" s="161"/>
      <c r="R425" s="163"/>
      <c r="S425" s="154"/>
      <c r="T425" s="154"/>
      <c r="U425" s="247"/>
    </row>
    <row r="426" spans="1:21" x14ac:dyDescent="0.15">
      <c r="A426" s="149"/>
      <c r="B426" s="152"/>
      <c r="C426" s="154"/>
      <c r="D426" s="152"/>
      <c r="E426" s="152"/>
      <c r="F426" s="152"/>
      <c r="G426" s="152"/>
      <c r="H426" s="154"/>
      <c r="I426" s="154"/>
      <c r="J426" s="152"/>
      <c r="K426" s="154"/>
      <c r="L426" s="152"/>
      <c r="M426" s="152"/>
      <c r="N426" s="152"/>
      <c r="O426" s="161"/>
      <c r="R426" s="163"/>
      <c r="S426" s="154"/>
      <c r="T426" s="154"/>
      <c r="U426" s="247"/>
    </row>
    <row r="427" spans="1:21" x14ac:dyDescent="0.15">
      <c r="A427" s="149"/>
      <c r="B427" s="152"/>
      <c r="C427" s="154"/>
      <c r="D427" s="152"/>
      <c r="E427" s="152"/>
      <c r="F427" s="152"/>
      <c r="G427" s="152"/>
      <c r="H427" s="154"/>
      <c r="I427" s="154"/>
      <c r="J427" s="152"/>
      <c r="K427" s="154"/>
      <c r="L427" s="152"/>
      <c r="M427" s="152"/>
      <c r="N427" s="152"/>
      <c r="O427" s="161"/>
      <c r="R427" s="163"/>
      <c r="S427" s="154"/>
      <c r="T427" s="154"/>
      <c r="U427" s="247"/>
    </row>
    <row r="428" spans="1:21" x14ac:dyDescent="0.15">
      <c r="A428" s="149"/>
      <c r="B428" s="152"/>
      <c r="C428" s="154"/>
      <c r="D428" s="152"/>
      <c r="E428" s="152"/>
      <c r="F428" s="152"/>
      <c r="G428" s="152"/>
      <c r="H428" s="154"/>
      <c r="I428" s="154"/>
      <c r="J428" s="152"/>
      <c r="K428" s="154"/>
      <c r="L428" s="152"/>
      <c r="M428" s="152"/>
      <c r="N428" s="152"/>
      <c r="O428" s="161"/>
      <c r="R428" s="163"/>
      <c r="S428" s="154"/>
      <c r="T428" s="154"/>
      <c r="U428" s="247"/>
    </row>
    <row r="429" spans="1:21" x14ac:dyDescent="0.15">
      <c r="A429" s="149"/>
      <c r="B429" s="152"/>
      <c r="C429" s="154"/>
      <c r="D429" s="152"/>
      <c r="E429" s="152"/>
      <c r="F429" s="152"/>
      <c r="G429" s="152"/>
      <c r="H429" s="154"/>
      <c r="I429" s="154"/>
      <c r="J429" s="152"/>
      <c r="K429" s="154"/>
      <c r="L429" s="152"/>
      <c r="M429" s="152"/>
      <c r="N429" s="152"/>
      <c r="O429" s="161"/>
      <c r="R429" s="163"/>
      <c r="S429" s="154"/>
      <c r="T429" s="154"/>
      <c r="U429" s="247"/>
    </row>
    <row r="430" spans="1:21" x14ac:dyDescent="0.15">
      <c r="A430" s="149"/>
      <c r="B430" s="152"/>
      <c r="C430" s="154"/>
      <c r="D430" s="152"/>
      <c r="E430" s="152"/>
      <c r="F430" s="152"/>
      <c r="G430" s="152"/>
      <c r="H430" s="154"/>
      <c r="I430" s="154"/>
      <c r="J430" s="152"/>
      <c r="K430" s="154"/>
      <c r="L430" s="152"/>
      <c r="M430" s="152"/>
      <c r="N430" s="152"/>
      <c r="O430" s="161"/>
      <c r="R430" s="163"/>
      <c r="S430" s="154"/>
      <c r="T430" s="154"/>
      <c r="U430" s="247"/>
    </row>
    <row r="431" spans="1:21" x14ac:dyDescent="0.15">
      <c r="A431" s="149"/>
      <c r="B431" s="152"/>
      <c r="C431" s="154"/>
      <c r="D431" s="152"/>
      <c r="E431" s="152"/>
      <c r="F431" s="152"/>
      <c r="G431" s="152"/>
      <c r="H431" s="154"/>
      <c r="I431" s="154"/>
      <c r="J431" s="152"/>
      <c r="K431" s="154"/>
      <c r="L431" s="152"/>
      <c r="M431" s="152"/>
      <c r="N431" s="152"/>
      <c r="O431" s="161"/>
      <c r="R431" s="163"/>
      <c r="S431" s="154"/>
      <c r="T431" s="154"/>
      <c r="U431" s="247"/>
    </row>
    <row r="432" spans="1:21" x14ac:dyDescent="0.15">
      <c r="A432" s="149"/>
      <c r="B432" s="152"/>
      <c r="C432" s="154"/>
      <c r="D432" s="152"/>
      <c r="E432" s="152"/>
      <c r="F432" s="152"/>
      <c r="G432" s="152"/>
      <c r="H432" s="154"/>
      <c r="I432" s="154"/>
      <c r="J432" s="152"/>
      <c r="K432" s="154"/>
      <c r="L432" s="152"/>
      <c r="M432" s="152"/>
      <c r="N432" s="152"/>
      <c r="O432" s="161"/>
      <c r="R432" s="163"/>
      <c r="S432" s="154"/>
      <c r="T432" s="154"/>
      <c r="U432" s="247"/>
    </row>
    <row r="433" spans="1:21" x14ac:dyDescent="0.15">
      <c r="A433" s="149"/>
      <c r="B433" s="152"/>
      <c r="C433" s="154"/>
      <c r="D433" s="152"/>
      <c r="E433" s="152"/>
      <c r="F433" s="152"/>
      <c r="G433" s="152"/>
      <c r="H433" s="154"/>
      <c r="I433" s="154"/>
      <c r="J433" s="152"/>
      <c r="K433" s="154"/>
      <c r="L433" s="152"/>
      <c r="M433" s="152"/>
      <c r="N433" s="152"/>
      <c r="O433" s="161"/>
      <c r="R433" s="163"/>
      <c r="S433" s="154"/>
      <c r="T433" s="154"/>
      <c r="U433" s="247"/>
    </row>
    <row r="434" spans="1:21" x14ac:dyDescent="0.15">
      <c r="A434" s="149"/>
      <c r="B434" s="152"/>
      <c r="C434" s="154"/>
      <c r="D434" s="152"/>
      <c r="E434" s="152"/>
      <c r="F434" s="152"/>
      <c r="G434" s="152"/>
      <c r="H434" s="154"/>
      <c r="I434" s="154"/>
      <c r="J434" s="152"/>
      <c r="K434" s="154"/>
      <c r="L434" s="152"/>
      <c r="M434" s="152"/>
      <c r="N434" s="152"/>
      <c r="O434" s="161"/>
      <c r="R434" s="163"/>
      <c r="S434" s="154"/>
      <c r="T434" s="154"/>
      <c r="U434" s="247"/>
    </row>
    <row r="435" spans="1:21" x14ac:dyDescent="0.15">
      <c r="A435" s="149"/>
      <c r="B435" s="152"/>
      <c r="C435" s="154"/>
      <c r="D435" s="152"/>
      <c r="E435" s="152"/>
      <c r="F435" s="152"/>
      <c r="G435" s="152"/>
      <c r="H435" s="154"/>
      <c r="I435" s="154"/>
      <c r="J435" s="152"/>
      <c r="K435" s="154"/>
      <c r="L435" s="152"/>
      <c r="M435" s="152"/>
      <c r="N435" s="152"/>
      <c r="O435" s="161"/>
      <c r="R435" s="163"/>
      <c r="S435" s="154"/>
      <c r="T435" s="154"/>
      <c r="U435" s="247"/>
    </row>
    <row r="436" spans="1:21" x14ac:dyDescent="0.15">
      <c r="A436" s="149"/>
      <c r="B436" s="152"/>
      <c r="C436" s="154"/>
      <c r="D436" s="152"/>
      <c r="E436" s="152"/>
      <c r="F436" s="152"/>
      <c r="G436" s="152"/>
      <c r="H436" s="154"/>
      <c r="I436" s="154"/>
      <c r="J436" s="152"/>
      <c r="K436" s="154"/>
      <c r="L436" s="152"/>
      <c r="M436" s="152"/>
      <c r="N436" s="152"/>
      <c r="O436" s="161"/>
      <c r="R436" s="163"/>
      <c r="S436" s="154"/>
      <c r="T436" s="154"/>
      <c r="U436" s="247"/>
    </row>
    <row r="437" spans="1:21" x14ac:dyDescent="0.15">
      <c r="A437" s="149"/>
      <c r="B437" s="152"/>
      <c r="C437" s="154"/>
      <c r="D437" s="152"/>
      <c r="E437" s="152"/>
      <c r="F437" s="152"/>
      <c r="G437" s="152"/>
      <c r="H437" s="154"/>
      <c r="I437" s="154"/>
      <c r="J437" s="152"/>
      <c r="K437" s="154"/>
      <c r="L437" s="152"/>
      <c r="M437" s="152"/>
      <c r="N437" s="152"/>
      <c r="O437" s="161"/>
      <c r="R437" s="163"/>
      <c r="S437" s="154"/>
      <c r="T437" s="154"/>
      <c r="U437" s="247"/>
    </row>
    <row r="438" spans="1:21" x14ac:dyDescent="0.15">
      <c r="A438" s="149"/>
      <c r="B438" s="152"/>
      <c r="C438" s="154"/>
      <c r="D438" s="152"/>
      <c r="E438" s="152"/>
      <c r="F438" s="152"/>
      <c r="G438" s="152"/>
      <c r="H438" s="154"/>
      <c r="I438" s="154"/>
      <c r="J438" s="152"/>
      <c r="K438" s="154"/>
      <c r="L438" s="152"/>
      <c r="M438" s="152"/>
      <c r="N438" s="152"/>
      <c r="O438" s="161"/>
      <c r="R438" s="163"/>
      <c r="S438" s="154"/>
      <c r="T438" s="154"/>
      <c r="U438" s="247"/>
    </row>
    <row r="439" spans="1:21" x14ac:dyDescent="0.15">
      <c r="A439" s="149"/>
      <c r="B439" s="152"/>
      <c r="C439" s="154"/>
      <c r="D439" s="152"/>
      <c r="E439" s="152"/>
      <c r="F439" s="152"/>
      <c r="G439" s="152"/>
      <c r="H439" s="154"/>
      <c r="I439" s="154"/>
      <c r="J439" s="152"/>
      <c r="K439" s="154"/>
      <c r="L439" s="152"/>
      <c r="M439" s="152"/>
      <c r="N439" s="152"/>
      <c r="O439" s="161"/>
      <c r="R439" s="163"/>
      <c r="S439" s="154"/>
      <c r="T439" s="154"/>
      <c r="U439" s="247"/>
    </row>
    <row r="440" spans="1:21" x14ac:dyDescent="0.15">
      <c r="A440" s="149"/>
      <c r="B440" s="152"/>
      <c r="C440" s="154"/>
      <c r="D440" s="152"/>
      <c r="E440" s="152"/>
      <c r="F440" s="152"/>
      <c r="G440" s="152"/>
      <c r="H440" s="154"/>
      <c r="I440" s="154"/>
      <c r="J440" s="152"/>
      <c r="K440" s="154"/>
      <c r="L440" s="152"/>
      <c r="M440" s="152"/>
      <c r="N440" s="152"/>
      <c r="O440" s="161"/>
      <c r="R440" s="163"/>
      <c r="S440" s="154"/>
      <c r="T440" s="154"/>
      <c r="U440" s="247"/>
    </row>
    <row r="441" spans="1:21" x14ac:dyDescent="0.15">
      <c r="A441" s="149"/>
      <c r="B441" s="152"/>
      <c r="C441" s="154"/>
      <c r="D441" s="152"/>
      <c r="E441" s="152"/>
      <c r="F441" s="152"/>
      <c r="G441" s="152"/>
      <c r="H441" s="154"/>
      <c r="I441" s="154"/>
      <c r="J441" s="152"/>
      <c r="K441" s="154"/>
      <c r="L441" s="152"/>
      <c r="M441" s="152"/>
      <c r="N441" s="152"/>
      <c r="O441" s="161"/>
      <c r="R441" s="163"/>
      <c r="S441" s="154"/>
      <c r="T441" s="154"/>
      <c r="U441" s="247"/>
    </row>
    <row r="442" spans="1:21" x14ac:dyDescent="0.15">
      <c r="A442" s="149"/>
      <c r="B442" s="152"/>
      <c r="C442" s="154"/>
      <c r="D442" s="152"/>
      <c r="E442" s="152"/>
      <c r="F442" s="152"/>
      <c r="G442" s="152"/>
      <c r="H442" s="154"/>
      <c r="I442" s="154"/>
      <c r="J442" s="152"/>
      <c r="K442" s="154"/>
      <c r="L442" s="152"/>
      <c r="M442" s="152"/>
      <c r="N442" s="152"/>
      <c r="O442" s="161"/>
      <c r="R442" s="163"/>
      <c r="S442" s="154"/>
      <c r="T442" s="154"/>
      <c r="U442" s="247"/>
    </row>
    <row r="443" spans="1:21" x14ac:dyDescent="0.15">
      <c r="A443" s="149"/>
      <c r="B443" s="152"/>
      <c r="C443" s="154"/>
      <c r="D443" s="152"/>
      <c r="E443" s="152"/>
      <c r="F443" s="152"/>
      <c r="G443" s="152"/>
      <c r="H443" s="154"/>
      <c r="I443" s="154"/>
      <c r="J443" s="152"/>
      <c r="K443" s="154"/>
      <c r="L443" s="152"/>
      <c r="M443" s="152"/>
      <c r="N443" s="152"/>
      <c r="O443" s="161"/>
      <c r="R443" s="163"/>
      <c r="S443" s="154"/>
      <c r="T443" s="154"/>
      <c r="U443" s="247"/>
    </row>
    <row r="444" spans="1:21" x14ac:dyDescent="0.15">
      <c r="A444" s="149"/>
      <c r="B444" s="152"/>
      <c r="C444" s="154"/>
      <c r="D444" s="152"/>
      <c r="E444" s="152"/>
      <c r="F444" s="152"/>
      <c r="G444" s="152"/>
      <c r="H444" s="154"/>
      <c r="I444" s="154"/>
      <c r="J444" s="152"/>
      <c r="K444" s="154"/>
      <c r="L444" s="152"/>
      <c r="M444" s="152"/>
      <c r="N444" s="152"/>
      <c r="O444" s="161"/>
      <c r="R444" s="163"/>
      <c r="S444" s="154"/>
      <c r="T444" s="154"/>
      <c r="U444" s="247"/>
    </row>
    <row r="445" spans="1:21" x14ac:dyDescent="0.15">
      <c r="A445" s="149"/>
      <c r="B445" s="152"/>
      <c r="C445" s="154"/>
      <c r="D445" s="152"/>
      <c r="E445" s="152"/>
      <c r="F445" s="152"/>
      <c r="G445" s="152"/>
      <c r="H445" s="154"/>
      <c r="I445" s="154"/>
      <c r="J445" s="152"/>
      <c r="K445" s="154"/>
      <c r="L445" s="152"/>
      <c r="M445" s="152"/>
      <c r="N445" s="152"/>
      <c r="O445" s="161"/>
      <c r="R445" s="163"/>
      <c r="S445" s="154"/>
      <c r="T445" s="154"/>
      <c r="U445" s="247"/>
    </row>
    <row r="446" spans="1:21" x14ac:dyDescent="0.15">
      <c r="A446" s="149"/>
      <c r="B446" s="152"/>
      <c r="C446" s="154"/>
      <c r="D446" s="152"/>
      <c r="E446" s="152"/>
      <c r="F446" s="152"/>
      <c r="G446" s="152"/>
      <c r="H446" s="154"/>
      <c r="I446" s="154"/>
      <c r="J446" s="152"/>
      <c r="K446" s="154"/>
      <c r="L446" s="152"/>
      <c r="M446" s="152"/>
      <c r="N446" s="152"/>
      <c r="O446" s="161"/>
      <c r="R446" s="163"/>
      <c r="S446" s="154"/>
      <c r="T446" s="154"/>
      <c r="U446" s="247"/>
    </row>
    <row r="447" spans="1:21" x14ac:dyDescent="0.15">
      <c r="A447" s="149"/>
      <c r="B447" s="152"/>
      <c r="C447" s="154"/>
      <c r="D447" s="152"/>
      <c r="E447" s="152"/>
      <c r="F447" s="152"/>
      <c r="G447" s="152"/>
      <c r="H447" s="154"/>
      <c r="I447" s="154"/>
      <c r="J447" s="152"/>
      <c r="K447" s="154"/>
      <c r="L447" s="152"/>
      <c r="M447" s="152"/>
      <c r="N447" s="152"/>
      <c r="O447" s="161"/>
      <c r="R447" s="163"/>
      <c r="S447" s="154"/>
      <c r="T447" s="154"/>
      <c r="U447" s="247"/>
    </row>
    <row r="448" spans="1:21" x14ac:dyDescent="0.15">
      <c r="A448" s="149"/>
      <c r="B448" s="152"/>
      <c r="C448" s="154"/>
      <c r="D448" s="152"/>
      <c r="E448" s="152"/>
      <c r="F448" s="152"/>
      <c r="G448" s="152"/>
      <c r="H448" s="154"/>
      <c r="I448" s="154"/>
      <c r="J448" s="152"/>
      <c r="K448" s="154"/>
      <c r="L448" s="152"/>
      <c r="M448" s="152"/>
      <c r="N448" s="152"/>
      <c r="O448" s="161"/>
      <c r="R448" s="163"/>
      <c r="S448" s="154"/>
      <c r="T448" s="154"/>
      <c r="U448" s="247"/>
    </row>
    <row r="449" spans="1:21" x14ac:dyDescent="0.15">
      <c r="A449" s="149"/>
      <c r="B449" s="152"/>
      <c r="C449" s="154"/>
      <c r="D449" s="152"/>
      <c r="E449" s="152"/>
      <c r="F449" s="152"/>
      <c r="G449" s="152"/>
      <c r="H449" s="154"/>
      <c r="I449" s="154"/>
      <c r="J449" s="152"/>
      <c r="K449" s="154"/>
      <c r="L449" s="152"/>
      <c r="M449" s="152"/>
      <c r="N449" s="152"/>
      <c r="O449" s="161"/>
      <c r="R449" s="163"/>
      <c r="S449" s="154"/>
      <c r="T449" s="154"/>
      <c r="U449" s="247"/>
    </row>
    <row r="450" spans="1:21" x14ac:dyDescent="0.15">
      <c r="A450" s="149"/>
      <c r="B450" s="152"/>
      <c r="C450" s="154"/>
      <c r="D450" s="152"/>
      <c r="E450" s="152"/>
      <c r="F450" s="152"/>
      <c r="G450" s="152"/>
      <c r="H450" s="154"/>
      <c r="I450" s="154"/>
      <c r="J450" s="152"/>
      <c r="K450" s="154"/>
      <c r="L450" s="152"/>
      <c r="M450" s="152"/>
      <c r="N450" s="152"/>
      <c r="O450" s="161"/>
      <c r="R450" s="163"/>
      <c r="S450" s="154"/>
      <c r="T450" s="154"/>
      <c r="U450" s="247"/>
    </row>
    <row r="451" spans="1:21" x14ac:dyDescent="0.15">
      <c r="A451" s="149"/>
      <c r="B451" s="152"/>
      <c r="C451" s="154"/>
      <c r="D451" s="152"/>
      <c r="E451" s="152"/>
      <c r="F451" s="152"/>
      <c r="G451" s="152"/>
      <c r="H451" s="154"/>
      <c r="I451" s="154"/>
      <c r="J451" s="152"/>
      <c r="K451" s="154"/>
      <c r="L451" s="152"/>
      <c r="M451" s="152"/>
      <c r="N451" s="152"/>
      <c r="O451" s="161"/>
      <c r="R451" s="163"/>
      <c r="S451" s="154"/>
      <c r="T451" s="154"/>
      <c r="U451" s="247"/>
    </row>
    <row r="452" spans="1:21" x14ac:dyDescent="0.15">
      <c r="A452" s="149"/>
      <c r="B452" s="152"/>
      <c r="C452" s="154"/>
      <c r="D452" s="152"/>
      <c r="E452" s="152"/>
      <c r="F452" s="152"/>
      <c r="G452" s="152"/>
      <c r="H452" s="154"/>
      <c r="I452" s="154"/>
      <c r="J452" s="152"/>
      <c r="K452" s="154"/>
      <c r="L452" s="152"/>
      <c r="M452" s="152"/>
      <c r="N452" s="152"/>
      <c r="O452" s="161"/>
      <c r="R452" s="163"/>
      <c r="S452" s="154"/>
      <c r="T452" s="154"/>
      <c r="U452" s="247"/>
    </row>
    <row r="453" spans="1:21" x14ac:dyDescent="0.15">
      <c r="A453" s="149"/>
      <c r="B453" s="152"/>
      <c r="C453" s="154"/>
      <c r="D453" s="152"/>
      <c r="E453" s="152"/>
      <c r="F453" s="152"/>
      <c r="G453" s="152"/>
      <c r="H453" s="154"/>
      <c r="I453" s="154"/>
      <c r="J453" s="152"/>
      <c r="K453" s="154"/>
      <c r="L453" s="152"/>
      <c r="M453" s="152"/>
      <c r="N453" s="152"/>
      <c r="O453" s="161"/>
      <c r="R453" s="163"/>
      <c r="S453" s="154"/>
      <c r="T453" s="154"/>
      <c r="U453" s="247"/>
    </row>
    <row r="454" spans="1:21" x14ac:dyDescent="0.15">
      <c r="A454" s="149"/>
      <c r="B454" s="152"/>
      <c r="C454" s="154"/>
      <c r="D454" s="152"/>
      <c r="E454" s="152"/>
      <c r="F454" s="152"/>
      <c r="G454" s="152"/>
      <c r="H454" s="154"/>
      <c r="I454" s="154"/>
      <c r="J454" s="152"/>
      <c r="K454" s="154"/>
      <c r="L454" s="152"/>
      <c r="M454" s="152"/>
      <c r="N454" s="152"/>
      <c r="O454" s="161"/>
      <c r="R454" s="163"/>
      <c r="S454" s="154"/>
      <c r="T454" s="154"/>
      <c r="U454" s="247"/>
    </row>
    <row r="455" spans="1:21" x14ac:dyDescent="0.15">
      <c r="A455" s="149"/>
      <c r="B455" s="152"/>
      <c r="C455" s="154"/>
      <c r="D455" s="152"/>
      <c r="E455" s="152"/>
      <c r="F455" s="152"/>
      <c r="G455" s="152"/>
      <c r="H455" s="154"/>
      <c r="I455" s="154"/>
      <c r="J455" s="152"/>
      <c r="K455" s="154"/>
      <c r="L455" s="152"/>
      <c r="M455" s="152"/>
      <c r="N455" s="152"/>
      <c r="O455" s="161"/>
      <c r="R455" s="163"/>
      <c r="S455" s="154"/>
      <c r="T455" s="154"/>
      <c r="U455" s="247"/>
    </row>
    <row r="456" spans="1:21" x14ac:dyDescent="0.15">
      <c r="A456" s="149"/>
      <c r="B456" s="152"/>
      <c r="C456" s="154"/>
      <c r="D456" s="152"/>
      <c r="E456" s="152"/>
      <c r="F456" s="152"/>
      <c r="G456" s="152"/>
      <c r="H456" s="154"/>
      <c r="I456" s="154"/>
      <c r="J456" s="152"/>
      <c r="K456" s="154"/>
      <c r="L456" s="152"/>
      <c r="M456" s="152"/>
      <c r="N456" s="152"/>
      <c r="O456" s="161"/>
      <c r="R456" s="163"/>
      <c r="S456" s="154"/>
      <c r="T456" s="154"/>
      <c r="U456" s="247"/>
    </row>
    <row r="457" spans="1:21" x14ac:dyDescent="0.15">
      <c r="A457" s="149"/>
      <c r="B457" s="152"/>
      <c r="C457" s="154"/>
      <c r="D457" s="152"/>
      <c r="E457" s="152"/>
      <c r="F457" s="152"/>
      <c r="G457" s="152"/>
      <c r="H457" s="154"/>
      <c r="I457" s="154"/>
      <c r="J457" s="152"/>
      <c r="K457" s="154"/>
      <c r="L457" s="152"/>
      <c r="M457" s="152"/>
      <c r="N457" s="152"/>
      <c r="O457" s="161"/>
      <c r="R457" s="163"/>
      <c r="S457" s="154"/>
      <c r="T457" s="154"/>
      <c r="U457" s="247"/>
    </row>
    <row r="458" spans="1:21" x14ac:dyDescent="0.15">
      <c r="A458" s="149"/>
      <c r="B458" s="152"/>
      <c r="C458" s="154"/>
      <c r="D458" s="152"/>
      <c r="E458" s="152"/>
      <c r="F458" s="152"/>
      <c r="G458" s="152"/>
      <c r="H458" s="154"/>
      <c r="I458" s="154"/>
      <c r="J458" s="152"/>
      <c r="K458" s="154"/>
      <c r="L458" s="152"/>
      <c r="M458" s="152"/>
      <c r="N458" s="152"/>
      <c r="O458" s="161"/>
      <c r="R458" s="163"/>
      <c r="S458" s="154"/>
      <c r="T458" s="154"/>
      <c r="U458" s="247"/>
    </row>
    <row r="459" spans="1:21" x14ac:dyDescent="0.15">
      <c r="A459" s="149"/>
      <c r="B459" s="152"/>
      <c r="C459" s="154"/>
      <c r="D459" s="152"/>
      <c r="E459" s="152"/>
      <c r="F459" s="152"/>
      <c r="G459" s="152"/>
      <c r="H459" s="154"/>
      <c r="I459" s="154"/>
      <c r="J459" s="152"/>
      <c r="K459" s="154"/>
      <c r="L459" s="152"/>
      <c r="M459" s="152"/>
      <c r="N459" s="152"/>
      <c r="O459" s="161"/>
      <c r="R459" s="163"/>
      <c r="S459" s="154"/>
      <c r="T459" s="154"/>
      <c r="U459" s="247"/>
    </row>
    <row r="460" spans="1:21" x14ac:dyDescent="0.15">
      <c r="A460" s="149"/>
      <c r="B460" s="152"/>
      <c r="C460" s="154"/>
      <c r="D460" s="152"/>
      <c r="E460" s="152"/>
      <c r="F460" s="152"/>
      <c r="G460" s="152"/>
      <c r="H460" s="154"/>
      <c r="I460" s="154"/>
      <c r="J460" s="152"/>
      <c r="K460" s="154"/>
      <c r="L460" s="152"/>
      <c r="M460" s="152"/>
      <c r="N460" s="152"/>
      <c r="O460" s="161"/>
      <c r="R460" s="163"/>
      <c r="S460" s="154"/>
      <c r="T460" s="154"/>
      <c r="U460" s="247"/>
    </row>
    <row r="461" spans="1:21" x14ac:dyDescent="0.15">
      <c r="A461" s="149"/>
      <c r="B461" s="152"/>
      <c r="C461" s="154"/>
      <c r="D461" s="152"/>
      <c r="E461" s="152"/>
      <c r="F461" s="152"/>
      <c r="G461" s="152"/>
      <c r="H461" s="154"/>
      <c r="I461" s="154"/>
      <c r="J461" s="152"/>
      <c r="K461" s="154"/>
      <c r="L461" s="152"/>
      <c r="M461" s="152"/>
      <c r="N461" s="152"/>
      <c r="O461" s="161"/>
      <c r="R461" s="163"/>
      <c r="S461" s="154"/>
      <c r="T461" s="154"/>
      <c r="U461" s="247"/>
    </row>
    <row r="462" spans="1:21" x14ac:dyDescent="0.15">
      <c r="A462" s="149"/>
      <c r="B462" s="152"/>
      <c r="C462" s="154"/>
      <c r="D462" s="152"/>
      <c r="E462" s="152"/>
      <c r="F462" s="152"/>
      <c r="G462" s="152"/>
      <c r="H462" s="154"/>
      <c r="I462" s="154"/>
      <c r="J462" s="152"/>
      <c r="K462" s="154"/>
      <c r="L462" s="152"/>
      <c r="M462" s="152"/>
      <c r="N462" s="152"/>
      <c r="O462" s="161"/>
      <c r="R462" s="163"/>
      <c r="S462" s="154"/>
      <c r="T462" s="154"/>
      <c r="U462" s="247"/>
    </row>
    <row r="463" spans="1:21" x14ac:dyDescent="0.15">
      <c r="A463" s="149"/>
      <c r="B463" s="152"/>
      <c r="C463" s="154"/>
      <c r="D463" s="152"/>
      <c r="E463" s="152"/>
      <c r="F463" s="152"/>
      <c r="G463" s="152"/>
      <c r="H463" s="154"/>
      <c r="I463" s="154"/>
      <c r="J463" s="152"/>
      <c r="K463" s="154"/>
      <c r="L463" s="152"/>
      <c r="M463" s="152"/>
      <c r="N463" s="152"/>
      <c r="O463" s="161"/>
      <c r="R463" s="163"/>
      <c r="S463" s="154"/>
      <c r="T463" s="154"/>
      <c r="U463" s="247"/>
    </row>
    <row r="464" spans="1:21" x14ac:dyDescent="0.15">
      <c r="A464" s="149"/>
      <c r="B464" s="152"/>
      <c r="C464" s="154"/>
      <c r="D464" s="152"/>
      <c r="E464" s="152"/>
      <c r="F464" s="152"/>
      <c r="G464" s="152"/>
      <c r="H464" s="154"/>
      <c r="I464" s="154"/>
      <c r="J464" s="152"/>
      <c r="K464" s="154"/>
      <c r="L464" s="152"/>
      <c r="M464" s="152"/>
      <c r="N464" s="152"/>
      <c r="O464" s="161"/>
      <c r="R464" s="163"/>
      <c r="S464" s="154"/>
      <c r="T464" s="154"/>
      <c r="U464" s="247"/>
    </row>
    <row r="465" spans="1:21" x14ac:dyDescent="0.15">
      <c r="A465" s="149"/>
      <c r="B465" s="152"/>
      <c r="C465" s="154"/>
      <c r="D465" s="152"/>
      <c r="E465" s="152"/>
      <c r="F465" s="152"/>
      <c r="G465" s="152"/>
      <c r="H465" s="154"/>
      <c r="I465" s="154"/>
      <c r="J465" s="152"/>
      <c r="K465" s="154"/>
      <c r="L465" s="152"/>
      <c r="M465" s="152"/>
      <c r="N465" s="152"/>
      <c r="O465" s="161"/>
      <c r="R465" s="163"/>
      <c r="S465" s="154"/>
      <c r="T465" s="154"/>
      <c r="U465" s="247"/>
    </row>
    <row r="466" spans="1:21" x14ac:dyDescent="0.15">
      <c r="A466" s="149"/>
      <c r="B466" s="152"/>
      <c r="C466" s="154"/>
      <c r="D466" s="152"/>
      <c r="E466" s="152"/>
      <c r="F466" s="152"/>
      <c r="G466" s="152"/>
      <c r="H466" s="154"/>
      <c r="I466" s="154"/>
      <c r="J466" s="152"/>
      <c r="K466" s="154"/>
      <c r="L466" s="152"/>
      <c r="M466" s="152"/>
      <c r="N466" s="152"/>
      <c r="O466" s="161"/>
      <c r="R466" s="163"/>
      <c r="S466" s="154"/>
      <c r="T466" s="154"/>
      <c r="U466" s="247"/>
    </row>
    <row r="467" spans="1:21" x14ac:dyDescent="0.15">
      <c r="A467" s="149"/>
      <c r="B467" s="152"/>
      <c r="C467" s="154"/>
      <c r="D467" s="152"/>
      <c r="E467" s="152"/>
      <c r="F467" s="152"/>
      <c r="G467" s="152"/>
      <c r="H467" s="154"/>
      <c r="I467" s="154"/>
      <c r="J467" s="152"/>
      <c r="K467" s="154"/>
      <c r="L467" s="152"/>
      <c r="M467" s="152"/>
      <c r="N467" s="152"/>
      <c r="O467" s="161"/>
      <c r="R467" s="163"/>
      <c r="S467" s="154"/>
      <c r="T467" s="154"/>
      <c r="U467" s="247"/>
    </row>
    <row r="468" spans="1:21" x14ac:dyDescent="0.15">
      <c r="A468" s="149"/>
      <c r="B468" s="152"/>
      <c r="C468" s="154"/>
      <c r="D468" s="152"/>
      <c r="E468" s="152"/>
      <c r="F468" s="152"/>
      <c r="G468" s="152"/>
      <c r="H468" s="154"/>
      <c r="I468" s="154"/>
      <c r="J468" s="152"/>
      <c r="K468" s="154"/>
      <c r="L468" s="152"/>
      <c r="M468" s="152"/>
      <c r="N468" s="152"/>
      <c r="O468" s="161"/>
      <c r="R468" s="163"/>
      <c r="S468" s="154"/>
      <c r="T468" s="154"/>
      <c r="U468" s="247"/>
    </row>
    <row r="469" spans="1:21" x14ac:dyDescent="0.15">
      <c r="A469" s="149"/>
      <c r="B469" s="152"/>
      <c r="C469" s="154"/>
      <c r="D469" s="152"/>
      <c r="E469" s="152"/>
      <c r="F469" s="152"/>
      <c r="G469" s="152"/>
      <c r="H469" s="154"/>
      <c r="I469" s="154"/>
      <c r="J469" s="152"/>
      <c r="K469" s="154"/>
      <c r="L469" s="152"/>
      <c r="M469" s="152"/>
      <c r="N469" s="152"/>
      <c r="O469" s="161"/>
      <c r="R469" s="163"/>
      <c r="S469" s="154"/>
      <c r="T469" s="154"/>
      <c r="U469" s="247"/>
    </row>
    <row r="470" spans="1:21" x14ac:dyDescent="0.15">
      <c r="A470" s="149"/>
      <c r="B470" s="152"/>
      <c r="C470" s="154"/>
      <c r="D470" s="152"/>
      <c r="E470" s="152"/>
      <c r="F470" s="152"/>
      <c r="G470" s="152"/>
      <c r="H470" s="154"/>
      <c r="I470" s="154"/>
      <c r="J470" s="152"/>
      <c r="K470" s="154"/>
      <c r="L470" s="152"/>
      <c r="M470" s="152"/>
      <c r="N470" s="152"/>
      <c r="O470" s="161"/>
      <c r="R470" s="163"/>
      <c r="S470" s="154"/>
      <c r="T470" s="154"/>
      <c r="U470" s="247"/>
    </row>
    <row r="471" spans="1:21" x14ac:dyDescent="0.15">
      <c r="A471" s="149"/>
      <c r="B471" s="152"/>
      <c r="C471" s="154"/>
      <c r="D471" s="152"/>
      <c r="E471" s="152"/>
      <c r="F471" s="152"/>
      <c r="G471" s="152"/>
      <c r="H471" s="154"/>
      <c r="I471" s="154"/>
      <c r="J471" s="152"/>
      <c r="K471" s="154"/>
      <c r="L471" s="152"/>
      <c r="M471" s="152"/>
      <c r="N471" s="152"/>
      <c r="O471" s="161"/>
      <c r="R471" s="163"/>
      <c r="S471" s="154"/>
      <c r="T471" s="154"/>
      <c r="U471" s="247"/>
    </row>
    <row r="472" spans="1:21" x14ac:dyDescent="0.15">
      <c r="A472" s="149"/>
      <c r="B472" s="152"/>
      <c r="C472" s="154"/>
      <c r="D472" s="152"/>
      <c r="E472" s="152"/>
      <c r="F472" s="152"/>
      <c r="G472" s="152"/>
      <c r="H472" s="154"/>
      <c r="I472" s="154"/>
      <c r="J472" s="152"/>
      <c r="K472" s="154"/>
      <c r="L472" s="152"/>
      <c r="M472" s="152"/>
      <c r="N472" s="152"/>
      <c r="O472" s="161"/>
      <c r="R472" s="163"/>
      <c r="S472" s="154"/>
      <c r="T472" s="154"/>
      <c r="U472" s="247"/>
    </row>
    <row r="473" spans="1:21" x14ac:dyDescent="0.15">
      <c r="A473" s="149"/>
      <c r="B473" s="152"/>
      <c r="C473" s="154"/>
      <c r="D473" s="152"/>
      <c r="E473" s="152"/>
      <c r="F473" s="152"/>
      <c r="G473" s="152"/>
      <c r="H473" s="154"/>
      <c r="I473" s="154"/>
      <c r="J473" s="152"/>
      <c r="K473" s="154"/>
      <c r="L473" s="152"/>
      <c r="M473" s="152"/>
      <c r="N473" s="152"/>
      <c r="O473" s="161"/>
      <c r="R473" s="163"/>
      <c r="S473" s="154"/>
      <c r="T473" s="154"/>
      <c r="U473" s="247"/>
    </row>
    <row r="474" spans="1:21" x14ac:dyDescent="0.15">
      <c r="A474" s="149"/>
      <c r="B474" s="152"/>
      <c r="C474" s="154"/>
      <c r="D474" s="152"/>
      <c r="E474" s="152"/>
      <c r="F474" s="152"/>
      <c r="G474" s="152"/>
      <c r="H474" s="154"/>
      <c r="I474" s="154"/>
      <c r="J474" s="152"/>
      <c r="K474" s="154"/>
      <c r="L474" s="152"/>
      <c r="M474" s="152"/>
      <c r="N474" s="152"/>
      <c r="O474" s="161"/>
      <c r="R474" s="163"/>
      <c r="S474" s="154"/>
      <c r="T474" s="154"/>
      <c r="U474" s="247"/>
    </row>
    <row r="475" spans="1:21" x14ac:dyDescent="0.15">
      <c r="A475" s="149"/>
      <c r="B475" s="152"/>
      <c r="C475" s="154"/>
      <c r="D475" s="152"/>
      <c r="E475" s="152"/>
      <c r="F475" s="152"/>
      <c r="G475" s="152"/>
      <c r="H475" s="154"/>
      <c r="I475" s="154"/>
      <c r="J475" s="152"/>
      <c r="K475" s="154"/>
      <c r="L475" s="152"/>
      <c r="M475" s="152"/>
      <c r="N475" s="152"/>
      <c r="O475" s="161"/>
      <c r="R475" s="163"/>
      <c r="S475" s="154"/>
      <c r="T475" s="154"/>
      <c r="U475" s="247"/>
    </row>
    <row r="476" spans="1:21" x14ac:dyDescent="0.15">
      <c r="A476" s="149"/>
      <c r="B476" s="152"/>
      <c r="C476" s="154"/>
      <c r="D476" s="152"/>
      <c r="E476" s="152"/>
      <c r="F476" s="152"/>
      <c r="G476" s="152"/>
      <c r="H476" s="154"/>
      <c r="I476" s="154"/>
      <c r="J476" s="152"/>
      <c r="K476" s="154"/>
      <c r="L476" s="152"/>
      <c r="M476" s="152"/>
      <c r="N476" s="152"/>
      <c r="O476" s="161"/>
      <c r="R476" s="163"/>
      <c r="S476" s="154"/>
      <c r="T476" s="154"/>
      <c r="U476" s="247"/>
    </row>
    <row r="477" spans="1:21" x14ac:dyDescent="0.15">
      <c r="A477" s="149"/>
      <c r="B477" s="152"/>
      <c r="C477" s="154"/>
      <c r="D477" s="152"/>
      <c r="E477" s="152"/>
      <c r="F477" s="152"/>
      <c r="G477" s="152"/>
      <c r="H477" s="154"/>
      <c r="I477" s="154"/>
      <c r="J477" s="152"/>
      <c r="K477" s="154"/>
      <c r="L477" s="152"/>
      <c r="M477" s="152"/>
      <c r="N477" s="152"/>
      <c r="O477" s="161"/>
      <c r="R477" s="163"/>
      <c r="S477" s="154"/>
      <c r="T477" s="154"/>
      <c r="U477" s="247"/>
    </row>
    <row r="478" spans="1:21" x14ac:dyDescent="0.15">
      <c r="A478" s="149"/>
      <c r="B478" s="152"/>
      <c r="C478" s="154"/>
      <c r="D478" s="152"/>
      <c r="E478" s="152"/>
      <c r="F478" s="152"/>
      <c r="G478" s="152"/>
      <c r="H478" s="154"/>
      <c r="I478" s="154"/>
      <c r="J478" s="152"/>
      <c r="K478" s="154"/>
      <c r="L478" s="152"/>
      <c r="M478" s="152"/>
      <c r="N478" s="152"/>
      <c r="O478" s="161"/>
      <c r="R478" s="163"/>
      <c r="S478" s="154"/>
      <c r="T478" s="154"/>
      <c r="U478" s="247"/>
    </row>
    <row r="479" spans="1:21" x14ac:dyDescent="0.15">
      <c r="A479" s="149"/>
      <c r="B479" s="152"/>
      <c r="C479" s="154"/>
      <c r="D479" s="152"/>
      <c r="E479" s="152"/>
      <c r="F479" s="152"/>
      <c r="G479" s="152"/>
      <c r="H479" s="154"/>
      <c r="I479" s="154"/>
      <c r="J479" s="152"/>
      <c r="K479" s="154"/>
      <c r="L479" s="152"/>
      <c r="M479" s="152"/>
      <c r="N479" s="152"/>
      <c r="O479" s="161"/>
      <c r="R479" s="163"/>
      <c r="S479" s="154"/>
      <c r="T479" s="154"/>
      <c r="U479" s="247"/>
    </row>
    <row r="480" spans="1:21" x14ac:dyDescent="0.15">
      <c r="A480" s="149"/>
      <c r="B480" s="152"/>
      <c r="C480" s="154"/>
      <c r="D480" s="152"/>
      <c r="E480" s="152"/>
      <c r="F480" s="152"/>
      <c r="G480" s="152"/>
      <c r="H480" s="154"/>
      <c r="I480" s="154"/>
      <c r="J480" s="152"/>
      <c r="K480" s="154"/>
      <c r="L480" s="152"/>
      <c r="M480" s="152"/>
      <c r="N480" s="152"/>
      <c r="O480" s="161"/>
      <c r="R480" s="163"/>
      <c r="S480" s="154"/>
      <c r="T480" s="154"/>
      <c r="U480" s="247"/>
    </row>
    <row r="481" spans="1:21" x14ac:dyDescent="0.15">
      <c r="A481" s="149"/>
      <c r="B481" s="152"/>
      <c r="C481" s="154"/>
      <c r="D481" s="152"/>
      <c r="E481" s="152"/>
      <c r="F481" s="152"/>
      <c r="G481" s="152"/>
      <c r="H481" s="154"/>
      <c r="I481" s="154"/>
      <c r="J481" s="152"/>
      <c r="K481" s="154"/>
      <c r="L481" s="152"/>
      <c r="M481" s="152"/>
      <c r="N481" s="152"/>
      <c r="O481" s="161"/>
      <c r="R481" s="163"/>
      <c r="S481" s="154"/>
      <c r="T481" s="154"/>
      <c r="U481" s="247"/>
    </row>
    <row r="482" spans="1:21" x14ac:dyDescent="0.15">
      <c r="A482" s="149"/>
      <c r="B482" s="152"/>
      <c r="C482" s="154"/>
      <c r="D482" s="152"/>
      <c r="E482" s="152"/>
      <c r="F482" s="152"/>
      <c r="G482" s="152"/>
      <c r="H482" s="154"/>
      <c r="I482" s="154"/>
      <c r="J482" s="152"/>
      <c r="K482" s="154"/>
      <c r="L482" s="152"/>
      <c r="M482" s="152"/>
      <c r="N482" s="152"/>
      <c r="O482" s="161"/>
      <c r="R482" s="163"/>
      <c r="S482" s="154"/>
      <c r="T482" s="154"/>
      <c r="U482" s="247"/>
    </row>
    <row r="483" spans="1:21" x14ac:dyDescent="0.15">
      <c r="A483" s="149"/>
      <c r="B483" s="152"/>
      <c r="C483" s="154"/>
      <c r="D483" s="152"/>
      <c r="E483" s="152"/>
      <c r="F483" s="152"/>
      <c r="G483" s="152"/>
      <c r="H483" s="154"/>
      <c r="I483" s="154"/>
      <c r="J483" s="152"/>
      <c r="K483" s="154"/>
      <c r="L483" s="152"/>
      <c r="M483" s="152"/>
      <c r="N483" s="152"/>
      <c r="O483" s="161"/>
      <c r="R483" s="163"/>
      <c r="S483" s="154"/>
      <c r="T483" s="154"/>
      <c r="U483" s="247"/>
    </row>
    <row r="484" spans="1:21" x14ac:dyDescent="0.15">
      <c r="A484" s="149"/>
      <c r="B484" s="152"/>
      <c r="C484" s="154"/>
      <c r="D484" s="152"/>
      <c r="E484" s="152"/>
      <c r="F484" s="152"/>
      <c r="G484" s="152"/>
      <c r="H484" s="154"/>
      <c r="I484" s="154"/>
      <c r="J484" s="152"/>
      <c r="K484" s="154"/>
      <c r="L484" s="152"/>
      <c r="M484" s="152"/>
      <c r="N484" s="152"/>
      <c r="O484" s="161"/>
      <c r="R484" s="163"/>
      <c r="S484" s="154"/>
      <c r="T484" s="154"/>
      <c r="U484" s="247"/>
    </row>
    <row r="485" spans="1:21" x14ac:dyDescent="0.15">
      <c r="A485" s="149"/>
      <c r="B485" s="152"/>
      <c r="C485" s="154"/>
      <c r="D485" s="152"/>
      <c r="E485" s="152"/>
      <c r="F485" s="152"/>
      <c r="G485" s="152"/>
      <c r="H485" s="154"/>
      <c r="I485" s="154"/>
      <c r="J485" s="152"/>
      <c r="K485" s="154"/>
      <c r="L485" s="152"/>
      <c r="M485" s="152"/>
      <c r="N485" s="152"/>
      <c r="O485" s="161"/>
      <c r="R485" s="163"/>
      <c r="S485" s="154"/>
      <c r="T485" s="154"/>
      <c r="U485" s="247"/>
    </row>
    <row r="486" spans="1:21" x14ac:dyDescent="0.15">
      <c r="A486" s="149"/>
      <c r="B486" s="152"/>
      <c r="C486" s="154"/>
      <c r="D486" s="152"/>
      <c r="E486" s="152"/>
      <c r="F486" s="152"/>
      <c r="G486" s="152"/>
      <c r="H486" s="154"/>
      <c r="I486" s="154"/>
      <c r="J486" s="152"/>
      <c r="K486" s="154"/>
      <c r="L486" s="152"/>
      <c r="M486" s="152"/>
      <c r="N486" s="152"/>
      <c r="O486" s="161"/>
      <c r="R486" s="163"/>
      <c r="S486" s="154"/>
      <c r="T486" s="154"/>
      <c r="U486" s="247"/>
    </row>
    <row r="487" spans="1:21" x14ac:dyDescent="0.15">
      <c r="A487" s="149"/>
      <c r="B487" s="152"/>
      <c r="C487" s="154"/>
      <c r="D487" s="152"/>
      <c r="E487" s="152"/>
      <c r="F487" s="152"/>
      <c r="G487" s="152"/>
      <c r="H487" s="154"/>
      <c r="I487" s="154"/>
      <c r="J487" s="152"/>
      <c r="K487" s="154"/>
      <c r="L487" s="152"/>
      <c r="M487" s="152"/>
      <c r="N487" s="152"/>
      <c r="O487" s="161"/>
      <c r="R487" s="163"/>
      <c r="S487" s="154"/>
      <c r="T487" s="154"/>
      <c r="U487" s="247"/>
    </row>
    <row r="488" spans="1:21" x14ac:dyDescent="0.15">
      <c r="A488" s="149"/>
      <c r="B488" s="152"/>
      <c r="C488" s="154"/>
      <c r="D488" s="152"/>
      <c r="E488" s="152"/>
      <c r="F488" s="152"/>
      <c r="G488" s="152"/>
      <c r="H488" s="154"/>
      <c r="I488" s="154"/>
      <c r="J488" s="152"/>
      <c r="K488" s="154"/>
      <c r="L488" s="152"/>
      <c r="M488" s="152"/>
      <c r="N488" s="152"/>
      <c r="O488" s="161"/>
      <c r="R488" s="163"/>
      <c r="S488" s="154"/>
      <c r="T488" s="154"/>
      <c r="U488" s="247"/>
    </row>
    <row r="489" spans="1:21" x14ac:dyDescent="0.15">
      <c r="A489" s="149"/>
      <c r="B489" s="152"/>
      <c r="C489" s="154"/>
      <c r="D489" s="152"/>
      <c r="E489" s="152"/>
      <c r="F489" s="152"/>
      <c r="G489" s="152"/>
      <c r="H489" s="154"/>
      <c r="I489" s="154"/>
      <c r="J489" s="152"/>
      <c r="K489" s="154"/>
      <c r="L489" s="152"/>
      <c r="M489" s="152"/>
      <c r="N489" s="152"/>
      <c r="O489" s="161"/>
      <c r="R489" s="163"/>
      <c r="S489" s="154"/>
      <c r="T489" s="154"/>
      <c r="U489" s="247"/>
    </row>
    <row r="490" spans="1:21" x14ac:dyDescent="0.15">
      <c r="A490" s="149"/>
      <c r="B490" s="152"/>
      <c r="C490" s="154"/>
      <c r="D490" s="152"/>
      <c r="E490" s="152"/>
      <c r="F490" s="152"/>
      <c r="G490" s="152"/>
      <c r="H490" s="154"/>
      <c r="I490" s="154"/>
      <c r="J490" s="152"/>
      <c r="K490" s="154"/>
      <c r="L490" s="152"/>
      <c r="M490" s="152"/>
      <c r="N490" s="152"/>
      <c r="O490" s="161"/>
      <c r="R490" s="163"/>
      <c r="S490" s="154"/>
      <c r="T490" s="154"/>
      <c r="U490" s="247"/>
    </row>
    <row r="491" spans="1:21" x14ac:dyDescent="0.15">
      <c r="A491" s="149"/>
      <c r="B491" s="152"/>
      <c r="C491" s="154"/>
      <c r="D491" s="152"/>
      <c r="E491" s="152"/>
      <c r="F491" s="152"/>
      <c r="G491" s="152"/>
      <c r="H491" s="154"/>
      <c r="I491" s="154"/>
      <c r="J491" s="152"/>
      <c r="K491" s="154"/>
      <c r="L491" s="152"/>
      <c r="M491" s="152"/>
      <c r="N491" s="152"/>
      <c r="O491" s="161"/>
      <c r="R491" s="163"/>
      <c r="S491" s="154"/>
      <c r="T491" s="154"/>
      <c r="U491" s="247"/>
    </row>
    <row r="492" spans="1:21" x14ac:dyDescent="0.15">
      <c r="A492" s="149"/>
      <c r="B492" s="152"/>
      <c r="C492" s="154"/>
      <c r="D492" s="152"/>
      <c r="E492" s="152"/>
      <c r="F492" s="152"/>
      <c r="G492" s="152"/>
      <c r="H492" s="154"/>
      <c r="I492" s="154"/>
      <c r="J492" s="152"/>
      <c r="K492" s="154"/>
      <c r="L492" s="152"/>
      <c r="M492" s="152"/>
      <c r="N492" s="152"/>
      <c r="O492" s="161"/>
      <c r="R492" s="163"/>
      <c r="S492" s="154"/>
      <c r="T492" s="154"/>
      <c r="U492" s="247"/>
    </row>
    <row r="493" spans="1:21" x14ac:dyDescent="0.15">
      <c r="A493" s="149"/>
      <c r="B493" s="152"/>
      <c r="C493" s="154"/>
      <c r="D493" s="152"/>
      <c r="E493" s="152"/>
      <c r="F493" s="152"/>
      <c r="G493" s="152"/>
      <c r="H493" s="154"/>
      <c r="I493" s="154"/>
      <c r="J493" s="152"/>
      <c r="K493" s="154"/>
      <c r="L493" s="152"/>
      <c r="M493" s="152"/>
      <c r="N493" s="152"/>
      <c r="O493" s="161"/>
      <c r="R493" s="163"/>
      <c r="S493" s="154"/>
      <c r="T493" s="154"/>
      <c r="U493" s="247"/>
    </row>
    <row r="494" spans="1:21" x14ac:dyDescent="0.15">
      <c r="A494" s="149"/>
      <c r="B494" s="152"/>
      <c r="C494" s="154"/>
      <c r="D494" s="152"/>
      <c r="E494" s="152"/>
      <c r="F494" s="152"/>
      <c r="G494" s="152"/>
      <c r="H494" s="154"/>
      <c r="I494" s="154"/>
      <c r="J494" s="152"/>
      <c r="K494" s="154"/>
      <c r="L494" s="152"/>
      <c r="M494" s="152"/>
      <c r="N494" s="152"/>
      <c r="O494" s="161"/>
      <c r="R494" s="163"/>
      <c r="S494" s="154"/>
      <c r="T494" s="154"/>
      <c r="U494" s="247"/>
    </row>
    <row r="495" spans="1:21" x14ac:dyDescent="0.15">
      <c r="A495" s="149"/>
      <c r="B495" s="152"/>
      <c r="C495" s="154"/>
      <c r="D495" s="152"/>
      <c r="E495" s="152"/>
      <c r="F495" s="152"/>
      <c r="G495" s="152"/>
      <c r="H495" s="154"/>
      <c r="I495" s="154"/>
      <c r="J495" s="152"/>
      <c r="K495" s="154"/>
      <c r="L495" s="152"/>
      <c r="M495" s="152"/>
      <c r="N495" s="152"/>
      <c r="O495" s="161"/>
      <c r="R495" s="163"/>
      <c r="S495" s="154"/>
      <c r="T495" s="154"/>
      <c r="U495" s="247"/>
    </row>
    <row r="496" spans="1:21" x14ac:dyDescent="0.15">
      <c r="A496" s="149"/>
      <c r="B496" s="152"/>
      <c r="C496" s="154"/>
      <c r="D496" s="152"/>
      <c r="E496" s="152"/>
      <c r="F496" s="152"/>
      <c r="G496" s="152"/>
      <c r="H496" s="154"/>
      <c r="I496" s="154"/>
      <c r="J496" s="152"/>
      <c r="K496" s="154"/>
      <c r="L496" s="152"/>
      <c r="M496" s="152"/>
      <c r="N496" s="152"/>
      <c r="O496" s="161"/>
      <c r="R496" s="163"/>
      <c r="S496" s="154"/>
      <c r="T496" s="154"/>
      <c r="U496" s="247"/>
    </row>
    <row r="497" spans="1:21" x14ac:dyDescent="0.15">
      <c r="A497" s="149"/>
      <c r="B497" s="152"/>
      <c r="C497" s="154"/>
      <c r="D497" s="152"/>
      <c r="E497" s="152"/>
      <c r="F497" s="152"/>
      <c r="G497" s="152"/>
      <c r="H497" s="154"/>
      <c r="I497" s="154"/>
      <c r="J497" s="152"/>
      <c r="K497" s="154"/>
      <c r="L497" s="152"/>
      <c r="M497" s="152"/>
      <c r="N497" s="152"/>
      <c r="O497" s="161"/>
      <c r="R497" s="163"/>
      <c r="S497" s="154"/>
      <c r="T497" s="154"/>
      <c r="U497" s="247"/>
    </row>
    <row r="498" spans="1:21" x14ac:dyDescent="0.15">
      <c r="A498" s="149"/>
      <c r="B498" s="152"/>
      <c r="C498" s="154"/>
      <c r="D498" s="152"/>
      <c r="E498" s="152"/>
      <c r="F498" s="152"/>
      <c r="G498" s="152"/>
      <c r="H498" s="154"/>
      <c r="I498" s="154"/>
      <c r="J498" s="152"/>
      <c r="K498" s="154"/>
      <c r="L498" s="152"/>
      <c r="M498" s="152"/>
      <c r="N498" s="152"/>
      <c r="O498" s="161"/>
      <c r="R498" s="163"/>
      <c r="S498" s="154"/>
      <c r="T498" s="154"/>
      <c r="U498" s="247"/>
    </row>
    <row r="499" spans="1:21" x14ac:dyDescent="0.15">
      <c r="A499" s="149"/>
      <c r="B499" s="152"/>
      <c r="C499" s="154"/>
      <c r="D499" s="152"/>
      <c r="E499" s="152"/>
      <c r="F499" s="152"/>
      <c r="G499" s="152"/>
      <c r="H499" s="154"/>
      <c r="I499" s="154"/>
      <c r="J499" s="152"/>
      <c r="K499" s="154"/>
      <c r="L499" s="152"/>
      <c r="M499" s="152"/>
      <c r="N499" s="152"/>
      <c r="O499" s="161"/>
      <c r="R499" s="163"/>
      <c r="S499" s="154"/>
      <c r="T499" s="154"/>
      <c r="U499" s="247"/>
    </row>
    <row r="500" spans="1:21" x14ac:dyDescent="0.15">
      <c r="A500" s="149"/>
      <c r="B500" s="152"/>
      <c r="C500" s="154"/>
      <c r="D500" s="152"/>
      <c r="E500" s="152"/>
      <c r="F500" s="152"/>
      <c r="G500" s="152"/>
      <c r="H500" s="154"/>
      <c r="I500" s="154"/>
      <c r="J500" s="152"/>
      <c r="K500" s="154"/>
      <c r="L500" s="152"/>
      <c r="M500" s="152"/>
      <c r="N500" s="152"/>
      <c r="O500" s="161"/>
      <c r="R500" s="163"/>
      <c r="S500" s="154"/>
      <c r="T500" s="154"/>
      <c r="U500" s="247"/>
    </row>
    <row r="501" spans="1:21" x14ac:dyDescent="0.15">
      <c r="A501" s="149"/>
      <c r="B501" s="152"/>
      <c r="C501" s="154"/>
      <c r="D501" s="152"/>
      <c r="E501" s="152"/>
      <c r="F501" s="152"/>
      <c r="G501" s="152"/>
      <c r="H501" s="154"/>
      <c r="I501" s="154"/>
      <c r="J501" s="152"/>
      <c r="K501" s="154"/>
      <c r="L501" s="152"/>
      <c r="M501" s="152"/>
      <c r="N501" s="152"/>
      <c r="O501" s="161"/>
      <c r="R501" s="163"/>
      <c r="S501" s="154"/>
      <c r="T501" s="154"/>
      <c r="U501" s="247"/>
    </row>
    <row r="502" spans="1:21" x14ac:dyDescent="0.15">
      <c r="A502" s="149"/>
      <c r="B502" s="152"/>
      <c r="C502" s="154"/>
      <c r="D502" s="152"/>
      <c r="E502" s="152"/>
      <c r="F502" s="152"/>
      <c r="G502" s="152"/>
      <c r="H502" s="154"/>
      <c r="I502" s="154"/>
      <c r="J502" s="152"/>
      <c r="K502" s="154"/>
      <c r="L502" s="152"/>
      <c r="M502" s="152"/>
      <c r="N502" s="152"/>
      <c r="O502" s="161"/>
      <c r="R502" s="163"/>
      <c r="S502" s="154"/>
      <c r="T502" s="154"/>
      <c r="U502" s="247"/>
    </row>
    <row r="503" spans="1:21" x14ac:dyDescent="0.15">
      <c r="A503" s="149"/>
      <c r="B503" s="152"/>
      <c r="C503" s="154"/>
      <c r="D503" s="152"/>
      <c r="E503" s="152"/>
      <c r="F503" s="152"/>
      <c r="G503" s="152"/>
      <c r="H503" s="154"/>
      <c r="I503" s="154"/>
      <c r="J503" s="152"/>
      <c r="K503" s="154"/>
      <c r="L503" s="152"/>
      <c r="M503" s="152"/>
      <c r="N503" s="152"/>
      <c r="O503" s="161"/>
      <c r="R503" s="163"/>
      <c r="S503" s="154"/>
      <c r="T503" s="154"/>
      <c r="U503" s="247"/>
    </row>
    <row r="504" spans="1:21" x14ac:dyDescent="0.15">
      <c r="A504" s="149"/>
      <c r="B504" s="152"/>
      <c r="C504" s="154"/>
      <c r="D504" s="152"/>
      <c r="E504" s="152"/>
      <c r="F504" s="152"/>
      <c r="G504" s="152"/>
      <c r="H504" s="154"/>
      <c r="I504" s="154"/>
      <c r="J504" s="152"/>
      <c r="K504" s="154"/>
      <c r="L504" s="152"/>
      <c r="M504" s="152"/>
      <c r="N504" s="152"/>
      <c r="O504" s="161"/>
      <c r="R504" s="163"/>
      <c r="S504" s="154"/>
      <c r="T504" s="154"/>
      <c r="U504" s="247"/>
    </row>
    <row r="505" spans="1:21" x14ac:dyDescent="0.15">
      <c r="A505" s="149"/>
      <c r="B505" s="152"/>
      <c r="C505" s="154"/>
      <c r="D505" s="152"/>
      <c r="E505" s="152"/>
      <c r="F505" s="152"/>
      <c r="G505" s="152"/>
      <c r="H505" s="154"/>
      <c r="I505" s="154"/>
      <c r="J505" s="152"/>
      <c r="K505" s="154"/>
      <c r="L505" s="152"/>
      <c r="M505" s="152"/>
      <c r="N505" s="152"/>
      <c r="O505" s="161"/>
      <c r="R505" s="163"/>
      <c r="S505" s="154"/>
      <c r="T505" s="154"/>
      <c r="U505" s="247"/>
    </row>
    <row r="506" spans="1:21" x14ac:dyDescent="0.15">
      <c r="A506" s="149"/>
      <c r="B506" s="152"/>
      <c r="C506" s="154"/>
      <c r="D506" s="152"/>
      <c r="E506" s="152"/>
      <c r="F506" s="152"/>
      <c r="G506" s="152"/>
      <c r="H506" s="154"/>
      <c r="I506" s="154"/>
      <c r="J506" s="152"/>
      <c r="K506" s="154"/>
      <c r="L506" s="152"/>
      <c r="M506" s="152"/>
      <c r="N506" s="152"/>
      <c r="O506" s="161"/>
      <c r="R506" s="163"/>
      <c r="S506" s="154"/>
      <c r="T506" s="154"/>
      <c r="U506" s="247"/>
    </row>
    <row r="507" spans="1:21" x14ac:dyDescent="0.15">
      <c r="A507" s="149"/>
      <c r="B507" s="152"/>
      <c r="C507" s="154"/>
      <c r="D507" s="152"/>
      <c r="E507" s="152"/>
      <c r="F507" s="152"/>
      <c r="G507" s="152"/>
      <c r="H507" s="154"/>
      <c r="I507" s="154"/>
      <c r="J507" s="152"/>
      <c r="K507" s="154"/>
      <c r="L507" s="152"/>
      <c r="M507" s="152"/>
      <c r="N507" s="152"/>
      <c r="O507" s="161"/>
      <c r="R507" s="163"/>
      <c r="S507" s="154"/>
      <c r="T507" s="154"/>
      <c r="U507" s="247"/>
    </row>
    <row r="508" spans="1:21" x14ac:dyDescent="0.15">
      <c r="A508" s="149"/>
      <c r="B508" s="152"/>
      <c r="C508" s="154"/>
      <c r="D508" s="152"/>
      <c r="E508" s="152"/>
      <c r="F508" s="152"/>
      <c r="G508" s="152"/>
      <c r="H508" s="154"/>
      <c r="I508" s="154"/>
      <c r="J508" s="152"/>
      <c r="K508" s="154"/>
      <c r="L508" s="152"/>
      <c r="M508" s="152"/>
      <c r="N508" s="152"/>
      <c r="O508" s="161"/>
      <c r="R508" s="163"/>
      <c r="S508" s="154"/>
      <c r="T508" s="154"/>
      <c r="U508" s="247"/>
    </row>
    <row r="509" spans="1:21" x14ac:dyDescent="0.15">
      <c r="A509" s="149"/>
      <c r="B509" s="152"/>
      <c r="C509" s="154"/>
      <c r="D509" s="152"/>
      <c r="E509" s="152"/>
      <c r="F509" s="152"/>
      <c r="G509" s="152"/>
      <c r="H509" s="154"/>
      <c r="I509" s="154"/>
      <c r="J509" s="152"/>
      <c r="K509" s="154"/>
      <c r="L509" s="152"/>
      <c r="M509" s="152"/>
      <c r="N509" s="152"/>
      <c r="O509" s="161"/>
      <c r="R509" s="163"/>
      <c r="S509" s="154"/>
      <c r="T509" s="154"/>
      <c r="U509" s="247"/>
    </row>
    <row r="510" spans="1:21" x14ac:dyDescent="0.15">
      <c r="A510" s="149"/>
      <c r="B510" s="152"/>
      <c r="C510" s="154"/>
      <c r="D510" s="152"/>
      <c r="E510" s="152"/>
      <c r="F510" s="152"/>
      <c r="G510" s="152"/>
      <c r="H510" s="154"/>
      <c r="I510" s="154"/>
      <c r="J510" s="152"/>
      <c r="K510" s="154"/>
      <c r="L510" s="152"/>
      <c r="M510" s="152"/>
      <c r="N510" s="152"/>
      <c r="O510" s="161"/>
      <c r="R510" s="163"/>
      <c r="S510" s="154"/>
      <c r="T510" s="154"/>
      <c r="U510" s="247"/>
    </row>
    <row r="511" spans="1:21" x14ac:dyDescent="0.15">
      <c r="A511" s="149"/>
      <c r="B511" s="152"/>
      <c r="C511" s="154"/>
      <c r="D511" s="152"/>
      <c r="E511" s="152"/>
      <c r="F511" s="152"/>
      <c r="G511" s="152"/>
      <c r="H511" s="154"/>
      <c r="I511" s="154"/>
      <c r="J511" s="152"/>
      <c r="K511" s="154"/>
      <c r="L511" s="152"/>
      <c r="M511" s="152"/>
      <c r="N511" s="152"/>
      <c r="O511" s="161"/>
      <c r="R511" s="163"/>
      <c r="S511" s="154"/>
      <c r="T511" s="154"/>
      <c r="U511" s="247"/>
    </row>
    <row r="512" spans="1:21" x14ac:dyDescent="0.15">
      <c r="A512" s="149"/>
      <c r="B512" s="152"/>
      <c r="C512" s="154"/>
      <c r="D512" s="152"/>
      <c r="E512" s="152"/>
      <c r="F512" s="152"/>
      <c r="G512" s="152"/>
      <c r="H512" s="154"/>
      <c r="I512" s="154"/>
      <c r="J512" s="152"/>
      <c r="K512" s="154"/>
      <c r="L512" s="152"/>
      <c r="M512" s="152"/>
      <c r="N512" s="152"/>
      <c r="O512" s="161"/>
      <c r="R512" s="163"/>
      <c r="S512" s="154"/>
      <c r="T512" s="154"/>
      <c r="U512" s="247"/>
    </row>
    <row r="513" spans="1:21" x14ac:dyDescent="0.15">
      <c r="A513" s="149"/>
      <c r="B513" s="152"/>
      <c r="C513" s="154"/>
      <c r="D513" s="152"/>
      <c r="E513" s="152"/>
      <c r="F513" s="152"/>
      <c r="G513" s="152"/>
      <c r="H513" s="154"/>
      <c r="I513" s="154"/>
      <c r="J513" s="152"/>
      <c r="K513" s="154"/>
      <c r="L513" s="152"/>
      <c r="M513" s="152"/>
      <c r="N513" s="152"/>
      <c r="O513" s="161"/>
      <c r="R513" s="163"/>
      <c r="S513" s="154"/>
      <c r="T513" s="154"/>
      <c r="U513" s="247"/>
    </row>
    <row r="514" spans="1:21" x14ac:dyDescent="0.15">
      <c r="A514" s="149"/>
      <c r="B514" s="152"/>
      <c r="C514" s="154"/>
      <c r="D514" s="152"/>
      <c r="E514" s="152"/>
      <c r="F514" s="152"/>
      <c r="G514" s="152"/>
      <c r="H514" s="154"/>
      <c r="I514" s="154"/>
      <c r="J514" s="152"/>
      <c r="K514" s="154"/>
      <c r="L514" s="152"/>
      <c r="M514" s="152"/>
      <c r="N514" s="152"/>
      <c r="O514" s="161"/>
      <c r="R514" s="163"/>
      <c r="S514" s="154"/>
      <c r="T514" s="154"/>
      <c r="U514" s="247"/>
    </row>
    <row r="515" spans="1:21" x14ac:dyDescent="0.15">
      <c r="A515" s="149"/>
      <c r="B515" s="152"/>
      <c r="C515" s="154"/>
      <c r="D515" s="152"/>
      <c r="E515" s="152"/>
      <c r="F515" s="152"/>
      <c r="G515" s="152"/>
      <c r="H515" s="154"/>
      <c r="I515" s="154"/>
      <c r="J515" s="152"/>
      <c r="K515" s="154"/>
      <c r="L515" s="152"/>
      <c r="M515" s="152"/>
      <c r="N515" s="152"/>
      <c r="O515" s="161"/>
      <c r="R515" s="163"/>
      <c r="S515" s="154"/>
      <c r="T515" s="154"/>
      <c r="U515" s="247"/>
    </row>
    <row r="516" spans="1:21" x14ac:dyDescent="0.15">
      <c r="A516" s="149"/>
      <c r="B516" s="152"/>
      <c r="C516" s="154"/>
      <c r="D516" s="152"/>
      <c r="E516" s="152"/>
      <c r="F516" s="152"/>
      <c r="G516" s="152"/>
      <c r="H516" s="154"/>
      <c r="I516" s="154"/>
      <c r="J516" s="152"/>
      <c r="K516" s="154"/>
      <c r="L516" s="152"/>
      <c r="M516" s="152"/>
      <c r="N516" s="152"/>
      <c r="O516" s="161"/>
      <c r="R516" s="163"/>
      <c r="S516" s="154"/>
      <c r="T516" s="154"/>
      <c r="U516" s="247"/>
    </row>
    <row r="517" spans="1:21" x14ac:dyDescent="0.15">
      <c r="A517" s="149"/>
      <c r="B517" s="152"/>
      <c r="C517" s="154"/>
      <c r="D517" s="152"/>
      <c r="E517" s="152"/>
      <c r="F517" s="152"/>
      <c r="G517" s="152"/>
      <c r="H517" s="154"/>
      <c r="I517" s="154"/>
      <c r="J517" s="152"/>
      <c r="K517" s="154"/>
      <c r="L517" s="152"/>
      <c r="M517" s="152"/>
      <c r="N517" s="152"/>
      <c r="O517" s="161"/>
      <c r="R517" s="163"/>
      <c r="S517" s="154"/>
      <c r="T517" s="154"/>
      <c r="U517" s="247"/>
    </row>
    <row r="518" spans="1:21" x14ac:dyDescent="0.15">
      <c r="A518" s="149"/>
      <c r="B518" s="152"/>
      <c r="C518" s="154"/>
      <c r="D518" s="152"/>
      <c r="E518" s="152"/>
      <c r="F518" s="152"/>
      <c r="G518" s="152"/>
      <c r="H518" s="154"/>
      <c r="I518" s="154"/>
      <c r="J518" s="152"/>
      <c r="K518" s="154"/>
      <c r="L518" s="152"/>
      <c r="M518" s="152"/>
      <c r="N518" s="152"/>
      <c r="O518" s="161"/>
      <c r="R518" s="163"/>
      <c r="S518" s="154"/>
      <c r="T518" s="154"/>
      <c r="U518" s="247"/>
    </row>
    <row r="519" spans="1:21" x14ac:dyDescent="0.15">
      <c r="A519" s="149"/>
      <c r="B519" s="152"/>
      <c r="C519" s="154"/>
      <c r="D519" s="152"/>
      <c r="E519" s="152"/>
      <c r="F519" s="152"/>
      <c r="G519" s="152"/>
      <c r="H519" s="154"/>
      <c r="I519" s="154"/>
      <c r="J519" s="152"/>
      <c r="K519" s="154"/>
      <c r="L519" s="152"/>
      <c r="M519" s="152"/>
      <c r="N519" s="152"/>
      <c r="O519" s="161"/>
      <c r="R519" s="163"/>
      <c r="S519" s="154"/>
      <c r="T519" s="154"/>
      <c r="U519" s="247"/>
    </row>
    <row r="520" spans="1:21" x14ac:dyDescent="0.15">
      <c r="A520" s="149"/>
      <c r="B520" s="152"/>
      <c r="C520" s="154"/>
      <c r="D520" s="152"/>
      <c r="E520" s="152"/>
      <c r="F520" s="152"/>
      <c r="G520" s="152"/>
      <c r="H520" s="154"/>
      <c r="I520" s="154"/>
      <c r="J520" s="152"/>
      <c r="K520" s="154"/>
      <c r="L520" s="152"/>
      <c r="M520" s="152"/>
      <c r="N520" s="152"/>
      <c r="O520" s="161"/>
      <c r="R520" s="163"/>
      <c r="S520" s="154"/>
      <c r="T520" s="154"/>
      <c r="U520" s="247"/>
    </row>
    <row r="521" spans="1:21" x14ac:dyDescent="0.15">
      <c r="A521" s="149"/>
      <c r="B521" s="152"/>
      <c r="C521" s="154"/>
      <c r="D521" s="152"/>
      <c r="E521" s="152"/>
      <c r="F521" s="152"/>
      <c r="G521" s="152"/>
      <c r="H521" s="154"/>
      <c r="I521" s="154"/>
      <c r="J521" s="152"/>
      <c r="K521" s="154"/>
      <c r="L521" s="152"/>
      <c r="M521" s="152"/>
      <c r="N521" s="152"/>
      <c r="O521" s="161"/>
      <c r="R521" s="163"/>
      <c r="S521" s="154"/>
      <c r="T521" s="154"/>
      <c r="U521" s="247"/>
    </row>
    <row r="522" spans="1:21" x14ac:dyDescent="0.15">
      <c r="A522" s="149"/>
      <c r="B522" s="152"/>
      <c r="C522" s="154"/>
      <c r="D522" s="152"/>
      <c r="E522" s="152"/>
      <c r="F522" s="152"/>
      <c r="G522" s="152"/>
      <c r="H522" s="154"/>
      <c r="I522" s="154"/>
      <c r="J522" s="152"/>
      <c r="K522" s="154"/>
      <c r="L522" s="152"/>
      <c r="M522" s="152"/>
      <c r="N522" s="152"/>
      <c r="O522" s="161"/>
      <c r="R522" s="163"/>
      <c r="S522" s="154"/>
      <c r="T522" s="154"/>
      <c r="U522" s="247"/>
    </row>
    <row r="523" spans="1:21" x14ac:dyDescent="0.15">
      <c r="A523" s="149"/>
      <c r="B523" s="152"/>
      <c r="C523" s="154"/>
      <c r="D523" s="152"/>
      <c r="E523" s="152"/>
      <c r="F523" s="152"/>
      <c r="G523" s="152"/>
      <c r="H523" s="154"/>
      <c r="I523" s="154"/>
      <c r="J523" s="152"/>
      <c r="K523" s="154"/>
      <c r="L523" s="152"/>
      <c r="M523" s="152"/>
      <c r="N523" s="152"/>
      <c r="O523" s="161"/>
      <c r="R523" s="163"/>
      <c r="S523" s="154"/>
      <c r="T523" s="154"/>
      <c r="U523" s="247"/>
    </row>
    <row r="524" spans="1:21" x14ac:dyDescent="0.15">
      <c r="A524" s="149"/>
      <c r="B524" s="152"/>
      <c r="C524" s="154"/>
      <c r="D524" s="152"/>
      <c r="E524" s="152"/>
      <c r="F524" s="152"/>
      <c r="G524" s="152"/>
      <c r="H524" s="154"/>
      <c r="I524" s="154"/>
      <c r="J524" s="152"/>
      <c r="K524" s="154"/>
      <c r="L524" s="152"/>
      <c r="M524" s="152"/>
      <c r="N524" s="152"/>
      <c r="O524" s="161"/>
      <c r="R524" s="163"/>
      <c r="S524" s="154"/>
      <c r="T524" s="154"/>
      <c r="U524" s="247"/>
    </row>
    <row r="525" spans="1:21" x14ac:dyDescent="0.15">
      <c r="A525" s="149"/>
      <c r="B525" s="152"/>
      <c r="C525" s="154"/>
      <c r="D525" s="152"/>
      <c r="E525" s="152"/>
      <c r="F525" s="152"/>
      <c r="G525" s="152"/>
      <c r="H525" s="154"/>
      <c r="I525" s="154"/>
      <c r="J525" s="152"/>
      <c r="K525" s="154"/>
      <c r="L525" s="152"/>
      <c r="M525" s="152"/>
      <c r="N525" s="152"/>
      <c r="O525" s="161"/>
      <c r="R525" s="163"/>
      <c r="S525" s="154"/>
      <c r="T525" s="154"/>
      <c r="U525" s="247"/>
    </row>
    <row r="526" spans="1:21" x14ac:dyDescent="0.15">
      <c r="A526" s="149"/>
      <c r="B526" s="152"/>
      <c r="C526" s="154"/>
      <c r="D526" s="152"/>
      <c r="E526" s="152"/>
      <c r="F526" s="152"/>
      <c r="G526" s="152"/>
      <c r="H526" s="154"/>
      <c r="I526" s="154"/>
      <c r="J526" s="152"/>
      <c r="K526" s="154"/>
      <c r="L526" s="152"/>
      <c r="M526" s="152"/>
      <c r="N526" s="152"/>
      <c r="O526" s="161"/>
      <c r="R526" s="163"/>
      <c r="S526" s="154"/>
      <c r="T526" s="154"/>
      <c r="U526" s="247"/>
    </row>
    <row r="527" spans="1:21" x14ac:dyDescent="0.15">
      <c r="A527" s="149"/>
      <c r="B527" s="152"/>
      <c r="C527" s="154"/>
      <c r="D527" s="152"/>
      <c r="E527" s="152"/>
      <c r="F527" s="152"/>
      <c r="G527" s="152"/>
      <c r="H527" s="154"/>
      <c r="I527" s="154"/>
      <c r="J527" s="152"/>
      <c r="K527" s="154"/>
      <c r="L527" s="152"/>
      <c r="M527" s="152"/>
      <c r="N527" s="152"/>
      <c r="O527" s="161"/>
      <c r="R527" s="163"/>
      <c r="S527" s="154"/>
      <c r="T527" s="154"/>
      <c r="U527" s="247"/>
    </row>
    <row r="528" spans="1:21" x14ac:dyDescent="0.15">
      <c r="A528" s="149"/>
      <c r="B528" s="152"/>
      <c r="C528" s="154"/>
      <c r="D528" s="152"/>
      <c r="E528" s="152"/>
      <c r="F528" s="152"/>
      <c r="G528" s="152"/>
      <c r="H528" s="154"/>
      <c r="I528" s="154"/>
      <c r="J528" s="152"/>
      <c r="K528" s="154"/>
      <c r="L528" s="152"/>
      <c r="M528" s="152"/>
      <c r="N528" s="152"/>
      <c r="O528" s="161"/>
      <c r="R528" s="163"/>
      <c r="S528" s="154"/>
      <c r="T528" s="154"/>
      <c r="U528" s="247"/>
    </row>
    <row r="529" spans="1:21" x14ac:dyDescent="0.15">
      <c r="A529" s="149"/>
      <c r="B529" s="152"/>
      <c r="C529" s="154"/>
      <c r="D529" s="152"/>
      <c r="E529" s="152"/>
      <c r="F529" s="152"/>
      <c r="G529" s="152"/>
      <c r="H529" s="154"/>
      <c r="I529" s="154"/>
      <c r="J529" s="152"/>
      <c r="K529" s="154"/>
      <c r="L529" s="152"/>
      <c r="M529" s="152"/>
      <c r="N529" s="152"/>
      <c r="O529" s="161"/>
      <c r="R529" s="163"/>
      <c r="S529" s="154"/>
      <c r="T529" s="154"/>
      <c r="U529" s="247"/>
    </row>
    <row r="530" spans="1:21" x14ac:dyDescent="0.15">
      <c r="A530" s="149"/>
      <c r="B530" s="152"/>
      <c r="C530" s="154"/>
      <c r="D530" s="152"/>
      <c r="E530" s="152"/>
      <c r="F530" s="152"/>
      <c r="G530" s="152"/>
      <c r="H530" s="154"/>
      <c r="I530" s="154"/>
      <c r="J530" s="152"/>
      <c r="K530" s="154"/>
      <c r="L530" s="152"/>
      <c r="M530" s="152"/>
      <c r="N530" s="152"/>
      <c r="O530" s="161"/>
      <c r="R530" s="163"/>
      <c r="S530" s="154"/>
      <c r="T530" s="154"/>
      <c r="U530" s="247"/>
    </row>
    <row r="531" spans="1:21" x14ac:dyDescent="0.15">
      <c r="A531" s="149"/>
      <c r="B531" s="152"/>
      <c r="C531" s="154"/>
      <c r="D531" s="152"/>
      <c r="E531" s="152"/>
      <c r="F531" s="152"/>
      <c r="G531" s="152"/>
      <c r="H531" s="154"/>
      <c r="I531" s="154"/>
      <c r="J531" s="152"/>
      <c r="K531" s="154"/>
      <c r="L531" s="152"/>
      <c r="M531" s="152"/>
      <c r="N531" s="152"/>
      <c r="O531" s="161"/>
      <c r="R531" s="163"/>
      <c r="S531" s="154"/>
      <c r="T531" s="154"/>
      <c r="U531" s="247"/>
    </row>
    <row r="532" spans="1:21" x14ac:dyDescent="0.15">
      <c r="A532" s="149"/>
      <c r="B532" s="152"/>
      <c r="C532" s="154"/>
      <c r="D532" s="152"/>
      <c r="E532" s="152"/>
      <c r="F532" s="152"/>
      <c r="G532" s="152"/>
      <c r="H532" s="154"/>
      <c r="I532" s="154"/>
      <c r="J532" s="152"/>
      <c r="K532" s="154"/>
      <c r="L532" s="152"/>
      <c r="M532" s="152"/>
      <c r="N532" s="152"/>
      <c r="O532" s="161"/>
      <c r="R532" s="163"/>
      <c r="S532" s="154"/>
      <c r="T532" s="154"/>
      <c r="U532" s="247"/>
    </row>
    <row r="533" spans="1:21" x14ac:dyDescent="0.15">
      <c r="A533" s="149"/>
      <c r="B533" s="152"/>
      <c r="C533" s="154"/>
      <c r="D533" s="152"/>
      <c r="E533" s="152"/>
      <c r="F533" s="152"/>
      <c r="G533" s="152"/>
      <c r="H533" s="154"/>
      <c r="I533" s="154"/>
      <c r="J533" s="152"/>
      <c r="K533" s="154"/>
      <c r="L533" s="152"/>
      <c r="M533" s="152"/>
      <c r="N533" s="152"/>
      <c r="O533" s="161"/>
      <c r="R533" s="163"/>
      <c r="S533" s="154"/>
      <c r="T533" s="154"/>
      <c r="U533" s="247"/>
    </row>
    <row r="534" spans="1:21" x14ac:dyDescent="0.15">
      <c r="A534" s="149"/>
      <c r="B534" s="152"/>
      <c r="C534" s="154"/>
      <c r="D534" s="152"/>
      <c r="E534" s="152"/>
      <c r="F534" s="152"/>
      <c r="G534" s="152"/>
      <c r="H534" s="154"/>
      <c r="I534" s="154"/>
      <c r="J534" s="152"/>
      <c r="K534" s="154"/>
      <c r="L534" s="152"/>
      <c r="M534" s="152"/>
      <c r="N534" s="152"/>
      <c r="O534" s="161"/>
      <c r="R534" s="163"/>
      <c r="S534" s="154"/>
      <c r="T534" s="154"/>
      <c r="U534" s="247"/>
    </row>
    <row r="535" spans="1:21" x14ac:dyDescent="0.15">
      <c r="A535" s="149"/>
      <c r="B535" s="152"/>
      <c r="C535" s="154"/>
      <c r="D535" s="152"/>
      <c r="E535" s="152"/>
      <c r="F535" s="152"/>
      <c r="G535" s="152"/>
      <c r="H535" s="154"/>
      <c r="I535" s="154"/>
      <c r="J535" s="152"/>
      <c r="K535" s="154"/>
      <c r="L535" s="152"/>
      <c r="M535" s="152"/>
      <c r="N535" s="152"/>
      <c r="O535" s="161"/>
      <c r="R535" s="163"/>
      <c r="S535" s="154"/>
      <c r="T535" s="154"/>
      <c r="U535" s="247"/>
    </row>
    <row r="536" spans="1:21" x14ac:dyDescent="0.15">
      <c r="A536" s="149"/>
      <c r="B536" s="152"/>
      <c r="C536" s="154"/>
      <c r="D536" s="152"/>
      <c r="E536" s="152"/>
      <c r="F536" s="152"/>
      <c r="G536" s="152"/>
      <c r="H536" s="154"/>
      <c r="I536" s="154"/>
      <c r="J536" s="152"/>
      <c r="K536" s="154"/>
      <c r="L536" s="152"/>
      <c r="M536" s="152"/>
      <c r="N536" s="152"/>
      <c r="O536" s="161"/>
      <c r="R536" s="163"/>
      <c r="S536" s="154"/>
      <c r="T536" s="154"/>
      <c r="U536" s="247"/>
    </row>
    <row r="537" spans="1:21" x14ac:dyDescent="0.15">
      <c r="A537" s="149"/>
      <c r="B537" s="152"/>
      <c r="C537" s="154"/>
      <c r="D537" s="152"/>
      <c r="E537" s="152"/>
      <c r="F537" s="152"/>
      <c r="G537" s="152"/>
      <c r="H537" s="154"/>
      <c r="I537" s="154"/>
      <c r="J537" s="152"/>
      <c r="K537" s="154"/>
      <c r="L537" s="152"/>
      <c r="M537" s="152"/>
      <c r="N537" s="152"/>
      <c r="O537" s="161"/>
      <c r="R537" s="163"/>
      <c r="S537" s="154"/>
      <c r="T537" s="154"/>
      <c r="U537" s="247"/>
    </row>
    <row r="538" spans="1:21" x14ac:dyDescent="0.15">
      <c r="A538" s="149"/>
      <c r="B538" s="152"/>
      <c r="C538" s="154"/>
      <c r="D538" s="152"/>
      <c r="E538" s="152"/>
      <c r="F538" s="152"/>
      <c r="G538" s="152"/>
      <c r="H538" s="154"/>
      <c r="I538" s="154"/>
      <c r="J538" s="152"/>
      <c r="K538" s="154"/>
      <c r="L538" s="152"/>
      <c r="M538" s="152"/>
      <c r="N538" s="152"/>
      <c r="O538" s="161"/>
      <c r="R538" s="163"/>
      <c r="S538" s="154"/>
      <c r="T538" s="154"/>
      <c r="U538" s="247"/>
    </row>
    <row r="539" spans="1:21" x14ac:dyDescent="0.15">
      <c r="A539" s="149"/>
      <c r="B539" s="152"/>
      <c r="C539" s="154"/>
      <c r="D539" s="152"/>
      <c r="E539" s="152"/>
      <c r="F539" s="152"/>
      <c r="G539" s="152"/>
      <c r="H539" s="154"/>
      <c r="I539" s="154"/>
      <c r="J539" s="152"/>
      <c r="K539" s="154"/>
      <c r="L539" s="152"/>
      <c r="M539" s="152"/>
      <c r="N539" s="152"/>
      <c r="O539" s="161"/>
      <c r="R539" s="163"/>
      <c r="S539" s="154"/>
      <c r="T539" s="154"/>
      <c r="U539" s="247"/>
    </row>
    <row r="540" spans="1:21" x14ac:dyDescent="0.15">
      <c r="A540" s="149"/>
      <c r="B540" s="152"/>
      <c r="C540" s="154"/>
      <c r="D540" s="152"/>
      <c r="E540" s="152"/>
      <c r="F540" s="152"/>
      <c r="G540" s="152"/>
      <c r="H540" s="154"/>
      <c r="I540" s="154"/>
      <c r="J540" s="152"/>
      <c r="K540" s="154"/>
      <c r="L540" s="152"/>
      <c r="M540" s="152"/>
      <c r="N540" s="152"/>
      <c r="O540" s="161"/>
      <c r="R540" s="163"/>
      <c r="S540" s="154"/>
      <c r="T540" s="154"/>
      <c r="U540" s="247"/>
    </row>
    <row r="541" spans="1:21" x14ac:dyDescent="0.15">
      <c r="A541" s="149"/>
      <c r="B541" s="152"/>
      <c r="C541" s="154"/>
      <c r="D541" s="152"/>
      <c r="E541" s="152"/>
      <c r="F541" s="152"/>
      <c r="G541" s="152"/>
      <c r="H541" s="154"/>
      <c r="I541" s="154"/>
      <c r="J541" s="152"/>
      <c r="K541" s="154"/>
      <c r="L541" s="152"/>
      <c r="M541" s="152"/>
      <c r="N541" s="152"/>
      <c r="O541" s="161"/>
      <c r="R541" s="163"/>
      <c r="S541" s="154"/>
      <c r="T541" s="154"/>
      <c r="U541" s="247"/>
    </row>
    <row r="542" spans="1:21" x14ac:dyDescent="0.15">
      <c r="A542" s="149"/>
      <c r="B542" s="152"/>
      <c r="C542" s="154"/>
      <c r="D542" s="152"/>
      <c r="E542" s="152"/>
      <c r="F542" s="152"/>
      <c r="G542" s="152"/>
      <c r="H542" s="154"/>
      <c r="I542" s="154"/>
      <c r="J542" s="152"/>
      <c r="K542" s="154"/>
      <c r="L542" s="152"/>
      <c r="M542" s="152"/>
      <c r="N542" s="152"/>
      <c r="O542" s="161"/>
      <c r="R542" s="163"/>
      <c r="S542" s="154"/>
      <c r="T542" s="154"/>
      <c r="U542" s="247"/>
    </row>
    <row r="543" spans="1:21" x14ac:dyDescent="0.15">
      <c r="A543" s="149"/>
      <c r="B543" s="152"/>
      <c r="C543" s="154"/>
      <c r="D543" s="152"/>
      <c r="E543" s="152"/>
      <c r="F543" s="152"/>
      <c r="G543" s="152"/>
      <c r="H543" s="154"/>
      <c r="I543" s="154"/>
      <c r="J543" s="152"/>
      <c r="K543" s="154"/>
      <c r="L543" s="152"/>
      <c r="M543" s="152"/>
      <c r="N543" s="152"/>
      <c r="O543" s="161"/>
      <c r="R543" s="163"/>
      <c r="S543" s="154"/>
      <c r="T543" s="154"/>
      <c r="U543" s="247"/>
    </row>
    <row r="544" spans="1:21" x14ac:dyDescent="0.15">
      <c r="A544" s="149"/>
      <c r="B544" s="152"/>
      <c r="C544" s="154"/>
      <c r="D544" s="152"/>
      <c r="E544" s="152"/>
      <c r="F544" s="152"/>
      <c r="G544" s="152"/>
      <c r="H544" s="154"/>
      <c r="I544" s="154"/>
      <c r="J544" s="152"/>
      <c r="K544" s="154"/>
      <c r="L544" s="152"/>
      <c r="M544" s="152"/>
      <c r="N544" s="152"/>
      <c r="O544" s="161"/>
      <c r="R544" s="163"/>
      <c r="S544" s="154"/>
      <c r="T544" s="154"/>
      <c r="U544" s="247"/>
    </row>
    <row r="545" spans="1:21" x14ac:dyDescent="0.15">
      <c r="A545" s="149"/>
      <c r="B545" s="152"/>
      <c r="C545" s="154"/>
      <c r="D545" s="152"/>
      <c r="E545" s="152"/>
      <c r="F545" s="152"/>
      <c r="G545" s="152"/>
      <c r="H545" s="154"/>
      <c r="I545" s="154"/>
      <c r="J545" s="152"/>
      <c r="K545" s="154"/>
      <c r="L545" s="152"/>
      <c r="M545" s="152"/>
      <c r="N545" s="152"/>
      <c r="O545" s="161"/>
      <c r="R545" s="163"/>
      <c r="S545" s="154"/>
      <c r="T545" s="154"/>
      <c r="U545" s="247"/>
    </row>
    <row r="546" spans="1:21" x14ac:dyDescent="0.15">
      <c r="A546" s="149"/>
      <c r="B546" s="152"/>
      <c r="C546" s="154"/>
      <c r="D546" s="152"/>
      <c r="E546" s="152"/>
      <c r="F546" s="152"/>
      <c r="G546" s="152"/>
      <c r="H546" s="154"/>
      <c r="I546" s="154"/>
      <c r="J546" s="152"/>
      <c r="K546" s="154"/>
      <c r="L546" s="152"/>
      <c r="M546" s="152"/>
      <c r="N546" s="152"/>
      <c r="O546" s="161"/>
      <c r="R546" s="163"/>
      <c r="S546" s="154"/>
      <c r="T546" s="154"/>
      <c r="U546" s="247"/>
    </row>
    <row r="547" spans="1:21" x14ac:dyDescent="0.15">
      <c r="A547" s="149"/>
      <c r="B547" s="152"/>
      <c r="C547" s="154"/>
      <c r="D547" s="152"/>
      <c r="E547" s="152"/>
      <c r="F547" s="152"/>
      <c r="G547" s="152"/>
      <c r="H547" s="154"/>
      <c r="I547" s="154"/>
      <c r="J547" s="152"/>
      <c r="K547" s="154"/>
      <c r="L547" s="152"/>
      <c r="M547" s="152"/>
      <c r="N547" s="152"/>
      <c r="O547" s="161"/>
      <c r="R547" s="163"/>
      <c r="S547" s="154"/>
      <c r="T547" s="154"/>
      <c r="U547" s="247"/>
    </row>
    <row r="548" spans="1:21" x14ac:dyDescent="0.15">
      <c r="A548" s="149"/>
      <c r="B548" s="152"/>
      <c r="C548" s="154"/>
      <c r="D548" s="152"/>
      <c r="E548" s="152"/>
      <c r="F548" s="152"/>
      <c r="G548" s="152"/>
      <c r="H548" s="154"/>
      <c r="I548" s="154"/>
      <c r="J548" s="152"/>
      <c r="K548" s="154"/>
      <c r="L548" s="152"/>
      <c r="M548" s="152"/>
      <c r="N548" s="152"/>
      <c r="O548" s="161"/>
      <c r="R548" s="163"/>
      <c r="S548" s="154"/>
      <c r="T548" s="154"/>
      <c r="U548" s="247"/>
    </row>
    <row r="549" spans="1:21" x14ac:dyDescent="0.15">
      <c r="A549" s="149"/>
      <c r="B549" s="152"/>
      <c r="C549" s="154"/>
      <c r="D549" s="152"/>
      <c r="E549" s="152"/>
      <c r="F549" s="152"/>
      <c r="G549" s="152"/>
      <c r="H549" s="154"/>
      <c r="I549" s="154"/>
      <c r="J549" s="152"/>
      <c r="K549" s="154"/>
      <c r="L549" s="152"/>
      <c r="M549" s="152"/>
      <c r="N549" s="152"/>
      <c r="O549" s="161"/>
      <c r="R549" s="163"/>
      <c r="S549" s="154"/>
      <c r="T549" s="154"/>
      <c r="U549" s="247"/>
    </row>
    <row r="550" spans="1:21" x14ac:dyDescent="0.15">
      <c r="A550" s="149"/>
      <c r="B550" s="152"/>
      <c r="C550" s="154"/>
      <c r="D550" s="152"/>
      <c r="E550" s="152"/>
      <c r="F550" s="152"/>
      <c r="G550" s="152"/>
      <c r="H550" s="154"/>
      <c r="I550" s="154"/>
      <c r="J550" s="152"/>
      <c r="K550" s="154"/>
      <c r="L550" s="152"/>
      <c r="M550" s="152"/>
      <c r="N550" s="152"/>
      <c r="O550" s="161"/>
      <c r="R550" s="163"/>
      <c r="S550" s="154"/>
      <c r="T550" s="154"/>
      <c r="U550" s="247"/>
    </row>
    <row r="551" spans="1:21" x14ac:dyDescent="0.15">
      <c r="A551" s="149"/>
      <c r="B551" s="152"/>
      <c r="C551" s="154"/>
      <c r="D551" s="152"/>
      <c r="E551" s="152"/>
      <c r="F551" s="152"/>
      <c r="G551" s="152"/>
      <c r="H551" s="154"/>
      <c r="I551" s="154"/>
      <c r="J551" s="152"/>
      <c r="K551" s="154"/>
      <c r="L551" s="152"/>
      <c r="M551" s="152"/>
      <c r="N551" s="152"/>
      <c r="O551" s="161"/>
      <c r="R551" s="163"/>
      <c r="S551" s="154"/>
      <c r="T551" s="154"/>
      <c r="U551" s="247"/>
    </row>
    <row r="552" spans="1:21" x14ac:dyDescent="0.15">
      <c r="A552" s="149"/>
      <c r="B552" s="152"/>
      <c r="C552" s="154"/>
      <c r="D552" s="152"/>
      <c r="E552" s="152"/>
      <c r="F552" s="152"/>
      <c r="G552" s="152"/>
      <c r="H552" s="154"/>
      <c r="I552" s="154"/>
      <c r="J552" s="152"/>
      <c r="K552" s="154"/>
      <c r="L552" s="152"/>
      <c r="M552" s="152"/>
      <c r="N552" s="152"/>
      <c r="O552" s="161"/>
      <c r="R552" s="163"/>
      <c r="S552" s="154"/>
      <c r="T552" s="154"/>
      <c r="U552" s="247"/>
    </row>
    <row r="553" spans="1:21" x14ac:dyDescent="0.15">
      <c r="A553" s="149"/>
      <c r="B553" s="152"/>
      <c r="C553" s="154"/>
      <c r="D553" s="152"/>
      <c r="E553" s="152"/>
      <c r="F553" s="152"/>
      <c r="G553" s="152"/>
      <c r="H553" s="154"/>
      <c r="I553" s="154"/>
      <c r="J553" s="152"/>
      <c r="K553" s="154"/>
      <c r="L553" s="152"/>
      <c r="M553" s="152"/>
      <c r="N553" s="152"/>
      <c r="O553" s="161"/>
      <c r="R553" s="163"/>
      <c r="S553" s="154"/>
      <c r="T553" s="154"/>
      <c r="U553" s="247"/>
    </row>
    <row r="554" spans="1:21" x14ac:dyDescent="0.15">
      <c r="A554" s="149"/>
      <c r="B554" s="152"/>
      <c r="C554" s="154"/>
      <c r="D554" s="152"/>
      <c r="E554" s="152"/>
      <c r="F554" s="152"/>
      <c r="G554" s="152"/>
      <c r="H554" s="154"/>
      <c r="I554" s="154"/>
      <c r="J554" s="152"/>
      <c r="K554" s="154"/>
      <c r="L554" s="152"/>
      <c r="M554" s="152"/>
      <c r="N554" s="152"/>
      <c r="O554" s="161"/>
      <c r="R554" s="163"/>
      <c r="S554" s="154"/>
      <c r="T554" s="154"/>
      <c r="U554" s="247"/>
    </row>
    <row r="555" spans="1:21" x14ac:dyDescent="0.15">
      <c r="A555" s="149"/>
      <c r="B555" s="152"/>
      <c r="C555" s="154"/>
      <c r="D555" s="152"/>
      <c r="E555" s="152"/>
      <c r="F555" s="152"/>
      <c r="G555" s="152"/>
      <c r="H555" s="154"/>
      <c r="I555" s="154"/>
      <c r="J555" s="152"/>
      <c r="K555" s="154"/>
      <c r="L555" s="152"/>
      <c r="M555" s="152"/>
      <c r="N555" s="152"/>
      <c r="O555" s="161"/>
      <c r="R555" s="163"/>
      <c r="S555" s="154"/>
      <c r="T555" s="154"/>
      <c r="U555" s="247"/>
    </row>
    <row r="556" spans="1:21" x14ac:dyDescent="0.15">
      <c r="A556" s="149"/>
      <c r="B556" s="152"/>
      <c r="C556" s="154"/>
      <c r="D556" s="152"/>
      <c r="E556" s="152"/>
      <c r="F556" s="152"/>
      <c r="G556" s="152"/>
      <c r="H556" s="154"/>
      <c r="I556" s="154"/>
      <c r="J556" s="152"/>
      <c r="K556" s="154"/>
      <c r="L556" s="152"/>
      <c r="M556" s="152"/>
      <c r="N556" s="152"/>
      <c r="O556" s="161"/>
      <c r="R556" s="163"/>
      <c r="S556" s="154"/>
      <c r="T556" s="154"/>
      <c r="U556" s="247"/>
    </row>
    <row r="557" spans="1:21" x14ac:dyDescent="0.15">
      <c r="A557" s="149"/>
      <c r="B557" s="152"/>
      <c r="C557" s="154"/>
      <c r="D557" s="152"/>
      <c r="E557" s="152"/>
      <c r="F557" s="152"/>
      <c r="G557" s="152"/>
      <c r="H557" s="154"/>
      <c r="I557" s="154"/>
      <c r="J557" s="152"/>
      <c r="K557" s="154"/>
      <c r="L557" s="152"/>
      <c r="M557" s="152"/>
      <c r="N557" s="152"/>
      <c r="O557" s="161"/>
      <c r="R557" s="163"/>
      <c r="S557" s="154"/>
      <c r="T557" s="154"/>
      <c r="U557" s="247"/>
    </row>
    <row r="558" spans="1:21" x14ac:dyDescent="0.15">
      <c r="A558" s="149"/>
      <c r="B558" s="152"/>
      <c r="C558" s="154"/>
      <c r="D558" s="152"/>
      <c r="E558" s="152"/>
      <c r="F558" s="152"/>
      <c r="G558" s="152"/>
      <c r="H558" s="154"/>
      <c r="I558" s="154"/>
      <c r="J558" s="152"/>
      <c r="K558" s="154"/>
      <c r="L558" s="152"/>
      <c r="M558" s="152"/>
      <c r="N558" s="152"/>
      <c r="O558" s="161"/>
      <c r="R558" s="163"/>
      <c r="S558" s="154"/>
      <c r="T558" s="154"/>
      <c r="U558" s="247"/>
    </row>
    <row r="559" spans="1:21" x14ac:dyDescent="0.15">
      <c r="A559" s="149"/>
      <c r="B559" s="152"/>
      <c r="C559" s="154"/>
      <c r="D559" s="152"/>
      <c r="E559" s="152"/>
      <c r="F559" s="152"/>
      <c r="G559" s="152"/>
      <c r="H559" s="154"/>
      <c r="I559" s="154"/>
      <c r="J559" s="152"/>
      <c r="K559" s="154"/>
      <c r="L559" s="152"/>
      <c r="M559" s="152"/>
      <c r="N559" s="152"/>
      <c r="O559" s="161"/>
      <c r="R559" s="163"/>
      <c r="S559" s="154"/>
      <c r="T559" s="154"/>
      <c r="U559" s="247"/>
    </row>
    <row r="560" spans="1:21" x14ac:dyDescent="0.15">
      <c r="A560" s="149"/>
      <c r="B560" s="152"/>
      <c r="C560" s="154"/>
      <c r="D560" s="152"/>
      <c r="E560" s="152"/>
      <c r="F560" s="152"/>
      <c r="G560" s="152"/>
      <c r="H560" s="154"/>
      <c r="I560" s="154"/>
      <c r="J560" s="152"/>
      <c r="K560" s="154"/>
      <c r="L560" s="152"/>
      <c r="M560" s="152"/>
      <c r="N560" s="152"/>
      <c r="O560" s="161"/>
      <c r="R560" s="163"/>
      <c r="S560" s="154"/>
      <c r="T560" s="154"/>
      <c r="U560" s="247"/>
    </row>
    <row r="561" spans="1:21" x14ac:dyDescent="0.15">
      <c r="A561" s="149"/>
      <c r="B561" s="152"/>
      <c r="C561" s="154"/>
      <c r="D561" s="152"/>
      <c r="E561" s="152"/>
      <c r="F561" s="152"/>
      <c r="G561" s="152"/>
      <c r="H561" s="154"/>
      <c r="I561" s="154"/>
      <c r="J561" s="152"/>
      <c r="K561" s="154"/>
      <c r="L561" s="152"/>
      <c r="M561" s="152"/>
      <c r="N561" s="152"/>
      <c r="O561" s="161"/>
      <c r="R561" s="163"/>
      <c r="S561" s="154"/>
      <c r="T561" s="154"/>
      <c r="U561" s="247"/>
    </row>
    <row r="562" spans="1:21" x14ac:dyDescent="0.15">
      <c r="A562" s="149"/>
      <c r="B562" s="152"/>
      <c r="C562" s="154"/>
      <c r="D562" s="152"/>
      <c r="E562" s="152"/>
      <c r="F562" s="152"/>
      <c r="G562" s="152"/>
      <c r="H562" s="154"/>
      <c r="I562" s="154"/>
      <c r="J562" s="152"/>
      <c r="K562" s="154"/>
      <c r="L562" s="152"/>
      <c r="M562" s="152"/>
      <c r="N562" s="152"/>
      <c r="O562" s="161"/>
      <c r="R562" s="163"/>
      <c r="S562" s="154"/>
      <c r="T562" s="154"/>
      <c r="U562" s="247"/>
    </row>
    <row r="563" spans="1:21" x14ac:dyDescent="0.15">
      <c r="A563" s="149"/>
      <c r="B563" s="152"/>
      <c r="C563" s="154"/>
      <c r="D563" s="152"/>
      <c r="E563" s="152"/>
      <c r="F563" s="152"/>
      <c r="G563" s="152"/>
      <c r="H563" s="154"/>
      <c r="I563" s="154"/>
      <c r="J563" s="152"/>
      <c r="K563" s="154"/>
      <c r="L563" s="152"/>
      <c r="M563" s="152"/>
      <c r="N563" s="152"/>
      <c r="O563" s="161"/>
      <c r="R563" s="163"/>
      <c r="S563" s="154"/>
      <c r="T563" s="154"/>
      <c r="U563" s="247"/>
    </row>
    <row r="564" spans="1:21" x14ac:dyDescent="0.15">
      <c r="A564" s="149"/>
      <c r="B564" s="152"/>
      <c r="C564" s="154"/>
      <c r="D564" s="152"/>
      <c r="E564" s="152"/>
      <c r="F564" s="152"/>
      <c r="G564" s="152"/>
      <c r="H564" s="154"/>
      <c r="I564" s="154"/>
      <c r="J564" s="152"/>
      <c r="K564" s="154"/>
      <c r="L564" s="152"/>
      <c r="M564" s="152"/>
      <c r="N564" s="152"/>
      <c r="O564" s="161"/>
      <c r="R564" s="163"/>
      <c r="S564" s="154"/>
      <c r="T564" s="154"/>
      <c r="U564" s="247"/>
    </row>
    <row r="565" spans="1:21" x14ac:dyDescent="0.15">
      <c r="A565" s="149"/>
      <c r="B565" s="152"/>
      <c r="C565" s="154"/>
      <c r="D565" s="152"/>
      <c r="E565" s="152"/>
      <c r="F565" s="152"/>
      <c r="G565" s="152"/>
      <c r="H565" s="154"/>
      <c r="I565" s="154"/>
      <c r="J565" s="152"/>
      <c r="K565" s="154"/>
      <c r="L565" s="152"/>
      <c r="M565" s="152"/>
      <c r="N565" s="152"/>
      <c r="O565" s="161"/>
      <c r="R565" s="163"/>
      <c r="S565" s="154"/>
      <c r="T565" s="154"/>
      <c r="U565" s="247"/>
    </row>
    <row r="566" spans="1:21" x14ac:dyDescent="0.15">
      <c r="A566" s="149"/>
      <c r="B566" s="152"/>
      <c r="C566" s="154"/>
      <c r="D566" s="152"/>
      <c r="E566" s="152"/>
      <c r="F566" s="152"/>
      <c r="G566" s="152"/>
      <c r="H566" s="154"/>
      <c r="I566" s="154"/>
      <c r="J566" s="152"/>
      <c r="K566" s="154"/>
      <c r="L566" s="152"/>
      <c r="M566" s="152"/>
      <c r="N566" s="152"/>
      <c r="O566" s="161"/>
      <c r="R566" s="163"/>
      <c r="S566" s="154"/>
      <c r="T566" s="154"/>
      <c r="U566" s="247"/>
    </row>
    <row r="567" spans="1:21" x14ac:dyDescent="0.15">
      <c r="A567" s="149"/>
      <c r="B567" s="152"/>
      <c r="C567" s="154"/>
      <c r="D567" s="152"/>
      <c r="E567" s="152"/>
      <c r="F567" s="152"/>
      <c r="G567" s="152"/>
      <c r="H567" s="154"/>
      <c r="I567" s="154"/>
      <c r="J567" s="152"/>
      <c r="K567" s="154"/>
      <c r="L567" s="152"/>
      <c r="M567" s="152"/>
      <c r="N567" s="152"/>
      <c r="O567" s="161"/>
      <c r="R567" s="163"/>
      <c r="S567" s="154"/>
      <c r="T567" s="154"/>
      <c r="U567" s="247"/>
    </row>
    <row r="568" spans="1:21" x14ac:dyDescent="0.15">
      <c r="A568" s="149"/>
      <c r="B568" s="152"/>
      <c r="C568" s="154"/>
      <c r="D568" s="152"/>
      <c r="E568" s="152"/>
      <c r="F568" s="152"/>
      <c r="G568" s="152"/>
      <c r="H568" s="154"/>
      <c r="I568" s="154"/>
      <c r="J568" s="152"/>
      <c r="K568" s="154"/>
      <c r="L568" s="152"/>
      <c r="M568" s="152"/>
      <c r="N568" s="152"/>
      <c r="O568" s="161"/>
      <c r="R568" s="163"/>
      <c r="S568" s="154"/>
      <c r="T568" s="154"/>
      <c r="U568" s="247"/>
    </row>
    <row r="569" spans="1:21" x14ac:dyDescent="0.15">
      <c r="A569" s="149"/>
      <c r="B569" s="152"/>
      <c r="C569" s="154"/>
      <c r="D569" s="152"/>
      <c r="E569" s="152"/>
      <c r="F569" s="152"/>
      <c r="G569" s="152"/>
      <c r="H569" s="154"/>
      <c r="I569" s="154"/>
      <c r="J569" s="152"/>
      <c r="K569" s="154"/>
      <c r="L569" s="152"/>
      <c r="M569" s="152"/>
      <c r="N569" s="152"/>
      <c r="O569" s="161"/>
      <c r="R569" s="163"/>
      <c r="S569" s="154"/>
      <c r="T569" s="154"/>
      <c r="U569" s="247"/>
    </row>
    <row r="570" spans="1:21" x14ac:dyDescent="0.15">
      <c r="A570" s="149"/>
      <c r="B570" s="152"/>
      <c r="C570" s="154"/>
      <c r="D570" s="152"/>
      <c r="E570" s="152"/>
      <c r="F570" s="152"/>
      <c r="G570" s="152"/>
      <c r="H570" s="154"/>
      <c r="I570" s="154"/>
      <c r="J570" s="152"/>
      <c r="K570" s="154"/>
      <c r="L570" s="152"/>
      <c r="M570" s="152"/>
      <c r="N570" s="152"/>
      <c r="O570" s="161"/>
      <c r="R570" s="163"/>
      <c r="S570" s="154"/>
      <c r="T570" s="154"/>
      <c r="U570" s="247"/>
    </row>
    <row r="571" spans="1:21" x14ac:dyDescent="0.15">
      <c r="A571" s="149"/>
      <c r="B571" s="152"/>
      <c r="C571" s="154"/>
      <c r="D571" s="152"/>
      <c r="E571" s="152"/>
      <c r="F571" s="152"/>
      <c r="G571" s="152"/>
      <c r="H571" s="154"/>
      <c r="I571" s="154"/>
      <c r="J571" s="152"/>
      <c r="K571" s="154"/>
      <c r="L571" s="152"/>
      <c r="M571" s="152"/>
      <c r="N571" s="152"/>
      <c r="O571" s="161"/>
      <c r="R571" s="163"/>
      <c r="S571" s="154"/>
      <c r="T571" s="154"/>
      <c r="U571" s="247"/>
    </row>
    <row r="572" spans="1:21" x14ac:dyDescent="0.15">
      <c r="A572" s="149"/>
      <c r="B572" s="152"/>
      <c r="C572" s="154"/>
      <c r="D572" s="152"/>
      <c r="E572" s="152"/>
      <c r="F572" s="152"/>
      <c r="G572" s="152"/>
      <c r="H572" s="154"/>
      <c r="I572" s="154"/>
      <c r="J572" s="152"/>
      <c r="K572" s="154"/>
      <c r="L572" s="152"/>
      <c r="M572" s="152"/>
      <c r="N572" s="152"/>
      <c r="O572" s="161"/>
      <c r="R572" s="163"/>
      <c r="S572" s="154"/>
      <c r="T572" s="154"/>
      <c r="U572" s="247"/>
    </row>
    <row r="573" spans="1:21" x14ac:dyDescent="0.15">
      <c r="A573" s="149"/>
      <c r="B573" s="152"/>
      <c r="C573" s="154"/>
      <c r="D573" s="152"/>
      <c r="E573" s="152"/>
      <c r="F573" s="152"/>
      <c r="G573" s="152"/>
      <c r="H573" s="154"/>
      <c r="I573" s="154"/>
      <c r="J573" s="152"/>
      <c r="K573" s="154"/>
      <c r="L573" s="152"/>
      <c r="M573" s="152"/>
      <c r="N573" s="152"/>
      <c r="O573" s="161"/>
      <c r="R573" s="163"/>
      <c r="S573" s="154"/>
      <c r="T573" s="154"/>
      <c r="U573" s="247"/>
    </row>
    <row r="574" spans="1:21" x14ac:dyDescent="0.15">
      <c r="A574" s="149"/>
      <c r="B574" s="152"/>
      <c r="C574" s="154"/>
      <c r="D574" s="152"/>
      <c r="E574" s="152"/>
      <c r="F574" s="152"/>
      <c r="G574" s="152"/>
      <c r="H574" s="154"/>
      <c r="I574" s="154"/>
      <c r="J574" s="152"/>
      <c r="K574" s="154"/>
      <c r="L574" s="152"/>
      <c r="M574" s="152"/>
      <c r="N574" s="152"/>
      <c r="O574" s="161"/>
      <c r="R574" s="163"/>
      <c r="S574" s="154"/>
      <c r="T574" s="154"/>
      <c r="U574" s="247"/>
    </row>
    <row r="575" spans="1:21" x14ac:dyDescent="0.15">
      <c r="A575" s="149"/>
      <c r="B575" s="152"/>
      <c r="C575" s="154"/>
      <c r="D575" s="152"/>
      <c r="E575" s="152"/>
      <c r="F575" s="152"/>
      <c r="G575" s="152"/>
      <c r="H575" s="154"/>
      <c r="I575" s="154"/>
      <c r="J575" s="152"/>
      <c r="K575" s="154"/>
      <c r="L575" s="152"/>
      <c r="M575" s="152"/>
      <c r="N575" s="152"/>
      <c r="O575" s="161"/>
      <c r="R575" s="163"/>
      <c r="S575" s="154"/>
      <c r="T575" s="154"/>
      <c r="U575" s="247"/>
    </row>
    <row r="576" spans="1:21" x14ac:dyDescent="0.15">
      <c r="A576" s="149"/>
      <c r="B576" s="152"/>
      <c r="C576" s="154"/>
      <c r="D576" s="152"/>
      <c r="E576" s="152"/>
      <c r="F576" s="152"/>
      <c r="G576" s="152"/>
      <c r="H576" s="154"/>
      <c r="I576" s="154"/>
      <c r="J576" s="152"/>
      <c r="K576" s="154"/>
      <c r="L576" s="152"/>
      <c r="M576" s="152"/>
      <c r="N576" s="152"/>
      <c r="O576" s="161"/>
      <c r="R576" s="163"/>
      <c r="S576" s="154"/>
      <c r="T576" s="154"/>
      <c r="U576" s="247"/>
    </row>
    <row r="577" spans="1:21" x14ac:dyDescent="0.15">
      <c r="A577" s="149"/>
      <c r="B577" s="152"/>
      <c r="C577" s="154"/>
      <c r="D577" s="152"/>
      <c r="E577" s="152"/>
      <c r="F577" s="152"/>
      <c r="G577" s="152"/>
      <c r="H577" s="154"/>
      <c r="I577" s="154"/>
      <c r="J577" s="152"/>
      <c r="K577" s="154"/>
      <c r="L577" s="152"/>
      <c r="M577" s="152"/>
      <c r="N577" s="152"/>
      <c r="O577" s="161"/>
      <c r="R577" s="163"/>
      <c r="S577" s="154"/>
      <c r="T577" s="154"/>
      <c r="U577" s="247"/>
    </row>
    <row r="578" spans="1:21" x14ac:dyDescent="0.15">
      <c r="A578" s="149"/>
      <c r="B578" s="152"/>
      <c r="C578" s="154"/>
      <c r="D578" s="152"/>
      <c r="E578" s="152"/>
      <c r="F578" s="152"/>
      <c r="G578" s="152"/>
      <c r="H578" s="154"/>
      <c r="I578" s="154"/>
      <c r="J578" s="152"/>
      <c r="K578" s="154"/>
      <c r="L578" s="152"/>
      <c r="M578" s="152"/>
      <c r="N578" s="152"/>
      <c r="O578" s="161"/>
      <c r="R578" s="163"/>
      <c r="S578" s="154"/>
      <c r="T578" s="154"/>
      <c r="U578" s="247"/>
    </row>
    <row r="579" spans="1:21" x14ac:dyDescent="0.15">
      <c r="A579" s="149"/>
      <c r="B579" s="152"/>
      <c r="C579" s="154"/>
      <c r="D579" s="152"/>
      <c r="E579" s="152"/>
      <c r="F579" s="152"/>
      <c r="G579" s="152"/>
      <c r="H579" s="154"/>
      <c r="I579" s="154"/>
      <c r="J579" s="152"/>
      <c r="K579" s="154"/>
      <c r="L579" s="152"/>
      <c r="M579" s="152"/>
      <c r="N579" s="152"/>
      <c r="O579" s="161"/>
      <c r="R579" s="163"/>
      <c r="S579" s="154"/>
      <c r="T579" s="154"/>
      <c r="U579" s="247"/>
    </row>
    <row r="580" spans="1:21" x14ac:dyDescent="0.15">
      <c r="A580" s="149"/>
      <c r="B580" s="152"/>
      <c r="C580" s="154"/>
      <c r="D580" s="152"/>
      <c r="E580" s="152"/>
      <c r="F580" s="152"/>
      <c r="G580" s="152"/>
      <c r="H580" s="154"/>
      <c r="I580" s="154"/>
      <c r="J580" s="152"/>
      <c r="K580" s="154"/>
      <c r="L580" s="152"/>
      <c r="M580" s="152"/>
      <c r="N580" s="152"/>
      <c r="O580" s="161"/>
      <c r="R580" s="163"/>
      <c r="S580" s="154"/>
      <c r="T580" s="154"/>
      <c r="U580" s="247"/>
    </row>
    <row r="581" spans="1:21" x14ac:dyDescent="0.15">
      <c r="A581" s="149"/>
      <c r="B581" s="152"/>
      <c r="C581" s="154"/>
      <c r="D581" s="152"/>
      <c r="E581" s="152"/>
      <c r="F581" s="152"/>
      <c r="G581" s="152"/>
      <c r="H581" s="154"/>
      <c r="I581" s="154"/>
      <c r="J581" s="152"/>
      <c r="K581" s="154"/>
      <c r="L581" s="152"/>
      <c r="M581" s="152"/>
      <c r="N581" s="152"/>
      <c r="O581" s="161"/>
      <c r="R581" s="163"/>
      <c r="S581" s="154"/>
      <c r="T581" s="154"/>
      <c r="U581" s="247"/>
    </row>
    <row r="582" spans="1:21" x14ac:dyDescent="0.15">
      <c r="A582" s="149"/>
      <c r="B582" s="152"/>
      <c r="C582" s="154"/>
      <c r="D582" s="152"/>
      <c r="E582" s="152"/>
      <c r="F582" s="152"/>
      <c r="G582" s="152"/>
      <c r="H582" s="154"/>
      <c r="I582" s="154"/>
      <c r="J582" s="152"/>
      <c r="K582" s="154"/>
      <c r="L582" s="152"/>
      <c r="M582" s="152"/>
      <c r="N582" s="152"/>
      <c r="O582" s="161"/>
      <c r="R582" s="163"/>
      <c r="S582" s="154"/>
      <c r="T582" s="154"/>
      <c r="U582" s="247"/>
    </row>
    <row r="583" spans="1:21" x14ac:dyDescent="0.15">
      <c r="A583" s="149"/>
      <c r="B583" s="152"/>
      <c r="C583" s="154"/>
      <c r="D583" s="152"/>
      <c r="E583" s="152"/>
      <c r="F583" s="152"/>
      <c r="G583" s="152"/>
      <c r="H583" s="154"/>
      <c r="I583" s="154"/>
      <c r="J583" s="152"/>
      <c r="K583" s="154"/>
      <c r="L583" s="152"/>
      <c r="M583" s="152"/>
      <c r="N583" s="152"/>
      <c r="O583" s="161"/>
      <c r="R583" s="163"/>
      <c r="S583" s="154"/>
      <c r="T583" s="154"/>
      <c r="U583" s="247"/>
    </row>
    <row r="584" spans="1:21" x14ac:dyDescent="0.15">
      <c r="A584" s="149"/>
      <c r="B584" s="152"/>
      <c r="C584" s="154"/>
      <c r="D584" s="152"/>
      <c r="E584" s="152"/>
      <c r="F584" s="152"/>
      <c r="G584" s="152"/>
      <c r="H584" s="154"/>
      <c r="I584" s="154"/>
      <c r="J584" s="152"/>
      <c r="K584" s="154"/>
      <c r="L584" s="152"/>
      <c r="M584" s="152"/>
      <c r="N584" s="152"/>
      <c r="O584" s="161"/>
      <c r="R584" s="163"/>
      <c r="S584" s="154"/>
      <c r="T584" s="154"/>
      <c r="U584" s="247"/>
    </row>
    <row r="585" spans="1:21" x14ac:dyDescent="0.15">
      <c r="A585" s="149"/>
      <c r="B585" s="152"/>
      <c r="C585" s="154"/>
      <c r="D585" s="152"/>
      <c r="E585" s="152"/>
      <c r="F585" s="152"/>
      <c r="G585" s="152"/>
      <c r="H585" s="154"/>
      <c r="I585" s="154"/>
      <c r="J585" s="152"/>
      <c r="K585" s="154"/>
      <c r="L585" s="152"/>
      <c r="M585" s="152"/>
      <c r="N585" s="152"/>
      <c r="O585" s="161"/>
      <c r="R585" s="163"/>
      <c r="S585" s="154"/>
      <c r="T585" s="154"/>
      <c r="U585" s="247"/>
    </row>
    <row r="586" spans="1:21" x14ac:dyDescent="0.15">
      <c r="A586" s="149"/>
      <c r="B586" s="152"/>
      <c r="C586" s="154"/>
      <c r="D586" s="152"/>
      <c r="E586" s="152"/>
      <c r="F586" s="152"/>
      <c r="G586" s="152"/>
      <c r="H586" s="154"/>
      <c r="I586" s="154"/>
      <c r="J586" s="152"/>
      <c r="K586" s="154"/>
      <c r="L586" s="152"/>
      <c r="M586" s="152"/>
      <c r="N586" s="152"/>
      <c r="O586" s="161"/>
      <c r="R586" s="163"/>
      <c r="S586" s="154"/>
      <c r="T586" s="154"/>
      <c r="U586" s="247"/>
    </row>
    <row r="587" spans="1:21" x14ac:dyDescent="0.15">
      <c r="A587" s="149"/>
      <c r="B587" s="152"/>
      <c r="C587" s="154"/>
      <c r="D587" s="152"/>
      <c r="E587" s="152"/>
      <c r="F587" s="152"/>
      <c r="G587" s="152"/>
      <c r="H587" s="154"/>
      <c r="I587" s="154"/>
      <c r="J587" s="152"/>
      <c r="K587" s="154"/>
      <c r="L587" s="152"/>
      <c r="M587" s="152"/>
      <c r="N587" s="152"/>
      <c r="O587" s="161"/>
      <c r="R587" s="163"/>
      <c r="S587" s="154"/>
      <c r="T587" s="154"/>
      <c r="U587" s="247"/>
    </row>
    <row r="588" spans="1:21" x14ac:dyDescent="0.15">
      <c r="A588" s="149"/>
      <c r="B588" s="152"/>
      <c r="C588" s="154"/>
      <c r="D588" s="152"/>
      <c r="E588" s="152"/>
      <c r="F588" s="152"/>
      <c r="G588" s="152"/>
      <c r="H588" s="154"/>
      <c r="I588" s="154"/>
      <c r="J588" s="152"/>
      <c r="K588" s="154"/>
      <c r="L588" s="152"/>
      <c r="M588" s="152"/>
      <c r="N588" s="152"/>
      <c r="O588" s="161"/>
      <c r="R588" s="163"/>
      <c r="S588" s="154"/>
      <c r="T588" s="154"/>
      <c r="U588" s="247"/>
    </row>
    <row r="589" spans="1:21" x14ac:dyDescent="0.15">
      <c r="A589" s="149"/>
      <c r="B589" s="152"/>
      <c r="C589" s="154"/>
      <c r="D589" s="152"/>
      <c r="E589" s="152"/>
      <c r="F589" s="152"/>
      <c r="G589" s="152"/>
      <c r="H589" s="154"/>
      <c r="I589" s="154"/>
      <c r="J589" s="152"/>
      <c r="K589" s="154"/>
      <c r="L589" s="152"/>
      <c r="M589" s="152"/>
      <c r="N589" s="152"/>
      <c r="O589" s="161"/>
      <c r="R589" s="163"/>
      <c r="S589" s="154"/>
      <c r="T589" s="154"/>
      <c r="U589" s="247"/>
    </row>
  </sheetData>
  <autoFilter ref="A1:AB121" xr:uid="{CC10B5F5-06A1-4773-8111-49967E0A2CB9}">
    <filterColumn colId="14">
      <filters>
        <filter val="Cierre y Negociacón"/>
        <filter val="ODS"/>
      </filters>
    </filterColumn>
  </autoFilter>
  <dataValidations count="1">
    <dataValidation allowBlank="1" showInputMessage="1" showErrorMessage="1" error="Probabilidad debe ser entre 0 y 100" sqref="J1:L1" xr:uid="{D87D8582-ABAE-464A-B0AC-B9EB5CE3A28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2B27799-98A2-4970-82AA-0AA5090BE414}">
          <x14:formula1>
            <xm:f>Categorias!$C$50:$C$57</xm:f>
          </x14:formula1>
          <xm:sqref>O2:O1048576</xm:sqref>
        </x14:dataValidation>
        <x14:dataValidation type="list" allowBlank="1" showInputMessage="1" showErrorMessage="1" xr:uid="{CC175890-767F-4CFC-9758-45D561591164}">
          <x14:formula1>
            <xm:f>Categorias!$C$2:$C$5</xm:f>
          </x14:formula1>
          <xm:sqref>B2:B1048576</xm:sqref>
        </x14:dataValidation>
        <x14:dataValidation type="list" allowBlank="1" showInputMessage="1" showErrorMessage="1" xr:uid="{D37DAA5F-B828-48BD-BC67-5EFAF710F2C0}">
          <x14:formula1>
            <xm:f>Categorias!$C$8:$C$12</xm:f>
          </x14:formula1>
          <xm:sqref>F2:F1048576</xm:sqref>
        </x14:dataValidation>
        <x14:dataValidation type="list" allowBlank="1" showInputMessage="1" showErrorMessage="1" xr:uid="{1C471EF6-E347-43C3-A95D-265E82217130}">
          <x14:formula1>
            <xm:f>Categorias!$C$15:$C$29</xm:f>
          </x14:formula1>
          <xm:sqref>G2:G1048576</xm:sqref>
        </x14:dataValidation>
        <x14:dataValidation type="list" allowBlank="1" showInputMessage="1" showErrorMessage="1" xr:uid="{69A91C0D-BE12-4A87-8305-03D54694A1F7}">
          <x14:formula1>
            <xm:f>Categorias!$C$32:$C$35</xm:f>
          </x14:formula1>
          <xm:sqref>L2:L1048576</xm:sqref>
        </x14:dataValidation>
        <x14:dataValidation type="list" allowBlank="1" showInputMessage="1" showErrorMessage="1" xr:uid="{A0F8CA20-77E5-4942-A690-34486F7B89B0}">
          <x14:formula1>
            <xm:f>Categorias!$C$38:$C$40</xm:f>
          </x14:formula1>
          <xm:sqref>M2:M1048576</xm:sqref>
        </x14:dataValidation>
        <x14:dataValidation type="list" allowBlank="1" showInputMessage="1" showErrorMessage="1" xr:uid="{7A32BDE8-BAD6-4382-9045-3B97BC939618}">
          <x14:formula1>
            <xm:f>Categorias!$C$60:$C$64</xm:f>
          </x14:formula1>
          <xm:sqref>R2:R1048576</xm:sqref>
        </x14:dataValidation>
        <x14:dataValidation type="list" allowBlank="1" showInputMessage="1" showErrorMessage="1" xr:uid="{943E82B9-83E9-400A-A07B-7AD409D8A034}">
          <x14:formula1>
            <xm:f>Categorias!$C$43:$C$48</xm:f>
          </x14:formula1>
          <xm:sqref>N2:N1048576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E567-7664-49A5-9C93-71F0580F44ED}">
  <dimension ref="A1:J5"/>
  <sheetViews>
    <sheetView workbookViewId="0">
      <selection sqref="A1:J5"/>
    </sheetView>
  </sheetViews>
  <sheetFormatPr baseColWidth="10" defaultColWidth="11.5" defaultRowHeight="15" x14ac:dyDescent="0.2"/>
  <cols>
    <col min="3" max="3" width="54.5" bestFit="1" customWidth="1"/>
    <col min="4" max="4" width="13" bestFit="1" customWidth="1"/>
  </cols>
  <sheetData>
    <row r="1" spans="1:10" x14ac:dyDescent="0.2">
      <c r="A1" s="144" t="s">
        <v>59</v>
      </c>
      <c r="B1" s="144" t="s">
        <v>39</v>
      </c>
      <c r="C1" s="145" t="s">
        <v>66</v>
      </c>
      <c r="D1" s="144" t="s">
        <v>64</v>
      </c>
      <c r="E1" s="144" t="s">
        <v>65</v>
      </c>
      <c r="F1" s="144" t="s">
        <v>477</v>
      </c>
      <c r="G1" s="145" t="s">
        <v>388</v>
      </c>
      <c r="H1" s="146" t="s">
        <v>67</v>
      </c>
      <c r="I1" s="145" t="s">
        <v>340</v>
      </c>
      <c r="J1" s="145" t="s">
        <v>397</v>
      </c>
    </row>
    <row r="2" spans="1:10" x14ac:dyDescent="0.2">
      <c r="A2" s="149">
        <v>1</v>
      </c>
      <c r="B2" s="152" t="s">
        <v>49</v>
      </c>
      <c r="C2" s="154" t="s">
        <v>387</v>
      </c>
      <c r="D2" s="152" t="s">
        <v>68</v>
      </c>
      <c r="E2" s="152" t="s">
        <v>69</v>
      </c>
      <c r="F2" s="152" t="s">
        <v>486</v>
      </c>
      <c r="G2" s="152" t="s">
        <v>351</v>
      </c>
      <c r="H2" s="153">
        <v>1380000</v>
      </c>
      <c r="I2" s="152">
        <v>5</v>
      </c>
      <c r="J2" s="153">
        <v>276000</v>
      </c>
    </row>
    <row r="3" spans="1:10" x14ac:dyDescent="0.2">
      <c r="A3" s="149">
        <v>2</v>
      </c>
      <c r="B3" s="152" t="s">
        <v>49</v>
      </c>
      <c r="C3" s="254" t="s">
        <v>563</v>
      </c>
      <c r="D3" s="152" t="s">
        <v>68</v>
      </c>
      <c r="E3" s="152" t="s">
        <v>69</v>
      </c>
      <c r="F3" s="150" t="s">
        <v>392</v>
      </c>
      <c r="G3" s="152" t="s">
        <v>353</v>
      </c>
      <c r="H3" s="153">
        <v>390000</v>
      </c>
      <c r="I3" s="152">
        <v>3</v>
      </c>
      <c r="J3" s="153">
        <v>130000</v>
      </c>
    </row>
    <row r="4" spans="1:10" x14ac:dyDescent="0.2">
      <c r="A4" s="149">
        <v>3</v>
      </c>
      <c r="B4" s="152" t="s">
        <v>49</v>
      </c>
      <c r="C4" s="254" t="s">
        <v>637</v>
      </c>
      <c r="D4" s="152" t="s">
        <v>638</v>
      </c>
      <c r="E4" s="152" t="s">
        <v>383</v>
      </c>
      <c r="F4" s="152" t="s">
        <v>486</v>
      </c>
      <c r="G4" s="152" t="s">
        <v>351</v>
      </c>
      <c r="H4" s="153">
        <v>381000</v>
      </c>
      <c r="I4" s="152">
        <v>3</v>
      </c>
      <c r="J4" s="153">
        <v>127000</v>
      </c>
    </row>
    <row r="5" spans="1:10" x14ac:dyDescent="0.2">
      <c r="A5" s="149">
        <v>4</v>
      </c>
      <c r="B5" s="152" t="s">
        <v>49</v>
      </c>
      <c r="C5" s="154" t="s">
        <v>641</v>
      </c>
      <c r="D5" s="152" t="s">
        <v>642</v>
      </c>
      <c r="E5" s="152" t="s">
        <v>74</v>
      </c>
      <c r="F5" s="152" t="s">
        <v>486</v>
      </c>
      <c r="G5" s="152" t="s">
        <v>351</v>
      </c>
      <c r="H5" s="153">
        <v>638000</v>
      </c>
      <c r="I5" s="152">
        <v>4.5</v>
      </c>
      <c r="J5" s="153">
        <v>141777.77777777778</v>
      </c>
    </row>
  </sheetData>
  <dataValidations count="1">
    <dataValidation allowBlank="1" showInputMessage="1" showErrorMessage="1" error="Probabilidad debe ser entre 0 y 100" sqref="I1:J1" xr:uid="{79AE5020-1EEE-48C4-A634-D0F1150C4A5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5A8DCF5-4AB9-4249-B08B-978CDEC9F379}">
          <x14:formula1>
            <xm:f>Categorias!$C$15:$C$29</xm:f>
          </x14:formula1>
          <xm:sqref>G2:G5</xm:sqref>
        </x14:dataValidation>
        <x14:dataValidation type="list" allowBlank="1" showInputMessage="1" showErrorMessage="1" xr:uid="{6FABEBA7-D581-42DB-8EB0-B3D1AE96875F}">
          <x14:formula1>
            <xm:f>Categorias!$C$8:$C$12</xm:f>
          </x14:formula1>
          <xm:sqref>F2:F5</xm:sqref>
        </x14:dataValidation>
        <x14:dataValidation type="list" allowBlank="1" showInputMessage="1" showErrorMessage="1" xr:uid="{3DF36400-C1A1-4C40-A3B2-EF968BBA9012}">
          <x14:formula1>
            <xm:f>Categorias!$C$2:$C$5</xm:f>
          </x14:formula1>
          <xm:sqref>B2:B5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1CA4-2A3C-491A-96E0-437839A8A0FD}">
  <dimension ref="A3:K26"/>
  <sheetViews>
    <sheetView workbookViewId="0">
      <selection activeCell="B16" sqref="B16"/>
    </sheetView>
  </sheetViews>
  <sheetFormatPr baseColWidth="10" defaultColWidth="11.5" defaultRowHeight="15" x14ac:dyDescent="0.2"/>
  <cols>
    <col min="1" max="1" width="18" bestFit="1" customWidth="1"/>
    <col min="2" max="2" width="20.33203125" bestFit="1" customWidth="1"/>
    <col min="3" max="3" width="19.5" bestFit="1" customWidth="1"/>
    <col min="4" max="4" width="22.1640625" bestFit="1" customWidth="1"/>
    <col min="5" max="5" width="9.1640625" bestFit="1" customWidth="1"/>
    <col min="6" max="6" width="12.33203125" bestFit="1" customWidth="1"/>
    <col min="7" max="7" width="9.1640625" bestFit="1" customWidth="1"/>
    <col min="8" max="8" width="11" bestFit="1" customWidth="1"/>
    <col min="9" max="9" width="11.1640625" bestFit="1" customWidth="1"/>
    <col min="10" max="10" width="11.83203125" bestFit="1" customWidth="1"/>
    <col min="11" max="11" width="13.6640625" bestFit="1" customWidth="1"/>
  </cols>
  <sheetData>
    <row r="3" spans="1:9" x14ac:dyDescent="0.2">
      <c r="A3" s="167" t="s">
        <v>586</v>
      </c>
      <c r="B3" s="167" t="s">
        <v>574</v>
      </c>
    </row>
    <row r="4" spans="1:9" x14ac:dyDescent="0.2">
      <c r="A4" s="167" t="s">
        <v>575</v>
      </c>
      <c r="B4" t="s">
        <v>481</v>
      </c>
      <c r="C4" t="s">
        <v>475</v>
      </c>
      <c r="D4" t="s">
        <v>479</v>
      </c>
      <c r="E4" t="s">
        <v>483</v>
      </c>
      <c r="F4" t="s">
        <v>356</v>
      </c>
      <c r="G4" t="s">
        <v>470</v>
      </c>
      <c r="H4" t="s">
        <v>406</v>
      </c>
      <c r="I4" t="s">
        <v>58</v>
      </c>
    </row>
    <row r="5" spans="1:9" x14ac:dyDescent="0.2">
      <c r="A5" s="110" t="s">
        <v>51</v>
      </c>
      <c r="B5" s="63">
        <v>140000</v>
      </c>
      <c r="C5" s="63">
        <v>1348000</v>
      </c>
      <c r="D5" s="63">
        <v>120000</v>
      </c>
      <c r="E5" s="63">
        <v>1867000</v>
      </c>
      <c r="F5" s="63">
        <v>657000</v>
      </c>
      <c r="G5" s="63"/>
      <c r="H5" s="63">
        <v>1272000</v>
      </c>
      <c r="I5" s="63">
        <v>5404000</v>
      </c>
    </row>
    <row r="6" spans="1:9" x14ac:dyDescent="0.2">
      <c r="A6" s="110" t="s">
        <v>49</v>
      </c>
      <c r="B6" s="63">
        <v>221000</v>
      </c>
      <c r="C6" s="63">
        <v>1826000</v>
      </c>
      <c r="D6" s="63">
        <v>1150000</v>
      </c>
      <c r="E6" s="63">
        <v>2340000</v>
      </c>
      <c r="F6" s="63">
        <v>460000</v>
      </c>
      <c r="G6" s="63">
        <v>670000</v>
      </c>
      <c r="H6" s="63">
        <v>3249000</v>
      </c>
      <c r="I6" s="63">
        <v>9916000</v>
      </c>
    </row>
    <row r="7" spans="1:9" x14ac:dyDescent="0.2">
      <c r="A7" s="110" t="s">
        <v>54</v>
      </c>
      <c r="B7" s="63"/>
      <c r="C7" s="63"/>
      <c r="D7" s="63"/>
      <c r="E7" s="63">
        <v>3750000</v>
      </c>
      <c r="F7" s="63"/>
      <c r="G7" s="63">
        <v>116000</v>
      </c>
      <c r="H7" s="63">
        <v>906000</v>
      </c>
      <c r="I7" s="63">
        <v>4772000</v>
      </c>
    </row>
    <row r="8" spans="1:9" x14ac:dyDescent="0.2">
      <c r="A8" s="110" t="s">
        <v>56</v>
      </c>
      <c r="B8" s="63">
        <v>260000</v>
      </c>
      <c r="C8" s="63">
        <v>160000</v>
      </c>
      <c r="D8" s="63">
        <v>800000</v>
      </c>
      <c r="E8" s="63">
        <v>830000</v>
      </c>
      <c r="F8" s="63">
        <v>558000</v>
      </c>
      <c r="G8" s="63">
        <v>1285000</v>
      </c>
      <c r="H8" s="63">
        <v>375700</v>
      </c>
      <c r="I8" s="63">
        <v>4268700</v>
      </c>
    </row>
    <row r="9" spans="1:9" x14ac:dyDescent="0.2">
      <c r="A9" s="110" t="s">
        <v>58</v>
      </c>
      <c r="B9" s="63">
        <v>621000</v>
      </c>
      <c r="C9" s="63">
        <v>3334000</v>
      </c>
      <c r="D9" s="63">
        <v>2070000</v>
      </c>
      <c r="E9" s="63">
        <v>8787000</v>
      </c>
      <c r="F9" s="63">
        <v>1675000</v>
      </c>
      <c r="G9" s="63">
        <v>2071000</v>
      </c>
      <c r="H9" s="63">
        <v>5802700</v>
      </c>
      <c r="I9" s="63">
        <v>24360700</v>
      </c>
    </row>
    <row r="13" spans="1:9" x14ac:dyDescent="0.2">
      <c r="A13" s="3" t="s">
        <v>39</v>
      </c>
      <c r="B13" s="3" t="s">
        <v>483</v>
      </c>
      <c r="C13" s="3" t="s">
        <v>479</v>
      </c>
      <c r="D13" s="3" t="s">
        <v>475</v>
      </c>
      <c r="E13" s="3" t="s">
        <v>406</v>
      </c>
      <c r="F13" s="3" t="s">
        <v>481</v>
      </c>
      <c r="G13" s="3" t="s">
        <v>470</v>
      </c>
      <c r="H13" s="3" t="s">
        <v>58</v>
      </c>
    </row>
    <row r="14" spans="1:9" x14ac:dyDescent="0.2">
      <c r="A14" s="100" t="s">
        <v>51</v>
      </c>
      <c r="B14" s="22">
        <f>GETPIVOTDATA("Monto (USD)",$A$3,"País","Brasil","Etapa","Iniciativa ")/1000000</f>
        <v>1.867</v>
      </c>
      <c r="C14" s="22">
        <f>GETPIVOTDATA("Monto (USD)",$A$3,"País","Brasil","Etapa","Contacto Inicial (Enganche)")/1000000</f>
        <v>0.12</v>
      </c>
      <c r="D14" s="22">
        <f>GETPIVOTDATA("Monto (USD)",$A$3,"País","Brasil","Etapa","Construcción Propuesta")/1000000</f>
        <v>1.3480000000000001</v>
      </c>
      <c r="E14" s="22">
        <f>GETPIVOTDATA("Monto (USD)",$A$3,"País","Brasil","Etapa","Seguimiento")/1000000</f>
        <v>1.272</v>
      </c>
      <c r="F14" s="22">
        <f>GETPIVOTDATA("Monto (USD)",$A$3,"País","Brasil","Etapa","Cierre y Negociacón")/1000000</f>
        <v>0.14000000000000001</v>
      </c>
      <c r="G14" s="22">
        <f>GETPIVOTDATA("Monto (USD)",$A$3,"País","Brasil","Etapa","ODS")/1000000</f>
        <v>0</v>
      </c>
      <c r="H14" s="245">
        <f>+SUM(B14:F14)</f>
        <v>4.7469999999999999</v>
      </c>
    </row>
    <row r="15" spans="1:9" x14ac:dyDescent="0.2">
      <c r="A15" s="100" t="s">
        <v>49</v>
      </c>
      <c r="B15" s="22">
        <f>GETPIVOTDATA("Monto (USD)",$A$3,"País","Chile","Etapa","Iniciativa ")/1000000</f>
        <v>2.34</v>
      </c>
      <c r="C15" s="22">
        <f>GETPIVOTDATA("Monto (USD)",$A$3,"País","Chile","Etapa","Contacto Inicial (Enganche)")/1000000</f>
        <v>1.1499999999999999</v>
      </c>
      <c r="D15" s="22">
        <f>GETPIVOTDATA("Monto (USD)",$A$3,"País","Chile","Etapa","Construcción Propuesta")/1000000</f>
        <v>1.8260000000000001</v>
      </c>
      <c r="E15" s="22">
        <f>GETPIVOTDATA("Monto (USD)",$A$3,"País","Chile","Etapa","Seguimiento")/1000000</f>
        <v>3.2490000000000001</v>
      </c>
      <c r="F15" s="22">
        <f>GETPIVOTDATA("Monto (USD)",$A$3,"País","Chile","Etapa","Cierre y Negociacón")/1000000</f>
        <v>0.221</v>
      </c>
      <c r="G15" s="22">
        <f>GETPIVOTDATA("Monto (USD)",$A$3,"País","Chile","Etapa","ODS")/1000000</f>
        <v>0.67</v>
      </c>
      <c r="H15" s="245">
        <f t="shared" ref="H15:H18" si="0">+SUM(B15:F15)</f>
        <v>8.7859999999999996</v>
      </c>
    </row>
    <row r="16" spans="1:9" x14ac:dyDescent="0.2">
      <c r="A16" s="100" t="s">
        <v>54</v>
      </c>
      <c r="B16" s="22">
        <f>GETPIVOTDATA("Monto (USD)",$A$3,"País","EEUU","Etapa","Iniciativa ")/1000000</f>
        <v>3.75</v>
      </c>
      <c r="C16" s="22">
        <f>GETPIVOTDATA("Monto (USD)",$A$3,"País","EEUU","Etapa","Contacto Inicial (Enganche)")/1000000</f>
        <v>0</v>
      </c>
      <c r="D16" s="22">
        <f>GETPIVOTDATA("Monto (USD)",$A$3,"País","EEUU","Etapa","Construcción Propuesta")/1000000</f>
        <v>0</v>
      </c>
      <c r="E16" s="22">
        <f>GETPIVOTDATA("Monto (USD)",$A$3,"País","EEUU","Etapa","Seguimiento")/1000000</f>
        <v>0.90600000000000003</v>
      </c>
      <c r="F16" s="22">
        <f>GETPIVOTDATA("Monto (USD)",$A$3,"País","EEUU","Etapa","Cierre y Negociacón")/1000000</f>
        <v>0</v>
      </c>
      <c r="G16" s="22">
        <f>GETPIVOTDATA("Monto (USD)",$A$3,"País","EEUU","Etapa","ODS")/1000000</f>
        <v>0.11600000000000001</v>
      </c>
      <c r="H16" s="245">
        <f t="shared" si="0"/>
        <v>4.6559999999999997</v>
      </c>
    </row>
    <row r="17" spans="1:11" x14ac:dyDescent="0.2">
      <c r="A17" s="100" t="s">
        <v>56</v>
      </c>
      <c r="B17" s="22">
        <f>GETPIVOTDATA("Monto (USD)",$A$3,"País","Perú","Etapa","Iniciativa ")/1000000</f>
        <v>0.83</v>
      </c>
      <c r="C17" s="22">
        <f>GETPIVOTDATA("Monto (USD)",$A$3,"País","Perú","Etapa","Contacto Inicial (Enganche)")/1000000</f>
        <v>0.8</v>
      </c>
      <c r="D17" s="22">
        <f>GETPIVOTDATA("Monto (USD)",$A$3,"País","Perú","Etapa","Construcción Propuesta")/1000000</f>
        <v>0.16</v>
      </c>
      <c r="E17" s="22">
        <f>GETPIVOTDATA("Monto (USD)",$A$3,"País","Perú","Etapa","Seguimiento")/1000000</f>
        <v>0.37569999999999998</v>
      </c>
      <c r="F17" s="22">
        <f>GETPIVOTDATA("Monto (USD)",$A$3,"País","Perú","Etapa","Cierre y Negociacón")/1000000</f>
        <v>0.26</v>
      </c>
      <c r="G17" s="22">
        <f>GETPIVOTDATA("Monto (USD)",$A$3,"País","Perú","Etapa","ODS")/1000000</f>
        <v>1.2849999999999999</v>
      </c>
      <c r="H17" s="245">
        <f t="shared" si="0"/>
        <v>2.4257</v>
      </c>
    </row>
    <row r="18" spans="1:11" x14ac:dyDescent="0.2">
      <c r="A18" s="246" t="s">
        <v>58</v>
      </c>
      <c r="B18" s="266">
        <f t="shared" ref="B18:F18" si="1">+SUM(B14:B17)</f>
        <v>8.786999999999999</v>
      </c>
      <c r="C18" s="266">
        <f t="shared" si="1"/>
        <v>2.0700000000000003</v>
      </c>
      <c r="D18" s="266">
        <f t="shared" si="1"/>
        <v>3.3340000000000005</v>
      </c>
      <c r="E18" s="266">
        <f t="shared" si="1"/>
        <v>5.8026999999999997</v>
      </c>
      <c r="F18" s="266">
        <f t="shared" si="1"/>
        <v>0.621</v>
      </c>
      <c r="G18" s="266">
        <f>+SUM(G14:G17)</f>
        <v>2.0709999999999997</v>
      </c>
      <c r="H18" s="266">
        <f t="shared" si="0"/>
        <v>20.614699999999996</v>
      </c>
    </row>
    <row r="21" spans="1:11" x14ac:dyDescent="0.2">
      <c r="K21" s="288"/>
    </row>
    <row r="22" spans="1:11" x14ac:dyDescent="0.2">
      <c r="K22" s="288"/>
    </row>
    <row r="23" spans="1:11" x14ac:dyDescent="0.2">
      <c r="K23" s="288">
        <v>10000000</v>
      </c>
    </row>
    <row r="24" spans="1:11" x14ac:dyDescent="0.2">
      <c r="K24" s="288">
        <v>13000000</v>
      </c>
    </row>
    <row r="25" spans="1:11" x14ac:dyDescent="0.2">
      <c r="K25" s="288">
        <v>7000000</v>
      </c>
    </row>
    <row r="26" spans="1:11" x14ac:dyDescent="0.2">
      <c r="K26" s="288">
        <f>SUM(K22:K25)</f>
        <v>30000000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7925-A178-4CD8-9AE3-BE1B8F2A7AF1}">
  <dimension ref="B1:BP85"/>
  <sheetViews>
    <sheetView workbookViewId="0"/>
  </sheetViews>
  <sheetFormatPr baseColWidth="10" defaultColWidth="11.5" defaultRowHeight="15" outlineLevelCol="1" x14ac:dyDescent="0.2"/>
  <cols>
    <col min="1" max="1" width="4.1640625" customWidth="1"/>
    <col min="2" max="2" width="7.1640625" customWidth="1"/>
    <col min="3" max="3" width="15" bestFit="1" customWidth="1"/>
    <col min="4" max="4" width="47.33203125" bestFit="1" customWidth="1"/>
    <col min="5" max="12" width="10.83203125" customWidth="1" outlineLevel="1"/>
    <col min="13" max="13" width="14.33203125" customWidth="1"/>
    <col min="14" max="15" width="0" hidden="1" customWidth="1"/>
    <col min="16" max="20" width="14.33203125" customWidth="1"/>
    <col min="21" max="26" width="10.83203125" customWidth="1" outlineLevel="1"/>
    <col min="27" max="31" width="14.6640625" customWidth="1"/>
    <col min="32" max="32" width="0" hidden="1" customWidth="1"/>
    <col min="33" max="37" width="11.5" bestFit="1" customWidth="1"/>
    <col min="38" max="38" width="35.83203125" bestFit="1" customWidth="1"/>
    <col min="39" max="49" width="11.5" bestFit="1" customWidth="1"/>
    <col min="50" max="50" width="34.6640625" bestFit="1" customWidth="1"/>
    <col min="51" max="51" width="11.5" customWidth="1"/>
    <col min="52" max="56" width="22.1640625" customWidth="1"/>
    <col min="57" max="57" width="16.5" customWidth="1"/>
    <col min="58" max="58" width="11.5" bestFit="1" customWidth="1"/>
    <col min="59" max="59" width="35" bestFit="1" customWidth="1"/>
    <col min="60" max="73" width="11.5" bestFit="1" customWidth="1"/>
  </cols>
  <sheetData>
    <row r="1" spans="2:68" x14ac:dyDescent="0.2">
      <c r="D1" s="290"/>
      <c r="M1" s="290">
        <v>0.25</v>
      </c>
      <c r="P1" s="290">
        <v>0.2</v>
      </c>
      <c r="Q1" s="290">
        <v>0.15</v>
      </c>
      <c r="R1" s="290">
        <v>0.2</v>
      </c>
      <c r="S1" s="290">
        <v>0.1</v>
      </c>
      <c r="T1" s="290">
        <v>0.1</v>
      </c>
      <c r="AA1" s="290">
        <v>0.2</v>
      </c>
      <c r="AB1" s="290">
        <v>0.35</v>
      </c>
      <c r="AC1" s="290">
        <v>0.15</v>
      </c>
      <c r="AD1" s="290">
        <v>0.15</v>
      </c>
      <c r="AE1" s="290">
        <v>0.15</v>
      </c>
    </row>
    <row r="2" spans="2:68" x14ac:dyDescent="0.2">
      <c r="B2" s="52"/>
      <c r="C2" s="52"/>
      <c r="D2" s="52"/>
      <c r="E2" s="291" t="s">
        <v>705</v>
      </c>
      <c r="F2" s="291"/>
      <c r="G2" s="291"/>
      <c r="H2" s="107"/>
      <c r="I2" s="52"/>
      <c r="J2" s="52"/>
      <c r="K2" s="52"/>
      <c r="L2" s="52"/>
      <c r="M2" s="333" t="s">
        <v>706</v>
      </c>
      <c r="N2" s="333"/>
      <c r="O2" s="333"/>
      <c r="P2" s="333"/>
      <c r="Q2" s="333"/>
      <c r="R2" s="333"/>
      <c r="S2" s="333"/>
      <c r="T2" s="333"/>
      <c r="U2" s="293" t="s">
        <v>707</v>
      </c>
      <c r="V2" s="293"/>
      <c r="W2" s="293"/>
      <c r="X2" s="293"/>
      <c r="Y2" s="294"/>
      <c r="Z2" s="293"/>
      <c r="AA2" s="333" t="s">
        <v>708</v>
      </c>
      <c r="AB2" s="333"/>
      <c r="AC2" s="333"/>
      <c r="AD2" s="333"/>
      <c r="AE2" s="333"/>
      <c r="AF2" s="52"/>
      <c r="AI2" s="295" t="s">
        <v>709</v>
      </c>
      <c r="AJ2" s="270" t="s">
        <v>710</v>
      </c>
      <c r="AK2" s="270" t="s">
        <v>711</v>
      </c>
      <c r="AX2" s="329" t="s">
        <v>712</v>
      </c>
      <c r="AY2" s="329" t="s">
        <v>713</v>
      </c>
      <c r="AZ2" s="330" t="s">
        <v>714</v>
      </c>
      <c r="BA2" s="331"/>
      <c r="BB2" s="331"/>
      <c r="BC2" s="331"/>
      <c r="BD2" s="332"/>
      <c r="BG2" s="329" t="s">
        <v>712</v>
      </c>
      <c r="BH2" s="329" t="s">
        <v>713</v>
      </c>
      <c r="BI2" s="330" t="s">
        <v>714</v>
      </c>
      <c r="BJ2" s="331"/>
      <c r="BK2" s="331"/>
      <c r="BL2" s="331"/>
      <c r="BM2" s="332"/>
    </row>
    <row r="3" spans="2:68" x14ac:dyDescent="0.2">
      <c r="B3" s="292" t="s">
        <v>715</v>
      </c>
      <c r="C3" s="292" t="s">
        <v>716</v>
      </c>
      <c r="D3" s="292" t="s">
        <v>717</v>
      </c>
      <c r="E3" s="296" t="s">
        <v>718</v>
      </c>
      <c r="F3" s="296" t="s">
        <v>719</v>
      </c>
      <c r="G3" s="296" t="s">
        <v>720</v>
      </c>
      <c r="H3" s="296" t="s">
        <v>721</v>
      </c>
      <c r="I3" s="296" t="s">
        <v>722</v>
      </c>
      <c r="J3" s="296" t="s">
        <v>723</v>
      </c>
      <c r="K3" s="296" t="s">
        <v>423</v>
      </c>
      <c r="L3" s="296" t="s">
        <v>724</v>
      </c>
      <c r="M3" s="292" t="s">
        <v>718</v>
      </c>
      <c r="N3" s="292" t="s">
        <v>719</v>
      </c>
      <c r="O3" s="292" t="s">
        <v>720</v>
      </c>
      <c r="P3" s="292" t="s">
        <v>721</v>
      </c>
      <c r="Q3" s="292" t="s">
        <v>722</v>
      </c>
      <c r="R3" s="292" t="s">
        <v>723</v>
      </c>
      <c r="S3" s="292" t="s">
        <v>423</v>
      </c>
      <c r="T3" s="297" t="s">
        <v>724</v>
      </c>
      <c r="U3" s="292" t="s">
        <v>725</v>
      </c>
      <c r="V3" s="292" t="s">
        <v>726</v>
      </c>
      <c r="W3" s="292" t="s">
        <v>727</v>
      </c>
      <c r="X3" s="297" t="s">
        <v>728</v>
      </c>
      <c r="Y3" s="297" t="s">
        <v>729</v>
      </c>
      <c r="Z3" s="297" t="s">
        <v>730</v>
      </c>
      <c r="AA3" s="297" t="s">
        <v>725</v>
      </c>
      <c r="AB3" s="292" t="s">
        <v>726</v>
      </c>
      <c r="AC3" s="292" t="s">
        <v>727</v>
      </c>
      <c r="AD3" s="292" t="s">
        <v>728</v>
      </c>
      <c r="AE3" s="292" t="s">
        <v>729</v>
      </c>
      <c r="AF3" s="292"/>
      <c r="AI3" s="270">
        <v>1</v>
      </c>
      <c r="AJ3" s="42">
        <v>1</v>
      </c>
      <c r="AK3" s="42">
        <v>3</v>
      </c>
      <c r="AX3" s="329"/>
      <c r="AY3" s="329"/>
      <c r="AZ3" s="270">
        <v>1</v>
      </c>
      <c r="BA3" s="270">
        <v>2</v>
      </c>
      <c r="BB3" s="270">
        <v>3</v>
      </c>
      <c r="BC3" s="270">
        <v>4</v>
      </c>
      <c r="BD3" s="270">
        <v>5</v>
      </c>
      <c r="BG3" s="329"/>
      <c r="BH3" s="329"/>
      <c r="BI3" s="270">
        <v>1</v>
      </c>
      <c r="BJ3" s="270">
        <v>2</v>
      </c>
      <c r="BK3" s="270">
        <v>3</v>
      </c>
      <c r="BL3" s="270">
        <v>4</v>
      </c>
      <c r="BM3" s="270">
        <v>5</v>
      </c>
    </row>
    <row r="4" spans="2:68" ht="16" x14ac:dyDescent="0.2">
      <c r="B4" s="298">
        <v>1</v>
      </c>
      <c r="C4" s="298" t="str">
        <f>+_xlfn.XLOOKUP(D4,'[1]#¡REF'!C:C,'[1]#¡REF'!E:E,"!",0,1)</f>
        <v>!</v>
      </c>
      <c r="D4" s="299" t="s">
        <v>731</v>
      </c>
      <c r="E4">
        <v>847330</v>
      </c>
      <c r="F4" t="e">
        <f>+_xlfn.XLOOKUP(D4,#REF!,#REF!,"!",0,1)+223557</f>
        <v>#REF!</v>
      </c>
      <c r="G4" t="e">
        <f>+_xlfn.XLOOKUP(D4,#REF!,#REF!,"!",0,1)</f>
        <v>#REF!</v>
      </c>
      <c r="H4">
        <f t="shared" ref="H4:H17" si="0">+IFERROR((F4-G4)/F4,0)</f>
        <v>0</v>
      </c>
      <c r="M4" s="300">
        <v>4</v>
      </c>
      <c r="N4" s="300"/>
      <c r="O4" s="300"/>
      <c r="P4" s="300">
        <v>5</v>
      </c>
      <c r="Q4" s="300">
        <v>5</v>
      </c>
      <c r="R4" s="300">
        <v>3</v>
      </c>
      <c r="S4" s="300">
        <v>4</v>
      </c>
      <c r="T4" s="300">
        <v>1</v>
      </c>
      <c r="U4" s="300">
        <v>16</v>
      </c>
      <c r="V4" s="300"/>
      <c r="W4" s="300"/>
      <c r="X4" s="300"/>
      <c r="Y4" s="300">
        <v>3066</v>
      </c>
      <c r="Z4" s="300">
        <v>12</v>
      </c>
      <c r="AA4" s="300">
        <v>1</v>
      </c>
      <c r="AB4" s="300"/>
      <c r="AC4" s="300"/>
      <c r="AD4" s="300">
        <v>2</v>
      </c>
      <c r="AE4" s="300">
        <v>4</v>
      </c>
      <c r="AF4" s="298"/>
      <c r="AI4" s="270">
        <v>2</v>
      </c>
      <c r="AJ4" s="42">
        <v>5</v>
      </c>
      <c r="AK4" s="42">
        <v>3</v>
      </c>
      <c r="AX4" s="301" t="s">
        <v>732</v>
      </c>
      <c r="AY4" s="302">
        <v>0.25</v>
      </c>
      <c r="AZ4" s="289" t="s">
        <v>733</v>
      </c>
      <c r="BA4" s="289" t="s">
        <v>734</v>
      </c>
      <c r="BB4" s="289" t="s">
        <v>735</v>
      </c>
      <c r="BC4" s="289" t="s">
        <v>736</v>
      </c>
      <c r="BD4" s="289" t="s">
        <v>737</v>
      </c>
      <c r="BG4" s="301" t="s">
        <v>738</v>
      </c>
      <c r="BH4" s="302">
        <v>0.2</v>
      </c>
      <c r="BI4" s="289" t="s">
        <v>739</v>
      </c>
      <c r="BJ4" s="289" t="s">
        <v>740</v>
      </c>
      <c r="BK4" s="289" t="s">
        <v>741</v>
      </c>
      <c r="BL4" s="289" t="s">
        <v>742</v>
      </c>
      <c r="BM4" s="289" t="s">
        <v>743</v>
      </c>
    </row>
    <row r="5" spans="2:68" ht="16" x14ac:dyDescent="0.2">
      <c r="B5" s="303">
        <v>2</v>
      </c>
      <c r="C5" s="303" t="e">
        <f>+_xlfn.XLOOKUP(D5,#REF!,#REF!,"!",0,1)</f>
        <v>#REF!</v>
      </c>
      <c r="D5" s="304" t="s">
        <v>744</v>
      </c>
      <c r="E5" s="305" t="e">
        <f>+_xlfn.XLOOKUP(D5,#REF!,#REF!,"!",0,1)</f>
        <v>#REF!</v>
      </c>
      <c r="F5" s="305" t="e">
        <f>+_xlfn.XLOOKUP(D5,#REF!,#REF!,"!",0,1)</f>
        <v>#REF!</v>
      </c>
      <c r="G5" s="305" t="e">
        <f>+_xlfn.XLOOKUP(D5,#REF!,#REF!,"!",0,1)</f>
        <v>#REF!</v>
      </c>
      <c r="H5" s="305">
        <f t="shared" si="0"/>
        <v>0</v>
      </c>
      <c r="I5" s="305"/>
      <c r="J5" s="305"/>
      <c r="K5" s="305"/>
      <c r="L5" s="305"/>
      <c r="M5" s="306">
        <v>2</v>
      </c>
      <c r="N5" s="306"/>
      <c r="O5" s="306"/>
      <c r="P5" s="306">
        <v>5</v>
      </c>
      <c r="Q5" s="306">
        <v>4</v>
      </c>
      <c r="R5" s="306">
        <v>4</v>
      </c>
      <c r="S5" s="306">
        <v>5</v>
      </c>
      <c r="T5" s="306">
        <v>3</v>
      </c>
      <c r="U5" s="306">
        <v>6</v>
      </c>
      <c r="V5" s="306"/>
      <c r="W5" s="306"/>
      <c r="X5" s="306"/>
      <c r="Y5" s="306">
        <v>1112</v>
      </c>
      <c r="Z5" s="306">
        <v>8</v>
      </c>
      <c r="AA5" s="306">
        <v>4</v>
      </c>
      <c r="AB5" s="306"/>
      <c r="AC5" s="306"/>
      <c r="AD5" s="306">
        <v>4</v>
      </c>
      <c r="AE5" s="306">
        <v>5</v>
      </c>
      <c r="AF5" s="303"/>
      <c r="AI5" s="52"/>
      <c r="AJ5" s="52"/>
      <c r="AK5" s="52"/>
      <c r="AX5" s="301" t="s">
        <v>721</v>
      </c>
      <c r="AY5" s="302">
        <v>0.2</v>
      </c>
      <c r="AZ5" s="289" t="s">
        <v>745</v>
      </c>
      <c r="BA5" s="289" t="s">
        <v>746</v>
      </c>
      <c r="BB5" s="289" t="s">
        <v>747</v>
      </c>
      <c r="BC5" s="289" t="s">
        <v>748</v>
      </c>
      <c r="BD5" s="289" t="s">
        <v>749</v>
      </c>
      <c r="BG5" s="301" t="s">
        <v>750</v>
      </c>
      <c r="BH5" s="302">
        <v>0.35</v>
      </c>
      <c r="BI5" s="289" t="s">
        <v>745</v>
      </c>
      <c r="BJ5" s="289" t="s">
        <v>746</v>
      </c>
      <c r="BK5" s="289" t="s">
        <v>747</v>
      </c>
      <c r="BL5" s="289" t="s">
        <v>748</v>
      </c>
      <c r="BM5" s="289" t="s">
        <v>749</v>
      </c>
    </row>
    <row r="6" spans="2:68" ht="32" x14ac:dyDescent="0.2">
      <c r="B6" s="307">
        <v>3</v>
      </c>
      <c r="C6" s="307" t="e">
        <f>+_xlfn.XLOOKUP(D6,#REF!,#REF!,"!",0,1)</f>
        <v>#REF!</v>
      </c>
      <c r="D6" s="308" t="s">
        <v>751</v>
      </c>
      <c r="E6" t="e">
        <f>+_xlfn.XLOOKUP(D6,#REF!,#REF!,"!",0,1)</f>
        <v>#REF!</v>
      </c>
      <c r="F6" t="e">
        <f>+_xlfn.XLOOKUP(D6,#REF!,#REF!,"!",0,1)</f>
        <v>#REF!</v>
      </c>
      <c r="G6" t="e">
        <f>+E6*45%</f>
        <v>#REF!</v>
      </c>
      <c r="H6">
        <f t="shared" si="0"/>
        <v>0</v>
      </c>
      <c r="M6" s="309">
        <v>1</v>
      </c>
      <c r="N6" s="309"/>
      <c r="O6" s="309"/>
      <c r="P6" s="309">
        <v>5</v>
      </c>
      <c r="Q6" s="309">
        <v>4</v>
      </c>
      <c r="R6" s="309">
        <v>3</v>
      </c>
      <c r="S6" s="309">
        <v>3</v>
      </c>
      <c r="T6" s="309">
        <v>2</v>
      </c>
      <c r="U6" s="309">
        <v>2</v>
      </c>
      <c r="V6" s="309"/>
      <c r="W6" s="309"/>
      <c r="X6" s="309"/>
      <c r="Y6" s="309">
        <v>3.75</v>
      </c>
      <c r="Z6" s="309">
        <v>1</v>
      </c>
      <c r="AA6" s="309">
        <v>5</v>
      </c>
      <c r="AB6" s="309"/>
      <c r="AC6" s="309"/>
      <c r="AD6" s="309">
        <v>3</v>
      </c>
      <c r="AE6" s="309">
        <v>5</v>
      </c>
      <c r="AF6" s="307"/>
      <c r="AI6" s="295" t="s">
        <v>752</v>
      </c>
      <c r="AJ6" s="270" t="s">
        <v>710</v>
      </c>
      <c r="AK6" s="270" t="s">
        <v>711</v>
      </c>
      <c r="AX6" s="301" t="s">
        <v>722</v>
      </c>
      <c r="AY6" s="302">
        <v>0.15</v>
      </c>
      <c r="AZ6" s="289" t="s">
        <v>753</v>
      </c>
      <c r="BA6" s="289" t="s">
        <v>754</v>
      </c>
      <c r="BB6" s="289" t="s">
        <v>755</v>
      </c>
      <c r="BC6" s="289" t="s">
        <v>756</v>
      </c>
      <c r="BD6" s="289" t="s">
        <v>757</v>
      </c>
      <c r="BG6" s="301" t="s">
        <v>758</v>
      </c>
      <c r="BH6" s="302">
        <v>0.15</v>
      </c>
      <c r="BI6" s="289" t="s">
        <v>745</v>
      </c>
      <c r="BJ6" s="289" t="s">
        <v>746</v>
      </c>
      <c r="BK6" s="289" t="s">
        <v>747</v>
      </c>
      <c r="BL6" s="289" t="s">
        <v>748</v>
      </c>
      <c r="BM6" s="289" t="s">
        <v>749</v>
      </c>
    </row>
    <row r="7" spans="2:68" ht="48" x14ac:dyDescent="0.2">
      <c r="B7" s="303">
        <v>4</v>
      </c>
      <c r="C7" s="303" t="e">
        <f>+_xlfn.XLOOKUP(D7,#REF!,#REF!,"!",0,1)</f>
        <v>#REF!</v>
      </c>
      <c r="D7" s="304" t="s">
        <v>759</v>
      </c>
      <c r="E7" s="305" t="e">
        <f>+_xlfn.XLOOKUP(D7,#REF!,#REF!,"!",0,1)</f>
        <v>#REF!</v>
      </c>
      <c r="F7" s="305" t="e">
        <f>+_xlfn.XLOOKUP(D7,#REF!,#REF!,"!",0,1)</f>
        <v>#REF!</v>
      </c>
      <c r="G7" s="305">
        <f>26074*1.35*1.35*1.4</f>
        <v>66527.811000000002</v>
      </c>
      <c r="H7" s="305">
        <f t="shared" si="0"/>
        <v>0</v>
      </c>
      <c r="I7" s="305"/>
      <c r="J7" s="305"/>
      <c r="K7" s="305"/>
      <c r="L7" s="305"/>
      <c r="M7" s="306">
        <v>2</v>
      </c>
      <c r="N7" s="306"/>
      <c r="O7" s="306"/>
      <c r="P7" s="306">
        <v>5</v>
      </c>
      <c r="Q7" s="306">
        <v>2</v>
      </c>
      <c r="R7" s="306">
        <v>4</v>
      </c>
      <c r="S7" s="306">
        <v>3</v>
      </c>
      <c r="T7" s="306">
        <v>4</v>
      </c>
      <c r="U7" s="306" t="e">
        <f>+(4*E7)/F7</f>
        <v>#REF!</v>
      </c>
      <c r="V7" s="306"/>
      <c r="W7" s="306"/>
      <c r="X7" s="306"/>
      <c r="Y7" s="306">
        <v>0</v>
      </c>
      <c r="Z7" s="306">
        <v>6</v>
      </c>
      <c r="AA7" s="306">
        <v>4</v>
      </c>
      <c r="AB7" s="306"/>
      <c r="AC7" s="306"/>
      <c r="AD7" s="306">
        <v>4</v>
      </c>
      <c r="AE7" s="306">
        <v>5</v>
      </c>
      <c r="AF7" s="303"/>
      <c r="AI7" s="270">
        <v>1</v>
      </c>
      <c r="AJ7" s="42">
        <v>3</v>
      </c>
      <c r="AK7" s="42">
        <v>1</v>
      </c>
      <c r="AX7" s="301" t="s">
        <v>760</v>
      </c>
      <c r="AY7" s="302">
        <v>0.2</v>
      </c>
      <c r="AZ7" s="289" t="s">
        <v>761</v>
      </c>
      <c r="BA7" s="289" t="s">
        <v>762</v>
      </c>
      <c r="BB7" s="289" t="s">
        <v>763</v>
      </c>
      <c r="BC7" s="289" t="s">
        <v>764</v>
      </c>
      <c r="BD7" s="289" t="s">
        <v>765</v>
      </c>
      <c r="BG7" s="310" t="s">
        <v>766</v>
      </c>
      <c r="BH7" s="311">
        <v>0.15</v>
      </c>
      <c r="BI7" s="312" t="s">
        <v>767</v>
      </c>
      <c r="BJ7" s="312" t="s">
        <v>768</v>
      </c>
      <c r="BK7" s="312" t="s">
        <v>769</v>
      </c>
      <c r="BL7" s="312" t="s">
        <v>770</v>
      </c>
      <c r="BM7" s="312" t="s">
        <v>771</v>
      </c>
    </row>
    <row r="8" spans="2:68" ht="32" x14ac:dyDescent="0.2">
      <c r="B8" s="307">
        <v>5</v>
      </c>
      <c r="C8" s="307" t="e">
        <f>+_xlfn.XLOOKUP(D8,#REF!,#REF!,"!",0,1)</f>
        <v>#REF!</v>
      </c>
      <c r="D8" s="308" t="s">
        <v>772</v>
      </c>
      <c r="E8" t="e">
        <f>+_xlfn.XLOOKUP(D8,#REF!,#REF!,"!",0,1)</f>
        <v>#REF!</v>
      </c>
      <c r="F8" t="e">
        <f>+_xlfn.XLOOKUP(D8,#REF!,#REF!,"!",0,1)</f>
        <v>#REF!</v>
      </c>
      <c r="G8" t="e">
        <f>+_xlfn.XLOOKUP(D8,#REF!,#REF!,"!",0,1)</f>
        <v>#REF!</v>
      </c>
      <c r="H8">
        <f t="shared" si="0"/>
        <v>0</v>
      </c>
      <c r="M8" s="309">
        <v>4</v>
      </c>
      <c r="N8" s="309"/>
      <c r="O8" s="309"/>
      <c r="P8" s="309">
        <v>5</v>
      </c>
      <c r="Q8" s="309">
        <v>5</v>
      </c>
      <c r="R8" s="309">
        <v>3</v>
      </c>
      <c r="S8" s="309">
        <v>4</v>
      </c>
      <c r="T8" s="309">
        <v>3</v>
      </c>
      <c r="U8" s="309">
        <v>20</v>
      </c>
      <c r="V8" s="309"/>
      <c r="W8" s="309"/>
      <c r="X8" s="309"/>
      <c r="Y8" s="309">
        <v>12596</v>
      </c>
      <c r="Z8" s="309">
        <v>27</v>
      </c>
      <c r="AA8" s="309">
        <v>2</v>
      </c>
      <c r="AB8" s="309"/>
      <c r="AC8" s="309"/>
      <c r="AD8" s="309">
        <v>4</v>
      </c>
      <c r="AE8" s="309">
        <v>3</v>
      </c>
      <c r="AF8" s="307"/>
      <c r="AI8" s="270">
        <v>2</v>
      </c>
      <c r="AJ8" s="42">
        <v>3</v>
      </c>
      <c r="AK8" s="42">
        <v>5</v>
      </c>
      <c r="AX8" s="301" t="s">
        <v>773</v>
      </c>
      <c r="AY8" s="302">
        <v>0.1</v>
      </c>
      <c r="AZ8" s="289" t="s">
        <v>774</v>
      </c>
      <c r="BA8" s="289" t="s">
        <v>775</v>
      </c>
      <c r="BB8" s="289" t="s">
        <v>776</v>
      </c>
      <c r="BC8" s="289" t="s">
        <v>777</v>
      </c>
      <c r="BD8" s="289" t="s">
        <v>778</v>
      </c>
      <c r="BG8" s="301" t="s">
        <v>729</v>
      </c>
      <c r="BH8" s="302">
        <v>0.15</v>
      </c>
      <c r="BI8" s="289" t="s">
        <v>779</v>
      </c>
      <c r="BJ8" s="289" t="s">
        <v>780</v>
      </c>
      <c r="BK8" s="289" t="s">
        <v>781</v>
      </c>
      <c r="BL8" s="289" t="s">
        <v>782</v>
      </c>
      <c r="BM8" s="289" t="s">
        <v>783</v>
      </c>
    </row>
    <row r="9" spans="2:68" ht="32" x14ac:dyDescent="0.2">
      <c r="B9" s="303">
        <v>6</v>
      </c>
      <c r="C9" s="303" t="e">
        <f>+_xlfn.XLOOKUP(D9,#REF!,#REF!,"!",0,1)</f>
        <v>#REF!</v>
      </c>
      <c r="D9" s="304" t="s">
        <v>784</v>
      </c>
      <c r="E9" s="305" t="e">
        <f>+_xlfn.XLOOKUP(D9,#REF!,#REF!,"!",0,1)</f>
        <v>#REF!</v>
      </c>
      <c r="F9" s="305" t="e">
        <f>+_xlfn.XLOOKUP(D9,#REF!,#REF!,"!",0,1)</f>
        <v>#REF!</v>
      </c>
      <c r="G9" s="305" t="e">
        <f>+_xlfn.XLOOKUP(D9,#REF!,#REF!,"!",0,1)</f>
        <v>#REF!</v>
      </c>
      <c r="H9" s="305">
        <f t="shared" si="0"/>
        <v>0</v>
      </c>
      <c r="I9" s="305"/>
      <c r="J9" s="305"/>
      <c r="K9" s="305"/>
      <c r="L9" s="305"/>
      <c r="M9" s="306">
        <v>1</v>
      </c>
      <c r="N9" s="306"/>
      <c r="O9" s="306"/>
      <c r="P9" s="306">
        <v>5</v>
      </c>
      <c r="Q9" s="306">
        <v>4</v>
      </c>
      <c r="R9" s="306">
        <v>3</v>
      </c>
      <c r="S9" s="306">
        <v>5</v>
      </c>
      <c r="T9" s="306">
        <v>3</v>
      </c>
      <c r="U9" s="306">
        <v>4</v>
      </c>
      <c r="V9" s="306"/>
      <c r="W9" s="306"/>
      <c r="X9" s="306"/>
      <c r="Y9" s="306">
        <v>2352</v>
      </c>
      <c r="Z9" s="306">
        <v>10</v>
      </c>
      <c r="AA9" s="306">
        <v>4</v>
      </c>
      <c r="AB9" s="306"/>
      <c r="AC9" s="306"/>
      <c r="AD9" s="306">
        <v>4</v>
      </c>
      <c r="AE9" s="306">
        <v>5</v>
      </c>
      <c r="AF9" s="303"/>
      <c r="AX9" s="301" t="s">
        <v>724</v>
      </c>
      <c r="AY9" s="302">
        <v>0.15</v>
      </c>
      <c r="AZ9" s="289" t="s">
        <v>785</v>
      </c>
      <c r="BA9" s="289" t="s">
        <v>786</v>
      </c>
      <c r="BB9" s="289" t="s">
        <v>787</v>
      </c>
      <c r="BC9" s="289" t="s">
        <v>788</v>
      </c>
      <c r="BD9" s="289" t="s">
        <v>789</v>
      </c>
      <c r="BG9" s="313"/>
      <c r="BH9" s="314"/>
      <c r="BI9" s="315"/>
      <c r="BJ9" s="315"/>
      <c r="BK9" s="315"/>
      <c r="BL9" s="315"/>
      <c r="BM9" s="315"/>
    </row>
    <row r="10" spans="2:68" ht="16.25" customHeight="1" x14ac:dyDescent="0.2">
      <c r="B10" s="307">
        <v>7</v>
      </c>
      <c r="C10" s="307" t="e">
        <f>+_xlfn.XLOOKUP(D10,#REF!,#REF!,"!",0,1)</f>
        <v>#REF!</v>
      </c>
      <c r="D10" s="308" t="s">
        <v>790</v>
      </c>
      <c r="E10" t="e">
        <f>+_xlfn.XLOOKUP(D10,#REF!,#REF!,"!",0,1)</f>
        <v>#REF!</v>
      </c>
      <c r="F10" t="e">
        <f>+_xlfn.XLOOKUP(D10,#REF!,#REF!,"!",0,1)</f>
        <v>#REF!</v>
      </c>
      <c r="G10" t="e">
        <f>+_xlfn.XLOOKUP(D10,#REF!,#REF!,"!",0,1)</f>
        <v>#REF!</v>
      </c>
      <c r="H10">
        <f t="shared" si="0"/>
        <v>0</v>
      </c>
      <c r="M10" s="309">
        <v>1</v>
      </c>
      <c r="N10" s="309"/>
      <c r="O10" s="309"/>
      <c r="P10" s="309">
        <v>2</v>
      </c>
      <c r="Q10" s="309">
        <v>1</v>
      </c>
      <c r="R10" s="309">
        <v>4</v>
      </c>
      <c r="S10" s="309">
        <v>5</v>
      </c>
      <c r="T10" s="309">
        <v>2</v>
      </c>
      <c r="U10" s="309">
        <v>8</v>
      </c>
      <c r="V10" s="309"/>
      <c r="W10" s="309"/>
      <c r="X10" s="309"/>
      <c r="Y10" s="309">
        <v>822</v>
      </c>
      <c r="Z10" s="309">
        <v>5</v>
      </c>
      <c r="AA10" s="309">
        <v>3</v>
      </c>
      <c r="AB10" s="309"/>
      <c r="AC10" s="309"/>
      <c r="AD10" s="309">
        <v>4</v>
      </c>
      <c r="AE10" s="309">
        <v>5</v>
      </c>
      <c r="AF10" s="307"/>
      <c r="BC10" s="290"/>
    </row>
    <row r="11" spans="2:68" ht="16.25" customHeight="1" x14ac:dyDescent="0.2">
      <c r="B11" s="303">
        <v>8</v>
      </c>
      <c r="C11" s="303" t="e">
        <f>+_xlfn.XLOOKUP(D11,#REF!,#REF!,"!",0,1)</f>
        <v>#REF!</v>
      </c>
      <c r="D11" s="304" t="s">
        <v>791</v>
      </c>
      <c r="E11" s="305" t="e">
        <f>+_xlfn.XLOOKUP(D11,#REF!,#REF!,"!",0,1)</f>
        <v>#REF!</v>
      </c>
      <c r="F11" s="305" t="e">
        <f>+_xlfn.XLOOKUP(D11,#REF!,#REF!,"!",0,1)</f>
        <v>#REF!</v>
      </c>
      <c r="G11" s="305" t="e">
        <f>+_xlfn.XLOOKUP(D11,#REF!,#REF!,"!",0,1)</f>
        <v>#REF!</v>
      </c>
      <c r="H11" s="305">
        <f t="shared" si="0"/>
        <v>0</v>
      </c>
      <c r="I11" s="305"/>
      <c r="J11" s="305"/>
      <c r="K11" s="305"/>
      <c r="L11" s="305"/>
      <c r="M11" s="306">
        <v>2</v>
      </c>
      <c r="N11" s="306"/>
      <c r="O11" s="306"/>
      <c r="P11" s="306">
        <v>5</v>
      </c>
      <c r="Q11" s="306">
        <v>3</v>
      </c>
      <c r="R11" s="306">
        <v>3</v>
      </c>
      <c r="S11" s="306">
        <v>4</v>
      </c>
      <c r="T11" s="306">
        <v>2</v>
      </c>
      <c r="U11" s="306">
        <v>5</v>
      </c>
      <c r="V11" s="306"/>
      <c r="W11" s="306"/>
      <c r="X11" s="306"/>
      <c r="Y11" s="306">
        <v>2310.75</v>
      </c>
      <c r="Z11" s="306">
        <v>12</v>
      </c>
      <c r="AA11" s="306">
        <v>4</v>
      </c>
      <c r="AB11" s="306"/>
      <c r="AC11" s="306"/>
      <c r="AD11" s="306">
        <v>5</v>
      </c>
      <c r="AE11" s="306">
        <v>5</v>
      </c>
      <c r="AF11" s="303"/>
      <c r="BC11" s="290"/>
    </row>
    <row r="12" spans="2:68" ht="16.25" customHeight="1" x14ac:dyDescent="0.2">
      <c r="B12" s="307">
        <v>9</v>
      </c>
      <c r="C12" s="307" t="e">
        <f>+_xlfn.XLOOKUP(D12,#REF!,#REF!,"!",0,1)</f>
        <v>#REF!</v>
      </c>
      <c r="D12" s="308" t="s">
        <v>792</v>
      </c>
      <c r="E12" t="e">
        <f>+_xlfn.XLOOKUP(D12,#REF!,#REF!,"!",0,1)</f>
        <v>#REF!</v>
      </c>
      <c r="F12" t="e">
        <f>+_xlfn.XLOOKUP(D12,#REF!,#REF!,"!",0,1)</f>
        <v>#REF!</v>
      </c>
      <c r="G12" t="e">
        <f>+_xlfn.XLOOKUP(D12,#REF!,#REF!,"!",0,1)</f>
        <v>#REF!</v>
      </c>
      <c r="H12">
        <f t="shared" si="0"/>
        <v>0</v>
      </c>
      <c r="M12" s="309">
        <v>4</v>
      </c>
      <c r="N12" s="309"/>
      <c r="O12" s="309"/>
      <c r="P12" s="309">
        <v>4</v>
      </c>
      <c r="Q12" s="309">
        <v>2</v>
      </c>
      <c r="R12" s="309">
        <v>2</v>
      </c>
      <c r="S12" s="309">
        <v>3</v>
      </c>
      <c r="T12" s="309">
        <v>3</v>
      </c>
      <c r="U12" s="309">
        <v>7</v>
      </c>
      <c r="V12" s="309"/>
      <c r="W12" s="309"/>
      <c r="X12" s="309"/>
      <c r="Y12" s="309">
        <v>7244</v>
      </c>
      <c r="Z12" s="309">
        <v>18</v>
      </c>
      <c r="AA12" s="309">
        <v>4</v>
      </c>
      <c r="AB12" s="309"/>
      <c r="AC12" s="309"/>
      <c r="AD12" s="309">
        <v>5</v>
      </c>
      <c r="AE12" s="309">
        <v>4</v>
      </c>
      <c r="AF12" s="307"/>
    </row>
    <row r="13" spans="2:68" ht="16.25" customHeight="1" x14ac:dyDescent="0.2">
      <c r="B13" s="303">
        <v>10</v>
      </c>
      <c r="C13" s="303" t="e">
        <f>+_xlfn.XLOOKUP(D13,#REF!,#REF!,"!",0,1)</f>
        <v>#REF!</v>
      </c>
      <c r="D13" s="304" t="s">
        <v>793</v>
      </c>
      <c r="E13" s="305" t="e">
        <f>+_xlfn.XLOOKUP(D13,#REF!,#REF!,"!",0,1)</f>
        <v>#REF!</v>
      </c>
      <c r="F13" s="305" t="e">
        <f>+_xlfn.XLOOKUP(D13,#REF!,#REF!,"!",0,1)</f>
        <v>#REF!</v>
      </c>
      <c r="G13" s="305">
        <f>5118*1.35*1.35*1.4</f>
        <v>13058.576999999999</v>
      </c>
      <c r="H13" s="305">
        <f t="shared" si="0"/>
        <v>0</v>
      </c>
      <c r="I13" s="305"/>
      <c r="J13" s="305"/>
      <c r="K13" s="305"/>
      <c r="L13" s="305"/>
      <c r="M13" s="306">
        <v>4</v>
      </c>
      <c r="N13" s="306"/>
      <c r="O13" s="306"/>
      <c r="P13" s="306">
        <v>5</v>
      </c>
      <c r="Q13" s="306">
        <v>1</v>
      </c>
      <c r="R13" s="306">
        <v>3</v>
      </c>
      <c r="S13" s="306">
        <v>2</v>
      </c>
      <c r="T13" s="306">
        <v>2</v>
      </c>
      <c r="U13" s="306" t="e">
        <f>+(6*E13)/F13</f>
        <v>#REF!</v>
      </c>
      <c r="V13" s="306"/>
      <c r="W13" s="306"/>
      <c r="X13" s="306"/>
      <c r="Y13" s="306">
        <v>149</v>
      </c>
      <c r="Z13" s="306">
        <v>4</v>
      </c>
      <c r="AA13" s="306">
        <v>4</v>
      </c>
      <c r="AB13" s="306"/>
      <c r="AC13" s="306"/>
      <c r="AD13" s="306">
        <v>2</v>
      </c>
      <c r="AE13" s="306">
        <v>5</v>
      </c>
      <c r="AF13" s="303"/>
    </row>
    <row r="14" spans="2:68" ht="16.25" customHeight="1" x14ac:dyDescent="0.2">
      <c r="B14" s="307">
        <v>11</v>
      </c>
      <c r="C14" s="307" t="e">
        <f>+_xlfn.XLOOKUP(D14,#REF!,#REF!,"!",0,1)</f>
        <v>#REF!</v>
      </c>
      <c r="D14" s="308" t="s">
        <v>794</v>
      </c>
      <c r="E14" t="e">
        <f>+_xlfn.XLOOKUP(D14,#REF!,#REF!,"!",0,1)</f>
        <v>#REF!</v>
      </c>
      <c r="F14" t="e">
        <f>+_xlfn.XLOOKUP(D14,#REF!,#REF!,"!",0,1)</f>
        <v>#REF!</v>
      </c>
      <c r="G14">
        <f>4299*1.35*1.35*1.4</f>
        <v>10968.898500000001</v>
      </c>
      <c r="H14">
        <f t="shared" si="0"/>
        <v>0</v>
      </c>
      <c r="M14" s="309">
        <v>1</v>
      </c>
      <c r="N14" s="309"/>
      <c r="O14" s="309"/>
      <c r="P14" s="309">
        <v>5</v>
      </c>
      <c r="Q14" s="309">
        <v>5</v>
      </c>
      <c r="R14" s="309">
        <v>4</v>
      </c>
      <c r="S14" s="309">
        <v>5</v>
      </c>
      <c r="T14" s="309">
        <v>3</v>
      </c>
      <c r="U14" s="309" t="e">
        <f>+(5*E14)/F14</f>
        <v>#REF!</v>
      </c>
      <c r="V14" s="309"/>
      <c r="W14" s="309"/>
      <c r="X14" s="309"/>
      <c r="Y14" s="309">
        <v>270</v>
      </c>
      <c r="Z14" s="309">
        <v>3</v>
      </c>
      <c r="AA14" s="309">
        <v>4</v>
      </c>
      <c r="AB14" s="309"/>
      <c r="AC14" s="309"/>
      <c r="AD14" s="309">
        <v>4</v>
      </c>
      <c r="AE14" s="309">
        <v>5</v>
      </c>
      <c r="AF14" s="307"/>
    </row>
    <row r="15" spans="2:68" ht="16.25" customHeight="1" x14ac:dyDescent="0.2">
      <c r="B15" s="303">
        <v>12</v>
      </c>
      <c r="C15" s="303" t="e">
        <f>+_xlfn.XLOOKUP(D15,#REF!,#REF!,"!",0,1)</f>
        <v>#REF!</v>
      </c>
      <c r="D15" s="304" t="s">
        <v>795</v>
      </c>
      <c r="E15" s="305" t="e">
        <f>+_xlfn.XLOOKUP(D15,#REF!,#REF!,"!",0,1)</f>
        <v>#REF!</v>
      </c>
      <c r="F15" s="305" t="e">
        <f>+_xlfn.XLOOKUP(D15,#REF!,#REF!,"!",0,1)</f>
        <v>#REF!</v>
      </c>
      <c r="G15" s="305" t="e">
        <f>+_xlfn.XLOOKUP(D15,#REF!,#REF!,"!",0,1)</f>
        <v>#REF!</v>
      </c>
      <c r="H15" s="305">
        <f t="shared" si="0"/>
        <v>0</v>
      </c>
      <c r="I15" s="305"/>
      <c r="J15" s="305"/>
      <c r="K15" s="305"/>
      <c r="L15" s="305"/>
      <c r="M15" s="306">
        <v>2</v>
      </c>
      <c r="N15" s="306"/>
      <c r="O15" s="306"/>
      <c r="P15" s="306">
        <v>0</v>
      </c>
      <c r="Q15" s="306">
        <v>1</v>
      </c>
      <c r="R15" s="306">
        <v>3</v>
      </c>
      <c r="S15" s="306">
        <v>3</v>
      </c>
      <c r="T15" s="306">
        <v>1</v>
      </c>
      <c r="U15" s="306">
        <v>12</v>
      </c>
      <c r="V15" s="306"/>
      <c r="W15" s="306"/>
      <c r="X15" s="306"/>
      <c r="Y15" s="306">
        <v>6266.75</v>
      </c>
      <c r="Z15" s="306">
        <v>17</v>
      </c>
      <c r="AA15" s="306">
        <v>2</v>
      </c>
      <c r="AB15" s="306"/>
      <c r="AC15" s="306"/>
      <c r="AD15" s="306">
        <v>2</v>
      </c>
      <c r="AE15" s="306">
        <v>4</v>
      </c>
      <c r="AF15" s="303"/>
    </row>
    <row r="16" spans="2:68" ht="16.25" customHeight="1" x14ac:dyDescent="0.2">
      <c r="B16" s="307">
        <v>13</v>
      </c>
      <c r="C16" s="307" t="e">
        <f>+_xlfn.XLOOKUP(D16,#REF!,#REF!,"!",0,1)</f>
        <v>#REF!</v>
      </c>
      <c r="D16" s="308" t="s">
        <v>796</v>
      </c>
      <c r="E16" t="e">
        <f>+_xlfn.XLOOKUP(D16,#REF!,#REF!,"!",0,1)</f>
        <v>#REF!</v>
      </c>
      <c r="F16" t="e">
        <f>+_xlfn.XLOOKUP(D16,#REF!,#REF!,"!",0,1)</f>
        <v>#REF!</v>
      </c>
      <c r="G16" t="e">
        <f>+_xlfn.XLOOKUP(D16,#REF!,#REF!,"!",0,1)</f>
        <v>#REF!</v>
      </c>
      <c r="H16">
        <f t="shared" si="0"/>
        <v>0</v>
      </c>
      <c r="M16" s="309">
        <v>4</v>
      </c>
      <c r="N16" s="309"/>
      <c r="O16" s="309"/>
      <c r="P16" s="309">
        <v>1</v>
      </c>
      <c r="Q16" s="309">
        <v>2</v>
      </c>
      <c r="R16" s="309">
        <v>3</v>
      </c>
      <c r="S16" s="309">
        <v>4</v>
      </c>
      <c r="T16" s="309">
        <v>3</v>
      </c>
      <c r="U16" s="309" t="e">
        <f>+(12*E16)/F16</f>
        <v>#REF!</v>
      </c>
      <c r="V16" s="309"/>
      <c r="W16" s="309"/>
      <c r="X16" s="309"/>
      <c r="Y16" s="309">
        <v>8698</v>
      </c>
      <c r="Z16" s="309">
        <v>36</v>
      </c>
      <c r="AA16" s="309">
        <v>2</v>
      </c>
      <c r="AB16" s="309"/>
      <c r="AC16" s="309"/>
      <c r="AD16" s="309">
        <v>4</v>
      </c>
      <c r="AE16" s="309">
        <v>4</v>
      </c>
      <c r="AF16" s="307"/>
      <c r="BC16" s="290"/>
      <c r="BP16" s="290"/>
    </row>
    <row r="17" spans="2:68" ht="16.25" customHeight="1" x14ac:dyDescent="0.2">
      <c r="B17" s="303">
        <v>14</v>
      </c>
      <c r="C17" s="303" t="s">
        <v>797</v>
      </c>
      <c r="D17" s="304" t="s">
        <v>798</v>
      </c>
      <c r="E17" s="305">
        <v>2400000</v>
      </c>
      <c r="F17" s="305">
        <v>598000</v>
      </c>
      <c r="G17" s="305" t="e">
        <f>+_xlfn.XLOOKUP(D17,#REF!,#REF!,"!",0,1)</f>
        <v>#REF!</v>
      </c>
      <c r="H17" s="305">
        <f t="shared" si="0"/>
        <v>0</v>
      </c>
      <c r="I17" s="305"/>
      <c r="J17" s="305"/>
      <c r="K17" s="305"/>
      <c r="L17" s="305"/>
      <c r="M17" s="306">
        <v>5</v>
      </c>
      <c r="N17" s="306"/>
      <c r="O17" s="306"/>
      <c r="P17" s="306">
        <v>5</v>
      </c>
      <c r="Q17" s="306">
        <v>1</v>
      </c>
      <c r="R17" s="306">
        <v>2</v>
      </c>
      <c r="S17" s="306">
        <v>1</v>
      </c>
      <c r="T17" s="306">
        <v>3</v>
      </c>
      <c r="U17" s="306">
        <v>8</v>
      </c>
      <c r="V17" s="306"/>
      <c r="W17" s="306"/>
      <c r="X17" s="306"/>
      <c r="Y17" s="306">
        <v>3264</v>
      </c>
      <c r="Z17" s="306">
        <v>11</v>
      </c>
      <c r="AA17" s="306">
        <v>4</v>
      </c>
      <c r="AB17" s="306"/>
      <c r="AC17" s="306"/>
      <c r="AD17" s="306">
        <v>3</v>
      </c>
      <c r="AE17" s="306">
        <v>4</v>
      </c>
      <c r="AF17" s="303"/>
    </row>
    <row r="18" spans="2:68" ht="16.25" customHeight="1" x14ac:dyDescent="0.2">
      <c r="B18" s="307"/>
      <c r="C18" s="307"/>
      <c r="D18" s="308" t="s">
        <v>799</v>
      </c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  <c r="AA18" s="309"/>
      <c r="AB18" s="309"/>
      <c r="AC18" s="309"/>
      <c r="AD18" s="309"/>
      <c r="AE18" s="309"/>
      <c r="AF18" s="307"/>
    </row>
    <row r="19" spans="2:68" ht="16.25" customHeight="1" x14ac:dyDescent="0.2">
      <c r="B19" s="303">
        <v>15</v>
      </c>
      <c r="C19" s="303" t="e">
        <f>+_xlfn.XLOOKUP(D19,#REF!,#REF!,"!",0,1)</f>
        <v>#REF!</v>
      </c>
      <c r="D19" s="304" t="s">
        <v>800</v>
      </c>
      <c r="E19" s="305" t="e">
        <f>+_xlfn.XLOOKUP(D19,#REF!,#REF!,"!",0,1)</f>
        <v>#REF!</v>
      </c>
      <c r="F19" s="305" t="e">
        <f>+_xlfn.XLOOKUP(D19,#REF!,#REF!,"!",0,1)</f>
        <v>#REF!</v>
      </c>
      <c r="G19" s="305" t="e">
        <f>+E19*45%</f>
        <v>#REF!</v>
      </c>
      <c r="H19" s="305">
        <f>+IFERROR((F19-G19)/F19,0)</f>
        <v>0</v>
      </c>
      <c r="I19" s="305"/>
      <c r="J19" s="305"/>
      <c r="K19" s="305"/>
      <c r="L19" s="305"/>
      <c r="M19" s="306">
        <v>1</v>
      </c>
      <c r="N19" s="306"/>
      <c r="O19" s="306"/>
      <c r="P19" s="306">
        <v>5</v>
      </c>
      <c r="Q19" s="306">
        <v>4</v>
      </c>
      <c r="R19" s="306">
        <v>3</v>
      </c>
      <c r="S19" s="306">
        <v>5</v>
      </c>
      <c r="T19" s="306">
        <v>3</v>
      </c>
      <c r="U19" s="306">
        <v>1</v>
      </c>
      <c r="V19" s="306"/>
      <c r="W19" s="306"/>
      <c r="X19" s="306"/>
      <c r="Y19" s="306">
        <v>0</v>
      </c>
      <c r="Z19" s="306">
        <v>7</v>
      </c>
      <c r="AA19" s="306">
        <v>5</v>
      </c>
      <c r="AB19" s="306"/>
      <c r="AC19" s="306">
        <v>4</v>
      </c>
      <c r="AD19" s="306">
        <v>3</v>
      </c>
      <c r="AE19" s="306">
        <v>5</v>
      </c>
      <c r="AF19" s="303"/>
    </row>
    <row r="20" spans="2:68" ht="16.25" customHeight="1" x14ac:dyDescent="0.2">
      <c r="B20" s="52"/>
      <c r="C20" s="52"/>
      <c r="D20" s="52"/>
      <c r="E20" s="291"/>
      <c r="F20" s="291"/>
      <c r="G20" s="316"/>
      <c r="H20" s="107"/>
      <c r="I20" s="52"/>
      <c r="J20" s="52"/>
      <c r="K20" s="52"/>
      <c r="L20" s="52"/>
      <c r="AF20" s="317"/>
    </row>
    <row r="21" spans="2:68" ht="16.25" customHeight="1" x14ac:dyDescent="0.2">
      <c r="B21" s="52"/>
      <c r="C21" s="52"/>
      <c r="D21" s="52"/>
      <c r="E21" s="291"/>
      <c r="F21" s="291"/>
      <c r="G21" s="316"/>
      <c r="H21" s="107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291"/>
      <c r="Z21" s="52"/>
      <c r="AA21" s="52"/>
      <c r="AB21" s="52"/>
      <c r="AC21" s="52"/>
      <c r="AD21" s="52"/>
      <c r="AE21" s="52"/>
      <c r="AF21" s="317"/>
    </row>
    <row r="22" spans="2:68" x14ac:dyDescent="0.2">
      <c r="B22" s="52"/>
      <c r="C22" s="52"/>
      <c r="D22" s="52"/>
      <c r="E22" s="291"/>
      <c r="F22" s="291"/>
      <c r="G22" s="291"/>
      <c r="H22" s="107"/>
      <c r="I22" s="52"/>
      <c r="J22" s="52"/>
      <c r="K22" s="52"/>
      <c r="L22" s="52"/>
      <c r="AF22" s="317"/>
    </row>
    <row r="23" spans="2:68" x14ac:dyDescent="0.2">
      <c r="B23" s="52"/>
      <c r="C23" s="52"/>
      <c r="D23" s="52"/>
      <c r="E23" s="291"/>
      <c r="F23" s="291"/>
      <c r="G23" s="291"/>
      <c r="H23" s="107"/>
      <c r="I23" s="52"/>
      <c r="J23" s="52"/>
      <c r="K23" s="52"/>
      <c r="L23" s="52"/>
      <c r="M23" s="333" t="s">
        <v>714</v>
      </c>
      <c r="N23" s="333"/>
      <c r="O23" s="333"/>
      <c r="P23" s="333"/>
      <c r="Q23" s="333"/>
      <c r="R23" s="333"/>
      <c r="S23" s="333"/>
      <c r="T23" s="333"/>
      <c r="U23" s="293"/>
      <c r="V23" s="293"/>
      <c r="W23" s="293"/>
      <c r="X23" s="293"/>
      <c r="Y23" s="294"/>
      <c r="Z23" s="293"/>
      <c r="AA23" s="333" t="s">
        <v>801</v>
      </c>
      <c r="AB23" s="333"/>
      <c r="AC23" s="333"/>
      <c r="AD23" s="333"/>
      <c r="AE23" s="333"/>
      <c r="AF23" s="317"/>
    </row>
    <row r="24" spans="2:68" x14ac:dyDescent="0.2">
      <c r="B24" s="292" t="s">
        <v>715</v>
      </c>
      <c r="C24" s="292" t="s">
        <v>716</v>
      </c>
      <c r="D24" s="292" t="s">
        <v>717</v>
      </c>
      <c r="E24" s="296"/>
      <c r="F24" s="296"/>
      <c r="G24" s="296"/>
      <c r="H24" s="296"/>
      <c r="I24" s="296"/>
      <c r="J24" s="296"/>
      <c r="K24" s="296"/>
      <c r="L24" s="296"/>
      <c r="M24" s="292" t="s">
        <v>718</v>
      </c>
      <c r="N24" s="292" t="s">
        <v>719</v>
      </c>
      <c r="O24" s="292" t="s">
        <v>720</v>
      </c>
      <c r="P24" s="292" t="s">
        <v>721</v>
      </c>
      <c r="Q24" s="292" t="s">
        <v>722</v>
      </c>
      <c r="R24" s="292" t="s">
        <v>723</v>
      </c>
      <c r="S24" s="292" t="s">
        <v>423</v>
      </c>
      <c r="T24" s="297" t="s">
        <v>724</v>
      </c>
      <c r="U24" s="292"/>
      <c r="V24" s="292"/>
      <c r="W24" s="292"/>
      <c r="X24" s="297"/>
      <c r="Y24" s="297"/>
      <c r="Z24" s="297"/>
      <c r="AA24" s="297" t="s">
        <v>725</v>
      </c>
      <c r="AB24" s="292" t="s">
        <v>726</v>
      </c>
      <c r="AC24" s="292" t="s">
        <v>727</v>
      </c>
      <c r="AD24" s="292" t="s">
        <v>728</v>
      </c>
      <c r="AE24" s="292" t="s">
        <v>729</v>
      </c>
      <c r="BC24" s="290"/>
      <c r="BJ24" s="318"/>
      <c r="BM24" s="319"/>
      <c r="BP24" s="319"/>
    </row>
    <row r="25" spans="2:68" x14ac:dyDescent="0.2">
      <c r="B25" s="298">
        <v>1</v>
      </c>
      <c r="C25" s="298" t="e">
        <f>+_xlfn.XLOOKUP(D26,#REF!,#REF!,"!",0,1)</f>
        <v>#REF!</v>
      </c>
      <c r="D25" s="299" t="s">
        <v>731</v>
      </c>
      <c r="M25" s="320">
        <f t="shared" ref="M25:T38" si="1">+M4*M$1</f>
        <v>1</v>
      </c>
      <c r="N25" s="320">
        <f t="shared" si="1"/>
        <v>0</v>
      </c>
      <c r="O25" s="320">
        <f t="shared" si="1"/>
        <v>0</v>
      </c>
      <c r="P25" s="321">
        <f t="shared" si="1"/>
        <v>1</v>
      </c>
      <c r="Q25" s="320">
        <f t="shared" si="1"/>
        <v>0.75</v>
      </c>
      <c r="R25" s="320">
        <f t="shared" si="1"/>
        <v>0.60000000000000009</v>
      </c>
      <c r="S25" s="320">
        <f t="shared" si="1"/>
        <v>0.4</v>
      </c>
      <c r="T25" s="320">
        <f t="shared" si="1"/>
        <v>0.1</v>
      </c>
      <c r="U25" s="320"/>
      <c r="V25" s="320"/>
      <c r="W25" s="320"/>
      <c r="X25" s="320"/>
      <c r="Y25" s="320"/>
      <c r="Z25" s="320"/>
      <c r="AA25" s="320">
        <f t="shared" ref="AA25:AF38" si="2">+AA4*AA$1</f>
        <v>0.2</v>
      </c>
      <c r="AB25" s="320">
        <f t="shared" si="2"/>
        <v>0</v>
      </c>
      <c r="AC25" s="320">
        <f t="shared" si="2"/>
        <v>0</v>
      </c>
      <c r="AD25" s="320">
        <f t="shared" si="2"/>
        <v>0.3</v>
      </c>
      <c r="AE25" s="321">
        <f t="shared" si="2"/>
        <v>0.6</v>
      </c>
      <c r="AF25">
        <f t="shared" si="2"/>
        <v>0</v>
      </c>
      <c r="BC25" s="290"/>
    </row>
    <row r="26" spans="2:68" x14ac:dyDescent="0.2">
      <c r="B26" s="303">
        <v>2</v>
      </c>
      <c r="C26" s="303" t="e">
        <f>+_xlfn.XLOOKUP(D27,#REF!,#REF!,"!",0,1)</f>
        <v>#REF!</v>
      </c>
      <c r="D26" s="304" t="s">
        <v>744</v>
      </c>
      <c r="E26" s="305"/>
      <c r="F26" s="305"/>
      <c r="G26" s="305"/>
      <c r="H26" s="305"/>
      <c r="I26" s="305"/>
      <c r="J26" s="305">
        <v>120</v>
      </c>
      <c r="K26" s="305"/>
      <c r="L26" s="305"/>
      <c r="M26" s="322">
        <f t="shared" si="1"/>
        <v>0.5</v>
      </c>
      <c r="N26" s="322">
        <f t="shared" si="1"/>
        <v>0</v>
      </c>
      <c r="O26" s="322">
        <f t="shared" si="1"/>
        <v>0</v>
      </c>
      <c r="P26" s="323">
        <f t="shared" si="1"/>
        <v>1</v>
      </c>
      <c r="Q26" s="322">
        <f t="shared" si="1"/>
        <v>0.6</v>
      </c>
      <c r="R26" s="322">
        <f t="shared" si="1"/>
        <v>0.8</v>
      </c>
      <c r="S26" s="322">
        <f t="shared" si="1"/>
        <v>0.5</v>
      </c>
      <c r="T26" s="322">
        <f t="shared" si="1"/>
        <v>0.30000000000000004</v>
      </c>
      <c r="U26" s="322"/>
      <c r="V26" s="322"/>
      <c r="W26" s="322"/>
      <c r="X26" s="322"/>
      <c r="Y26" s="322"/>
      <c r="Z26" s="322"/>
      <c r="AA26" s="322">
        <f t="shared" si="2"/>
        <v>0.8</v>
      </c>
      <c r="AB26" s="322">
        <f t="shared" si="2"/>
        <v>0</v>
      </c>
      <c r="AC26" s="322">
        <f t="shared" si="2"/>
        <v>0</v>
      </c>
      <c r="AD26" s="322">
        <f t="shared" si="2"/>
        <v>0.6</v>
      </c>
      <c r="AE26" s="323">
        <f t="shared" si="2"/>
        <v>0.75</v>
      </c>
      <c r="AF26">
        <f t="shared" si="2"/>
        <v>0</v>
      </c>
      <c r="BC26" s="290"/>
    </row>
    <row r="27" spans="2:68" x14ac:dyDescent="0.2">
      <c r="B27" s="307">
        <v>3</v>
      </c>
      <c r="C27" s="307" t="e">
        <f>+_xlfn.XLOOKUP(D28,#REF!,#REF!,"!",0,1)</f>
        <v>#REF!</v>
      </c>
      <c r="D27" s="308" t="s">
        <v>751</v>
      </c>
      <c r="J27">
        <f>+J26*1000</f>
        <v>120000</v>
      </c>
      <c r="M27" s="324">
        <f t="shared" si="1"/>
        <v>0.25</v>
      </c>
      <c r="N27" s="324">
        <f t="shared" si="1"/>
        <v>0</v>
      </c>
      <c r="O27" s="324">
        <f t="shared" si="1"/>
        <v>0</v>
      </c>
      <c r="P27" s="325">
        <f t="shared" si="1"/>
        <v>1</v>
      </c>
      <c r="Q27" s="324">
        <f t="shared" si="1"/>
        <v>0.6</v>
      </c>
      <c r="R27" s="324">
        <f t="shared" si="1"/>
        <v>0.60000000000000009</v>
      </c>
      <c r="S27" s="324">
        <f t="shared" si="1"/>
        <v>0.30000000000000004</v>
      </c>
      <c r="T27" s="324">
        <f t="shared" si="1"/>
        <v>0.2</v>
      </c>
      <c r="U27" s="324"/>
      <c r="V27" s="324"/>
      <c r="W27" s="324"/>
      <c r="X27" s="324"/>
      <c r="Y27" s="324"/>
      <c r="Z27" s="324"/>
      <c r="AA27" s="324">
        <f t="shared" si="2"/>
        <v>1</v>
      </c>
      <c r="AB27" s="324">
        <f t="shared" si="2"/>
        <v>0</v>
      </c>
      <c r="AC27" s="324">
        <f t="shared" si="2"/>
        <v>0</v>
      </c>
      <c r="AD27" s="324">
        <f t="shared" si="2"/>
        <v>0.44999999999999996</v>
      </c>
      <c r="AE27" s="325">
        <f t="shared" si="2"/>
        <v>0.75</v>
      </c>
      <c r="AF27">
        <f t="shared" si="2"/>
        <v>0</v>
      </c>
    </row>
    <row r="28" spans="2:68" x14ac:dyDescent="0.2">
      <c r="B28" s="303">
        <v>4</v>
      </c>
      <c r="C28" s="303" t="e">
        <f>+_xlfn.XLOOKUP(D29,#REF!,#REF!,"!",0,1)</f>
        <v>#REF!</v>
      </c>
      <c r="D28" s="304" t="s">
        <v>759</v>
      </c>
      <c r="E28" s="305"/>
      <c r="F28" s="305"/>
      <c r="G28" s="305"/>
      <c r="H28" s="305"/>
      <c r="I28" s="305"/>
      <c r="J28" s="305">
        <f>250*1000</f>
        <v>250000</v>
      </c>
      <c r="K28" s="305"/>
      <c r="L28" s="305"/>
      <c r="M28" s="322">
        <f t="shared" si="1"/>
        <v>0.5</v>
      </c>
      <c r="N28" s="322">
        <f t="shared" si="1"/>
        <v>0</v>
      </c>
      <c r="O28" s="322">
        <f t="shared" si="1"/>
        <v>0</v>
      </c>
      <c r="P28" s="323">
        <f t="shared" si="1"/>
        <v>1</v>
      </c>
      <c r="Q28" s="322">
        <f t="shared" si="1"/>
        <v>0.3</v>
      </c>
      <c r="R28" s="322">
        <f t="shared" si="1"/>
        <v>0.8</v>
      </c>
      <c r="S28" s="322">
        <f t="shared" si="1"/>
        <v>0.30000000000000004</v>
      </c>
      <c r="T28" s="322">
        <f t="shared" si="1"/>
        <v>0.4</v>
      </c>
      <c r="U28" s="322"/>
      <c r="V28" s="322"/>
      <c r="W28" s="322"/>
      <c r="X28" s="322"/>
      <c r="Y28" s="322"/>
      <c r="Z28" s="322"/>
      <c r="AA28" s="322">
        <f t="shared" si="2"/>
        <v>0.8</v>
      </c>
      <c r="AB28" s="322">
        <f t="shared" si="2"/>
        <v>0</v>
      </c>
      <c r="AC28" s="322">
        <f t="shared" si="2"/>
        <v>0</v>
      </c>
      <c r="AD28" s="322">
        <f t="shared" si="2"/>
        <v>0.6</v>
      </c>
      <c r="AE28" s="323">
        <f t="shared" si="2"/>
        <v>0.75</v>
      </c>
      <c r="AF28">
        <f t="shared" si="2"/>
        <v>0</v>
      </c>
      <c r="BC28" s="290"/>
    </row>
    <row r="29" spans="2:68" x14ac:dyDescent="0.2">
      <c r="B29" s="307">
        <v>5</v>
      </c>
      <c r="C29" s="307" t="e">
        <f>+_xlfn.XLOOKUP(D30,#REF!,#REF!,"!",0,1)</f>
        <v>#REF!</v>
      </c>
      <c r="D29" s="308" t="s">
        <v>772</v>
      </c>
      <c r="J29">
        <f>500*1000</f>
        <v>500000</v>
      </c>
      <c r="M29" s="324">
        <f t="shared" si="1"/>
        <v>1</v>
      </c>
      <c r="N29" s="324">
        <f t="shared" si="1"/>
        <v>0</v>
      </c>
      <c r="O29" s="324">
        <f t="shared" si="1"/>
        <v>0</v>
      </c>
      <c r="P29" s="325">
        <f t="shared" si="1"/>
        <v>1</v>
      </c>
      <c r="Q29" s="324">
        <f t="shared" si="1"/>
        <v>0.75</v>
      </c>
      <c r="R29" s="324">
        <f t="shared" si="1"/>
        <v>0.60000000000000009</v>
      </c>
      <c r="S29" s="324">
        <f t="shared" si="1"/>
        <v>0.4</v>
      </c>
      <c r="T29" s="324">
        <f t="shared" si="1"/>
        <v>0.30000000000000004</v>
      </c>
      <c r="U29" s="324"/>
      <c r="V29" s="324"/>
      <c r="W29" s="324"/>
      <c r="X29" s="324"/>
      <c r="Y29" s="324"/>
      <c r="Z29" s="324"/>
      <c r="AA29" s="324">
        <f t="shared" si="2"/>
        <v>0.4</v>
      </c>
      <c r="AB29" s="324">
        <f t="shared" si="2"/>
        <v>0</v>
      </c>
      <c r="AC29" s="324">
        <f t="shared" si="2"/>
        <v>0</v>
      </c>
      <c r="AD29" s="324">
        <f t="shared" si="2"/>
        <v>0.6</v>
      </c>
      <c r="AE29" s="325">
        <f t="shared" si="2"/>
        <v>0.44999999999999996</v>
      </c>
      <c r="AF29">
        <f t="shared" si="2"/>
        <v>0</v>
      </c>
      <c r="BC29" s="290"/>
    </row>
    <row r="30" spans="2:68" x14ac:dyDescent="0.2">
      <c r="B30" s="303">
        <v>6</v>
      </c>
      <c r="C30" s="303" t="e">
        <f>+_xlfn.XLOOKUP(D31,#REF!,#REF!,"!",0,1)</f>
        <v>#REF!</v>
      </c>
      <c r="D30" s="304" t="s">
        <v>784</v>
      </c>
      <c r="E30" s="305"/>
      <c r="F30" s="305"/>
      <c r="G30" s="305"/>
      <c r="H30" s="305"/>
      <c r="I30" s="305"/>
      <c r="J30" s="305">
        <f>1000*1000</f>
        <v>1000000</v>
      </c>
      <c r="K30" s="305"/>
      <c r="L30" s="305"/>
      <c r="M30" s="322">
        <f t="shared" si="1"/>
        <v>0.25</v>
      </c>
      <c r="N30" s="322">
        <f t="shared" si="1"/>
        <v>0</v>
      </c>
      <c r="O30" s="322">
        <f t="shared" si="1"/>
        <v>0</v>
      </c>
      <c r="P30" s="323">
        <f t="shared" si="1"/>
        <v>1</v>
      </c>
      <c r="Q30" s="322">
        <f t="shared" si="1"/>
        <v>0.6</v>
      </c>
      <c r="R30" s="322">
        <f t="shared" si="1"/>
        <v>0.60000000000000009</v>
      </c>
      <c r="S30" s="322">
        <f t="shared" si="1"/>
        <v>0.5</v>
      </c>
      <c r="T30" s="322">
        <f t="shared" si="1"/>
        <v>0.30000000000000004</v>
      </c>
      <c r="U30" s="322"/>
      <c r="V30" s="322"/>
      <c r="W30" s="322"/>
      <c r="X30" s="322"/>
      <c r="Y30" s="322"/>
      <c r="Z30" s="322"/>
      <c r="AA30" s="322">
        <f t="shared" si="2"/>
        <v>0.8</v>
      </c>
      <c r="AB30" s="322">
        <f t="shared" si="2"/>
        <v>0</v>
      </c>
      <c r="AC30" s="322">
        <f t="shared" si="2"/>
        <v>0</v>
      </c>
      <c r="AD30" s="322">
        <f t="shared" si="2"/>
        <v>0.6</v>
      </c>
      <c r="AE30" s="323">
        <f t="shared" si="2"/>
        <v>0.75</v>
      </c>
      <c r="AF30">
        <f t="shared" si="2"/>
        <v>0</v>
      </c>
    </row>
    <row r="31" spans="2:68" x14ac:dyDescent="0.2">
      <c r="B31" s="307">
        <v>7</v>
      </c>
      <c r="C31" s="307" t="e">
        <f>+_xlfn.XLOOKUP(D32,#REF!,#REF!,"!",0,1)</f>
        <v>#REF!</v>
      </c>
      <c r="D31" s="308" t="s">
        <v>790</v>
      </c>
      <c r="M31" s="324">
        <f t="shared" si="1"/>
        <v>0.25</v>
      </c>
      <c r="N31" s="324">
        <f t="shared" si="1"/>
        <v>0</v>
      </c>
      <c r="O31" s="324">
        <f t="shared" si="1"/>
        <v>0</v>
      </c>
      <c r="P31" s="325">
        <f t="shared" si="1"/>
        <v>0.4</v>
      </c>
      <c r="Q31" s="324">
        <f t="shared" si="1"/>
        <v>0.15</v>
      </c>
      <c r="R31" s="324">
        <f t="shared" si="1"/>
        <v>0.8</v>
      </c>
      <c r="S31" s="324">
        <f t="shared" si="1"/>
        <v>0.5</v>
      </c>
      <c r="T31" s="324">
        <f t="shared" si="1"/>
        <v>0.2</v>
      </c>
      <c r="U31" s="324"/>
      <c r="V31" s="324"/>
      <c r="W31" s="324"/>
      <c r="X31" s="324"/>
      <c r="Y31" s="324"/>
      <c r="Z31" s="324"/>
      <c r="AA31" s="324">
        <f t="shared" si="2"/>
        <v>0.60000000000000009</v>
      </c>
      <c r="AB31" s="324">
        <f t="shared" si="2"/>
        <v>0</v>
      </c>
      <c r="AC31" s="324">
        <f t="shared" si="2"/>
        <v>0</v>
      </c>
      <c r="AD31" s="324">
        <f t="shared" si="2"/>
        <v>0.6</v>
      </c>
      <c r="AE31" s="325">
        <f t="shared" si="2"/>
        <v>0.75</v>
      </c>
      <c r="AF31">
        <f t="shared" si="2"/>
        <v>0</v>
      </c>
    </row>
    <row r="32" spans="2:68" x14ac:dyDescent="0.2">
      <c r="B32" s="303">
        <v>8</v>
      </c>
      <c r="C32" s="303" t="e">
        <f>+_xlfn.XLOOKUP(D33,#REF!,#REF!,"!",0,1)</f>
        <v>#REF!</v>
      </c>
      <c r="D32" s="304" t="s">
        <v>791</v>
      </c>
      <c r="E32" s="305"/>
      <c r="F32" s="305"/>
      <c r="G32" s="305"/>
      <c r="H32" s="305"/>
      <c r="I32" s="305"/>
      <c r="J32" s="305"/>
      <c r="K32" s="305"/>
      <c r="L32" s="305"/>
      <c r="M32" s="322">
        <f t="shared" si="1"/>
        <v>0.5</v>
      </c>
      <c r="N32" s="322">
        <f t="shared" si="1"/>
        <v>0</v>
      </c>
      <c r="O32" s="322">
        <f t="shared" si="1"/>
        <v>0</v>
      </c>
      <c r="P32" s="323">
        <f t="shared" si="1"/>
        <v>1</v>
      </c>
      <c r="Q32" s="322">
        <f t="shared" si="1"/>
        <v>0.44999999999999996</v>
      </c>
      <c r="R32" s="322">
        <f t="shared" si="1"/>
        <v>0.60000000000000009</v>
      </c>
      <c r="S32" s="322">
        <f t="shared" si="1"/>
        <v>0.4</v>
      </c>
      <c r="T32" s="322">
        <f t="shared" si="1"/>
        <v>0.2</v>
      </c>
      <c r="U32" s="322"/>
      <c r="V32" s="322"/>
      <c r="W32" s="322"/>
      <c r="X32" s="322"/>
      <c r="Y32" s="322"/>
      <c r="Z32" s="322"/>
      <c r="AA32" s="322">
        <f t="shared" si="2"/>
        <v>0.8</v>
      </c>
      <c r="AB32" s="322">
        <f t="shared" si="2"/>
        <v>0</v>
      </c>
      <c r="AC32" s="322">
        <f t="shared" si="2"/>
        <v>0</v>
      </c>
      <c r="AD32" s="322">
        <f t="shared" si="2"/>
        <v>0.75</v>
      </c>
      <c r="AE32" s="323">
        <f t="shared" si="2"/>
        <v>0.75</v>
      </c>
      <c r="AF32">
        <f t="shared" si="2"/>
        <v>0</v>
      </c>
    </row>
    <row r="33" spans="2:32" x14ac:dyDescent="0.2">
      <c r="B33" s="307">
        <v>9</v>
      </c>
      <c r="C33" s="307" t="e">
        <f>+_xlfn.XLOOKUP(D34,#REF!,#REF!,"!",0,1)</f>
        <v>#REF!</v>
      </c>
      <c r="D33" s="308" t="s">
        <v>792</v>
      </c>
      <c r="M33" s="324">
        <f t="shared" si="1"/>
        <v>1</v>
      </c>
      <c r="N33" s="324">
        <f t="shared" si="1"/>
        <v>0</v>
      </c>
      <c r="O33" s="324">
        <f t="shared" si="1"/>
        <v>0</v>
      </c>
      <c r="P33" s="325">
        <f t="shared" si="1"/>
        <v>0.8</v>
      </c>
      <c r="Q33" s="324">
        <f t="shared" si="1"/>
        <v>0.3</v>
      </c>
      <c r="R33" s="324">
        <f t="shared" si="1"/>
        <v>0.4</v>
      </c>
      <c r="S33" s="324">
        <f t="shared" si="1"/>
        <v>0.30000000000000004</v>
      </c>
      <c r="T33" s="324">
        <f t="shared" si="1"/>
        <v>0.30000000000000004</v>
      </c>
      <c r="U33" s="324"/>
      <c r="V33" s="324"/>
      <c r="W33" s="324"/>
      <c r="X33" s="324"/>
      <c r="Y33" s="324"/>
      <c r="Z33" s="324"/>
      <c r="AA33" s="324">
        <f t="shared" si="2"/>
        <v>0.8</v>
      </c>
      <c r="AB33" s="324">
        <f t="shared" si="2"/>
        <v>0</v>
      </c>
      <c r="AC33" s="324">
        <f t="shared" si="2"/>
        <v>0</v>
      </c>
      <c r="AD33" s="324">
        <f t="shared" si="2"/>
        <v>0.75</v>
      </c>
      <c r="AE33" s="325">
        <f t="shared" si="2"/>
        <v>0.6</v>
      </c>
      <c r="AF33">
        <f t="shared" si="2"/>
        <v>0</v>
      </c>
    </row>
    <row r="34" spans="2:32" x14ac:dyDescent="0.2">
      <c r="B34" s="303">
        <v>10</v>
      </c>
      <c r="C34" s="303" t="e">
        <f>+_xlfn.XLOOKUP(D35,#REF!,#REF!,"!",0,1)</f>
        <v>#REF!</v>
      </c>
      <c r="D34" s="304" t="s">
        <v>793</v>
      </c>
      <c r="E34" s="305"/>
      <c r="F34" s="305"/>
      <c r="G34" s="305"/>
      <c r="H34" s="305"/>
      <c r="I34" s="305"/>
      <c r="J34" s="305"/>
      <c r="K34" s="305"/>
      <c r="L34" s="305"/>
      <c r="M34" s="322">
        <f t="shared" si="1"/>
        <v>1</v>
      </c>
      <c r="N34" s="322">
        <f t="shared" si="1"/>
        <v>0</v>
      </c>
      <c r="O34" s="322">
        <f t="shared" si="1"/>
        <v>0</v>
      </c>
      <c r="P34" s="323">
        <f t="shared" si="1"/>
        <v>1</v>
      </c>
      <c r="Q34" s="322">
        <f t="shared" si="1"/>
        <v>0.15</v>
      </c>
      <c r="R34" s="322">
        <f t="shared" si="1"/>
        <v>0.60000000000000009</v>
      </c>
      <c r="S34" s="322">
        <f t="shared" si="1"/>
        <v>0.2</v>
      </c>
      <c r="T34" s="322">
        <f t="shared" si="1"/>
        <v>0.2</v>
      </c>
      <c r="U34" s="322"/>
      <c r="V34" s="322"/>
      <c r="W34" s="322"/>
      <c r="X34" s="322"/>
      <c r="Y34" s="322"/>
      <c r="Z34" s="322"/>
      <c r="AA34" s="322">
        <f t="shared" si="2"/>
        <v>0.8</v>
      </c>
      <c r="AB34" s="322">
        <f t="shared" si="2"/>
        <v>0</v>
      </c>
      <c r="AC34" s="322">
        <f t="shared" si="2"/>
        <v>0</v>
      </c>
      <c r="AD34" s="322">
        <f t="shared" si="2"/>
        <v>0.3</v>
      </c>
      <c r="AE34" s="323">
        <f t="shared" si="2"/>
        <v>0.75</v>
      </c>
      <c r="AF34">
        <f t="shared" si="2"/>
        <v>0</v>
      </c>
    </row>
    <row r="35" spans="2:32" x14ac:dyDescent="0.2">
      <c r="B35" s="307">
        <v>11</v>
      </c>
      <c r="C35" s="307" t="e">
        <f>+_xlfn.XLOOKUP(D36,#REF!,#REF!,"!",0,1)</f>
        <v>#REF!</v>
      </c>
      <c r="D35" s="308" t="s">
        <v>794</v>
      </c>
      <c r="M35" s="324">
        <f t="shared" si="1"/>
        <v>0.25</v>
      </c>
      <c r="N35" s="324">
        <f t="shared" si="1"/>
        <v>0</v>
      </c>
      <c r="O35" s="324">
        <f t="shared" si="1"/>
        <v>0</v>
      </c>
      <c r="P35" s="325">
        <f t="shared" si="1"/>
        <v>1</v>
      </c>
      <c r="Q35" s="324">
        <f t="shared" si="1"/>
        <v>0.75</v>
      </c>
      <c r="R35" s="324">
        <f t="shared" si="1"/>
        <v>0.8</v>
      </c>
      <c r="S35" s="324">
        <f t="shared" si="1"/>
        <v>0.5</v>
      </c>
      <c r="T35" s="324">
        <f t="shared" si="1"/>
        <v>0.30000000000000004</v>
      </c>
      <c r="U35" s="324"/>
      <c r="V35" s="324"/>
      <c r="W35" s="324"/>
      <c r="X35" s="324"/>
      <c r="Y35" s="324"/>
      <c r="Z35" s="324"/>
      <c r="AA35" s="324">
        <f t="shared" si="2"/>
        <v>0.8</v>
      </c>
      <c r="AB35" s="324">
        <f t="shared" si="2"/>
        <v>0</v>
      </c>
      <c r="AC35" s="324">
        <f t="shared" si="2"/>
        <v>0</v>
      </c>
      <c r="AD35" s="324">
        <f t="shared" si="2"/>
        <v>0.6</v>
      </c>
      <c r="AE35" s="325">
        <f t="shared" si="2"/>
        <v>0.75</v>
      </c>
      <c r="AF35">
        <f t="shared" si="2"/>
        <v>0</v>
      </c>
    </row>
    <row r="36" spans="2:32" x14ac:dyDescent="0.2">
      <c r="B36" s="303">
        <v>12</v>
      </c>
      <c r="C36" s="303" t="e">
        <f>+_xlfn.XLOOKUP(D37,#REF!,#REF!,"!",0,1)</f>
        <v>#REF!</v>
      </c>
      <c r="D36" s="304" t="s">
        <v>795</v>
      </c>
      <c r="E36" s="305"/>
      <c r="F36" s="305"/>
      <c r="G36" s="305"/>
      <c r="H36" s="305"/>
      <c r="I36" s="305"/>
      <c r="J36" s="305"/>
      <c r="K36" s="305"/>
      <c r="L36" s="305"/>
      <c r="M36" s="322">
        <f t="shared" si="1"/>
        <v>0.5</v>
      </c>
      <c r="N36" s="322">
        <f t="shared" si="1"/>
        <v>0</v>
      </c>
      <c r="O36" s="322">
        <f t="shared" si="1"/>
        <v>0</v>
      </c>
      <c r="P36" s="323">
        <f t="shared" si="1"/>
        <v>0</v>
      </c>
      <c r="Q36" s="322">
        <f t="shared" si="1"/>
        <v>0.15</v>
      </c>
      <c r="R36" s="322">
        <f t="shared" si="1"/>
        <v>0.60000000000000009</v>
      </c>
      <c r="S36" s="322">
        <f t="shared" si="1"/>
        <v>0.30000000000000004</v>
      </c>
      <c r="T36" s="322">
        <f t="shared" si="1"/>
        <v>0.1</v>
      </c>
      <c r="U36" s="322"/>
      <c r="V36" s="322"/>
      <c r="W36" s="322"/>
      <c r="X36" s="322"/>
      <c r="Y36" s="322"/>
      <c r="Z36" s="322"/>
      <c r="AA36" s="322">
        <f t="shared" si="2"/>
        <v>0.4</v>
      </c>
      <c r="AB36" s="322">
        <f t="shared" si="2"/>
        <v>0</v>
      </c>
      <c r="AC36" s="322">
        <f t="shared" si="2"/>
        <v>0</v>
      </c>
      <c r="AD36" s="322">
        <f t="shared" si="2"/>
        <v>0.3</v>
      </c>
      <c r="AE36" s="323">
        <f t="shared" si="2"/>
        <v>0.6</v>
      </c>
      <c r="AF36">
        <f t="shared" si="2"/>
        <v>0</v>
      </c>
    </row>
    <row r="37" spans="2:32" x14ac:dyDescent="0.2">
      <c r="B37" s="307">
        <v>13</v>
      </c>
      <c r="C37" s="307" t="e">
        <f>+_xlfn.XLOOKUP(D38,#REF!,#REF!,"!",0,1)</f>
        <v>#REF!</v>
      </c>
      <c r="D37" s="308" t="s">
        <v>796</v>
      </c>
      <c r="M37" s="324">
        <f t="shared" si="1"/>
        <v>1</v>
      </c>
      <c r="N37" s="324">
        <f t="shared" si="1"/>
        <v>0</v>
      </c>
      <c r="O37" s="324">
        <f t="shared" si="1"/>
        <v>0</v>
      </c>
      <c r="P37" s="325">
        <f t="shared" si="1"/>
        <v>0.2</v>
      </c>
      <c r="Q37" s="324">
        <f t="shared" si="1"/>
        <v>0.3</v>
      </c>
      <c r="R37" s="324">
        <f t="shared" si="1"/>
        <v>0.60000000000000009</v>
      </c>
      <c r="S37" s="324">
        <f t="shared" si="1"/>
        <v>0.4</v>
      </c>
      <c r="T37" s="324">
        <f t="shared" si="1"/>
        <v>0.30000000000000004</v>
      </c>
      <c r="U37" s="324"/>
      <c r="V37" s="324"/>
      <c r="W37" s="324"/>
      <c r="X37" s="324"/>
      <c r="Y37" s="324"/>
      <c r="Z37" s="324"/>
      <c r="AA37" s="324">
        <f t="shared" si="2"/>
        <v>0.4</v>
      </c>
      <c r="AB37" s="324">
        <f t="shared" si="2"/>
        <v>0</v>
      </c>
      <c r="AC37" s="324">
        <f t="shared" si="2"/>
        <v>0</v>
      </c>
      <c r="AD37" s="324">
        <f t="shared" si="2"/>
        <v>0.6</v>
      </c>
      <c r="AE37" s="325">
        <f t="shared" si="2"/>
        <v>0.6</v>
      </c>
      <c r="AF37">
        <f t="shared" si="2"/>
        <v>0</v>
      </c>
    </row>
    <row r="38" spans="2:32" x14ac:dyDescent="0.2">
      <c r="B38" s="303">
        <v>14</v>
      </c>
      <c r="C38" s="303" t="s">
        <v>797</v>
      </c>
      <c r="D38" s="304" t="s">
        <v>798</v>
      </c>
      <c r="E38" s="305"/>
      <c r="F38" s="305"/>
      <c r="G38" s="305"/>
      <c r="H38" s="305"/>
      <c r="I38" s="305"/>
      <c r="J38" s="305"/>
      <c r="K38" s="305"/>
      <c r="L38" s="305"/>
      <c r="M38" s="322">
        <f t="shared" si="1"/>
        <v>1.25</v>
      </c>
      <c r="N38" s="322">
        <f t="shared" si="1"/>
        <v>0</v>
      </c>
      <c r="O38" s="322">
        <f t="shared" si="1"/>
        <v>0</v>
      </c>
      <c r="P38" s="323">
        <f t="shared" si="1"/>
        <v>1</v>
      </c>
      <c r="Q38" s="322">
        <f t="shared" si="1"/>
        <v>0.15</v>
      </c>
      <c r="R38" s="322">
        <f t="shared" si="1"/>
        <v>0.4</v>
      </c>
      <c r="S38" s="322">
        <f t="shared" si="1"/>
        <v>0.1</v>
      </c>
      <c r="T38" s="322">
        <f t="shared" si="1"/>
        <v>0.30000000000000004</v>
      </c>
      <c r="U38" s="322"/>
      <c r="V38" s="322"/>
      <c r="W38" s="322"/>
      <c r="X38" s="322"/>
      <c r="Y38" s="322"/>
      <c r="Z38" s="322"/>
      <c r="AA38" s="322">
        <f t="shared" si="2"/>
        <v>0.8</v>
      </c>
      <c r="AB38" s="322">
        <f t="shared" si="2"/>
        <v>0</v>
      </c>
      <c r="AC38" s="322">
        <f t="shared" si="2"/>
        <v>0</v>
      </c>
      <c r="AD38" s="322">
        <f t="shared" si="2"/>
        <v>0.44999999999999996</v>
      </c>
      <c r="AE38" s="323">
        <f t="shared" si="2"/>
        <v>0.6</v>
      </c>
      <c r="AF38">
        <f t="shared" si="2"/>
        <v>0</v>
      </c>
    </row>
    <row r="39" spans="2:32" x14ac:dyDescent="0.2">
      <c r="B39" s="307"/>
      <c r="C39" s="307"/>
      <c r="D39" s="308" t="s">
        <v>799</v>
      </c>
      <c r="M39" s="324">
        <f t="shared" ref="M39:Q40" si="3">+M18*M$1</f>
        <v>0</v>
      </c>
      <c r="N39" s="324">
        <f t="shared" si="3"/>
        <v>0</v>
      </c>
      <c r="O39" s="324">
        <f t="shared" si="3"/>
        <v>0</v>
      </c>
      <c r="P39" s="325">
        <f t="shared" si="3"/>
        <v>0</v>
      </c>
      <c r="Q39" s="324">
        <f t="shared" si="3"/>
        <v>0</v>
      </c>
      <c r="R39" s="324"/>
      <c r="S39" s="324">
        <f>+S18*S$1</f>
        <v>0</v>
      </c>
      <c r="T39" s="324">
        <f>+T18*T$1</f>
        <v>0</v>
      </c>
      <c r="U39" s="324"/>
      <c r="V39" s="324"/>
      <c r="W39" s="324"/>
      <c r="X39" s="324"/>
      <c r="Y39" s="324"/>
      <c r="Z39" s="324"/>
      <c r="AA39" s="324">
        <f t="shared" ref="AA39:AE40" si="4">+AA18*AA$1</f>
        <v>0</v>
      </c>
      <c r="AB39" s="324">
        <f t="shared" si="4"/>
        <v>0</v>
      </c>
      <c r="AC39" s="324">
        <f t="shared" si="4"/>
        <v>0</v>
      </c>
      <c r="AD39" s="324">
        <f t="shared" si="4"/>
        <v>0</v>
      </c>
      <c r="AE39" s="325">
        <f t="shared" si="4"/>
        <v>0</v>
      </c>
      <c r="AF39">
        <f>+AF19*AF$1</f>
        <v>0</v>
      </c>
    </row>
    <row r="40" spans="2:32" x14ac:dyDescent="0.2">
      <c r="B40" s="303">
        <v>15</v>
      </c>
      <c r="C40" s="303" t="e">
        <f>+_xlfn.XLOOKUP(D45,#REF!,#REF!,"!",0,1)</f>
        <v>#REF!</v>
      </c>
      <c r="D40" s="304" t="s">
        <v>800</v>
      </c>
      <c r="E40" s="305"/>
      <c r="F40" s="305"/>
      <c r="G40" s="305"/>
      <c r="H40" s="305"/>
      <c r="I40" s="305"/>
      <c r="J40" s="305"/>
      <c r="K40" s="305"/>
      <c r="L40" s="305"/>
      <c r="M40" s="322">
        <f t="shared" si="3"/>
        <v>0.25</v>
      </c>
      <c r="N40" s="322">
        <f t="shared" si="3"/>
        <v>0</v>
      </c>
      <c r="O40" s="322">
        <f t="shared" si="3"/>
        <v>0</v>
      </c>
      <c r="P40" s="323">
        <f t="shared" si="3"/>
        <v>1</v>
      </c>
      <c r="Q40" s="322">
        <f t="shared" si="3"/>
        <v>0.6</v>
      </c>
      <c r="R40" s="322">
        <f>+R19*R$1</f>
        <v>0.60000000000000009</v>
      </c>
      <c r="S40" s="322">
        <f>+S19*S$1</f>
        <v>0.5</v>
      </c>
      <c r="T40" s="322">
        <f>+T19*T$1</f>
        <v>0.30000000000000004</v>
      </c>
      <c r="U40" s="322"/>
      <c r="V40" s="322"/>
      <c r="W40" s="322"/>
      <c r="X40" s="322"/>
      <c r="Y40" s="322"/>
      <c r="Z40" s="322"/>
      <c r="AA40" s="322">
        <f t="shared" si="4"/>
        <v>1</v>
      </c>
      <c r="AB40" s="322">
        <f t="shared" si="4"/>
        <v>0</v>
      </c>
      <c r="AC40" s="322">
        <f t="shared" si="4"/>
        <v>0.6</v>
      </c>
      <c r="AD40" s="322">
        <f t="shared" si="4"/>
        <v>0.44999999999999996</v>
      </c>
      <c r="AE40" s="323">
        <f t="shared" si="4"/>
        <v>0.75</v>
      </c>
    </row>
    <row r="41" spans="2:32" x14ac:dyDescent="0.2">
      <c r="B41" s="52"/>
      <c r="C41" s="52"/>
    </row>
    <row r="42" spans="2:32" x14ac:dyDescent="0.2">
      <c r="B42" s="52"/>
      <c r="C42" s="52"/>
    </row>
    <row r="43" spans="2:32" x14ac:dyDescent="0.2">
      <c r="B43" s="52"/>
      <c r="C43" s="52"/>
    </row>
    <row r="44" spans="2:32" x14ac:dyDescent="0.2">
      <c r="B44" s="52"/>
      <c r="C44" s="52"/>
    </row>
    <row r="46" spans="2:32" x14ac:dyDescent="0.2">
      <c r="B46" s="326" t="s">
        <v>715</v>
      </c>
      <c r="C46" s="326" t="s">
        <v>716</v>
      </c>
      <c r="D46" s="326" t="s">
        <v>717</v>
      </c>
      <c r="E46" s="296"/>
      <c r="F46" s="296"/>
      <c r="G46" s="296"/>
      <c r="H46" s="296"/>
      <c r="I46" s="296"/>
      <c r="J46" s="296"/>
      <c r="K46" s="296"/>
      <c r="L46" s="296"/>
      <c r="M46" s="326" t="s">
        <v>802</v>
      </c>
      <c r="N46" s="326"/>
      <c r="O46" s="326"/>
      <c r="P46" s="326" t="s">
        <v>705</v>
      </c>
    </row>
    <row r="47" spans="2:32" x14ac:dyDescent="0.2">
      <c r="B47" s="307">
        <v>1</v>
      </c>
      <c r="C47" s="307" t="e">
        <f>+_xlfn.XLOOKUP(D48,#REF!,#REF!,"!",0,1)</f>
        <v>#REF!</v>
      </c>
      <c r="D47" s="308" t="s">
        <v>731</v>
      </c>
      <c r="M47" s="307">
        <f t="shared" ref="M47:M62" si="5">+SUM(AA25:AE25)</f>
        <v>1.1000000000000001</v>
      </c>
      <c r="N47" s="307"/>
      <c r="O47" s="307"/>
      <c r="P47" s="327">
        <f t="shared" ref="P47:P62" si="6">+SUM(M25:T25)</f>
        <v>3.85</v>
      </c>
    </row>
    <row r="48" spans="2:32" x14ac:dyDescent="0.2">
      <c r="B48" s="303">
        <v>2</v>
      </c>
      <c r="C48" s="303" t="e">
        <f>+_xlfn.XLOOKUP(D49,#REF!,#REF!,"!",0,1)</f>
        <v>#REF!</v>
      </c>
      <c r="D48" s="304" t="s">
        <v>744</v>
      </c>
      <c r="E48" s="305"/>
      <c r="F48" s="305"/>
      <c r="G48" s="305"/>
      <c r="H48" s="305"/>
      <c r="I48" s="305"/>
      <c r="J48" s="305"/>
      <c r="K48" s="305"/>
      <c r="L48" s="305"/>
      <c r="M48" s="303">
        <f t="shared" si="5"/>
        <v>2.15</v>
      </c>
      <c r="N48" s="303"/>
      <c r="O48" s="303"/>
      <c r="P48" s="328">
        <f t="shared" si="6"/>
        <v>3.7</v>
      </c>
    </row>
    <row r="49" spans="2:16" x14ac:dyDescent="0.2">
      <c r="B49" s="307">
        <v>3</v>
      </c>
      <c r="C49" s="307" t="e">
        <f>+_xlfn.XLOOKUP(D50,#REF!,#REF!,"!",0,1)</f>
        <v>#REF!</v>
      </c>
      <c r="D49" s="308" t="s">
        <v>751</v>
      </c>
      <c r="M49" s="307">
        <f t="shared" si="5"/>
        <v>2.2000000000000002</v>
      </c>
      <c r="N49" s="307"/>
      <c r="O49" s="307"/>
      <c r="P49" s="327">
        <f t="shared" si="6"/>
        <v>2.95</v>
      </c>
    </row>
    <row r="50" spans="2:16" x14ac:dyDescent="0.2">
      <c r="B50" s="303">
        <v>4</v>
      </c>
      <c r="C50" s="303" t="e">
        <f>+_xlfn.XLOOKUP(D51,#REF!,#REF!,"!",0,1)</f>
        <v>#REF!</v>
      </c>
      <c r="D50" s="304" t="s">
        <v>759</v>
      </c>
      <c r="E50" s="305"/>
      <c r="F50" s="305"/>
      <c r="G50" s="305"/>
      <c r="H50" s="305"/>
      <c r="I50" s="305"/>
      <c r="J50" s="305"/>
      <c r="K50" s="305"/>
      <c r="L50" s="305"/>
      <c r="M50" s="303">
        <f t="shared" si="5"/>
        <v>2.15</v>
      </c>
      <c r="N50" s="303"/>
      <c r="O50" s="303"/>
      <c r="P50" s="328">
        <f t="shared" si="6"/>
        <v>3.3000000000000003</v>
      </c>
    </row>
    <row r="51" spans="2:16" x14ac:dyDescent="0.2">
      <c r="B51" s="307">
        <v>5</v>
      </c>
      <c r="C51" s="307" t="e">
        <f>+_xlfn.XLOOKUP(D52,#REF!,#REF!,"!",0,1)</f>
        <v>#REF!</v>
      </c>
      <c r="D51" s="308" t="s">
        <v>772</v>
      </c>
      <c r="M51" s="307">
        <f t="shared" si="5"/>
        <v>1.45</v>
      </c>
      <c r="N51" s="307"/>
      <c r="O51" s="307"/>
      <c r="P51" s="327">
        <f t="shared" si="6"/>
        <v>4.05</v>
      </c>
    </row>
    <row r="52" spans="2:16" x14ac:dyDescent="0.2">
      <c r="B52" s="303">
        <v>6</v>
      </c>
      <c r="C52" s="303" t="e">
        <f>+_xlfn.XLOOKUP(D53,#REF!,#REF!,"!",0,1)</f>
        <v>#REF!</v>
      </c>
      <c r="D52" s="304" t="s">
        <v>784</v>
      </c>
      <c r="E52" s="305"/>
      <c r="F52" s="305"/>
      <c r="G52" s="305"/>
      <c r="H52" s="305"/>
      <c r="I52" s="305"/>
      <c r="J52" s="305"/>
      <c r="K52" s="305"/>
      <c r="L52" s="305"/>
      <c r="M52" s="303">
        <f t="shared" si="5"/>
        <v>2.15</v>
      </c>
      <c r="N52" s="303"/>
      <c r="O52" s="303"/>
      <c r="P52" s="328">
        <f t="shared" si="6"/>
        <v>3.25</v>
      </c>
    </row>
    <row r="53" spans="2:16" x14ac:dyDescent="0.2">
      <c r="B53" s="307">
        <v>7</v>
      </c>
      <c r="C53" s="307" t="e">
        <f>+_xlfn.XLOOKUP(D54,#REF!,#REF!,"!",0,1)</f>
        <v>#REF!</v>
      </c>
      <c r="D53" s="308" t="s">
        <v>790</v>
      </c>
      <c r="M53" s="307">
        <f t="shared" si="5"/>
        <v>1.9500000000000002</v>
      </c>
      <c r="N53" s="307"/>
      <c r="O53" s="307"/>
      <c r="P53" s="327">
        <f t="shared" si="6"/>
        <v>2.3000000000000003</v>
      </c>
    </row>
    <row r="54" spans="2:16" x14ac:dyDescent="0.2">
      <c r="B54" s="303">
        <v>8</v>
      </c>
      <c r="C54" s="303" t="e">
        <f>+_xlfn.XLOOKUP(D55,#REF!,#REF!,"!",0,1)</f>
        <v>#REF!</v>
      </c>
      <c r="D54" s="304" t="s">
        <v>791</v>
      </c>
      <c r="E54" s="305"/>
      <c r="F54" s="305"/>
      <c r="G54" s="305"/>
      <c r="H54" s="305"/>
      <c r="I54" s="305"/>
      <c r="J54" s="305"/>
      <c r="K54" s="305"/>
      <c r="L54" s="305"/>
      <c r="M54" s="303">
        <f t="shared" si="5"/>
        <v>2.2999999999999998</v>
      </c>
      <c r="N54" s="303"/>
      <c r="O54" s="303"/>
      <c r="P54" s="328">
        <f t="shared" si="6"/>
        <v>3.15</v>
      </c>
    </row>
    <row r="55" spans="2:16" x14ac:dyDescent="0.2">
      <c r="B55" s="307">
        <v>9</v>
      </c>
      <c r="C55" s="307" t="e">
        <f>+_xlfn.XLOOKUP(D56,#REF!,#REF!,"!",0,1)</f>
        <v>#REF!</v>
      </c>
      <c r="D55" s="308" t="s">
        <v>792</v>
      </c>
      <c r="M55" s="307">
        <f t="shared" si="5"/>
        <v>2.15</v>
      </c>
      <c r="N55" s="307"/>
      <c r="O55" s="307"/>
      <c r="P55" s="327">
        <f t="shared" si="6"/>
        <v>3.0999999999999996</v>
      </c>
    </row>
    <row r="56" spans="2:16" x14ac:dyDescent="0.2">
      <c r="B56" s="303">
        <v>10</v>
      </c>
      <c r="C56" s="303" t="e">
        <f>+_xlfn.XLOOKUP(D57,#REF!,#REF!,"!",0,1)</f>
        <v>#REF!</v>
      </c>
      <c r="D56" s="304" t="s">
        <v>793</v>
      </c>
      <c r="E56" s="305"/>
      <c r="F56" s="305"/>
      <c r="G56" s="305"/>
      <c r="H56" s="305"/>
      <c r="I56" s="305"/>
      <c r="J56" s="305"/>
      <c r="K56" s="305"/>
      <c r="L56" s="305"/>
      <c r="M56" s="303">
        <f t="shared" si="5"/>
        <v>1.85</v>
      </c>
      <c r="N56" s="303"/>
      <c r="O56" s="303"/>
      <c r="P56" s="328">
        <f t="shared" si="6"/>
        <v>3.1500000000000004</v>
      </c>
    </row>
    <row r="57" spans="2:16" x14ac:dyDescent="0.2">
      <c r="B57" s="307">
        <v>11</v>
      </c>
      <c r="C57" s="307" t="e">
        <f>+_xlfn.XLOOKUP(D58,#REF!,#REF!,"!",0,1)</f>
        <v>#REF!</v>
      </c>
      <c r="D57" s="308" t="s">
        <v>794</v>
      </c>
      <c r="M57" s="307">
        <f t="shared" si="5"/>
        <v>2.15</v>
      </c>
      <c r="N57" s="307"/>
      <c r="O57" s="307"/>
      <c r="P57" s="327">
        <f t="shared" si="6"/>
        <v>3.5999999999999996</v>
      </c>
    </row>
    <row r="58" spans="2:16" x14ac:dyDescent="0.2">
      <c r="B58" s="303">
        <v>12</v>
      </c>
      <c r="C58" s="303" t="e">
        <f>+_xlfn.XLOOKUP(D59,#REF!,#REF!,"!",0,1)</f>
        <v>#REF!</v>
      </c>
      <c r="D58" s="304" t="s">
        <v>795</v>
      </c>
      <c r="E58" s="305"/>
      <c r="F58" s="305"/>
      <c r="G58" s="305"/>
      <c r="H58" s="305"/>
      <c r="I58" s="305"/>
      <c r="J58" s="305"/>
      <c r="K58" s="305"/>
      <c r="L58" s="305"/>
      <c r="M58" s="303">
        <f t="shared" si="5"/>
        <v>1.2999999999999998</v>
      </c>
      <c r="N58" s="303"/>
      <c r="O58" s="303"/>
      <c r="P58" s="328">
        <f t="shared" si="6"/>
        <v>1.6500000000000001</v>
      </c>
    </row>
    <row r="59" spans="2:16" x14ac:dyDescent="0.2">
      <c r="B59" s="307">
        <v>13</v>
      </c>
      <c r="C59" s="307" t="e">
        <f>+_xlfn.XLOOKUP(D60,#REF!,#REF!,"!",0,1)</f>
        <v>#REF!</v>
      </c>
      <c r="D59" s="308" t="s">
        <v>796</v>
      </c>
      <c r="M59" s="307">
        <f t="shared" si="5"/>
        <v>1.6</v>
      </c>
      <c r="N59" s="307"/>
      <c r="O59" s="307"/>
      <c r="P59" s="327">
        <f t="shared" si="6"/>
        <v>2.8</v>
      </c>
    </row>
    <row r="60" spans="2:16" x14ac:dyDescent="0.2">
      <c r="B60" s="303">
        <v>14</v>
      </c>
      <c r="C60" s="303" t="s">
        <v>797</v>
      </c>
      <c r="D60" s="304" t="s">
        <v>798</v>
      </c>
      <c r="E60" s="305"/>
      <c r="F60" s="305"/>
      <c r="G60" s="305"/>
      <c r="H60" s="305"/>
      <c r="I60" s="305"/>
      <c r="J60" s="305"/>
      <c r="K60" s="305"/>
      <c r="L60" s="305"/>
      <c r="M60" s="303">
        <f t="shared" si="5"/>
        <v>1.85</v>
      </c>
      <c r="N60" s="303"/>
      <c r="O60" s="303"/>
      <c r="P60" s="328">
        <f t="shared" si="6"/>
        <v>3.2</v>
      </c>
    </row>
    <row r="61" spans="2:16" x14ac:dyDescent="0.2">
      <c r="B61" s="307">
        <v>15</v>
      </c>
      <c r="C61" s="307"/>
      <c r="D61" s="308" t="s">
        <v>799</v>
      </c>
      <c r="M61" s="307">
        <f t="shared" si="5"/>
        <v>0</v>
      </c>
      <c r="N61" s="307"/>
      <c r="O61" s="307"/>
      <c r="P61" s="327">
        <f t="shared" si="6"/>
        <v>0</v>
      </c>
    </row>
    <row r="62" spans="2:16" x14ac:dyDescent="0.2">
      <c r="B62" s="303">
        <v>16</v>
      </c>
      <c r="C62" s="303" t="e">
        <f>+_xlfn.XLOOKUP(D65,#REF!,#REF!,"!",0,1)</f>
        <v>#REF!</v>
      </c>
      <c r="D62" s="304" t="s">
        <v>800</v>
      </c>
      <c r="E62" s="305"/>
      <c r="F62" s="305"/>
      <c r="G62" s="305"/>
      <c r="H62" s="305"/>
      <c r="I62" s="305"/>
      <c r="J62" s="305"/>
      <c r="K62" s="305"/>
      <c r="L62" s="305"/>
      <c r="M62" s="303">
        <f t="shared" si="5"/>
        <v>2.8</v>
      </c>
      <c r="N62" s="303"/>
      <c r="O62" s="303"/>
      <c r="P62" s="328">
        <f t="shared" si="6"/>
        <v>3.25</v>
      </c>
    </row>
    <row r="68" spans="4:13" x14ac:dyDescent="0.2">
      <c r="D68" s="52"/>
      <c r="E68" s="52"/>
      <c r="F68" s="52"/>
      <c r="G68" s="52"/>
      <c r="H68" s="52"/>
      <c r="I68" s="52"/>
      <c r="J68" s="52"/>
      <c r="K68" s="52"/>
      <c r="L68" s="52"/>
      <c r="M68" s="52"/>
    </row>
    <row r="69" spans="4:13" x14ac:dyDescent="0.2">
      <c r="D69" s="52"/>
      <c r="E69" s="52"/>
      <c r="F69" s="52"/>
      <c r="G69" s="52"/>
      <c r="H69" s="52"/>
      <c r="I69" s="52"/>
      <c r="J69" s="52"/>
      <c r="K69" s="52"/>
      <c r="L69" s="52"/>
      <c r="M69" s="52"/>
    </row>
    <row r="70" spans="4:13" x14ac:dyDescent="0.2">
      <c r="D70" s="52"/>
      <c r="E70" s="52"/>
      <c r="F70" s="52"/>
      <c r="G70" s="52"/>
      <c r="H70" s="52"/>
      <c r="I70" s="52"/>
      <c r="J70" s="52"/>
      <c r="K70" s="52"/>
      <c r="L70" s="52"/>
      <c r="M70" s="52"/>
    </row>
    <row r="71" spans="4:13" x14ac:dyDescent="0.2">
      <c r="D71" s="52"/>
      <c r="E71" s="52"/>
      <c r="F71" s="52"/>
      <c r="G71" s="52"/>
      <c r="H71" s="52"/>
      <c r="I71" s="52"/>
      <c r="J71" s="52"/>
      <c r="K71" s="52"/>
      <c r="L71" s="52"/>
      <c r="M71" s="52"/>
    </row>
    <row r="72" spans="4:13" x14ac:dyDescent="0.2">
      <c r="D72" s="52"/>
      <c r="E72" s="52"/>
      <c r="F72" s="52"/>
      <c r="G72" s="52"/>
      <c r="H72" s="52"/>
      <c r="I72" s="52"/>
      <c r="J72" s="52"/>
      <c r="K72" s="52"/>
      <c r="L72" s="52"/>
      <c r="M72" s="52"/>
    </row>
    <row r="73" spans="4:13" x14ac:dyDescent="0.2">
      <c r="D73" s="52"/>
      <c r="E73" s="52"/>
      <c r="F73" s="52"/>
      <c r="G73" s="52"/>
      <c r="H73" s="52"/>
      <c r="I73" s="52"/>
      <c r="J73" s="52"/>
      <c r="K73" s="52"/>
      <c r="L73" s="52"/>
      <c r="M73" s="52"/>
    </row>
    <row r="74" spans="4:13" x14ac:dyDescent="0.2">
      <c r="D74" s="52"/>
      <c r="E74" s="52"/>
      <c r="F74" s="52"/>
      <c r="G74" s="52"/>
      <c r="H74" s="52"/>
      <c r="I74" s="52"/>
      <c r="J74" s="52"/>
      <c r="K74" s="52"/>
      <c r="L74" s="52"/>
      <c r="M74" s="52"/>
    </row>
    <row r="75" spans="4:13" x14ac:dyDescent="0.2">
      <c r="D75" s="52"/>
      <c r="E75" s="52"/>
      <c r="F75" s="52"/>
      <c r="G75" s="52"/>
      <c r="H75" s="52"/>
      <c r="I75" s="52"/>
      <c r="J75" s="52"/>
      <c r="K75" s="52"/>
      <c r="L75" s="52"/>
      <c r="M75" s="52"/>
    </row>
    <row r="76" spans="4:13" x14ac:dyDescent="0.2">
      <c r="D76" s="52"/>
      <c r="E76" s="52"/>
      <c r="F76" s="52"/>
      <c r="G76" s="52"/>
      <c r="H76" s="52"/>
      <c r="I76" s="52"/>
      <c r="J76" s="52"/>
      <c r="K76" s="52"/>
      <c r="L76" s="52"/>
      <c r="M76" s="52"/>
    </row>
    <row r="77" spans="4:13" x14ac:dyDescent="0.2">
      <c r="D77" s="52"/>
      <c r="E77" s="52"/>
      <c r="F77" s="52"/>
      <c r="G77" s="52"/>
      <c r="H77" s="52"/>
      <c r="I77" s="52"/>
      <c r="J77" s="52"/>
      <c r="K77" s="52"/>
      <c r="L77" s="52"/>
      <c r="M77" s="52"/>
    </row>
    <row r="85" spans="4:4" x14ac:dyDescent="0.2">
      <c r="D85" t="s">
        <v>803</v>
      </c>
    </row>
  </sheetData>
  <mergeCells count="10">
    <mergeCell ref="BH2:BH3"/>
    <mergeCell ref="BI2:BM2"/>
    <mergeCell ref="M23:T23"/>
    <mergeCell ref="AA23:AE23"/>
    <mergeCell ref="M2:T2"/>
    <mergeCell ref="AA2:AE2"/>
    <mergeCell ref="AX2:AX3"/>
    <mergeCell ref="AY2:AY3"/>
    <mergeCell ref="AZ2:BD2"/>
    <mergeCell ref="BG2:BG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0305-9DBC-40C7-B4B1-26690C340074}">
  <dimension ref="A1:G59"/>
  <sheetViews>
    <sheetView topLeftCell="A13" workbookViewId="0">
      <selection activeCell="C23" sqref="C23"/>
    </sheetView>
  </sheetViews>
  <sheetFormatPr baseColWidth="10" defaultColWidth="11.5" defaultRowHeight="15" x14ac:dyDescent="0.2"/>
  <cols>
    <col min="1" max="1" width="11.5" style="14"/>
    <col min="2" max="2" width="12.33203125" customWidth="1"/>
    <col min="3" max="3" width="30.6640625" customWidth="1"/>
    <col min="4" max="4" width="13.5" customWidth="1"/>
    <col min="5" max="5" width="88.1640625" customWidth="1"/>
    <col min="6" max="6" width="11.6640625" bestFit="1" customWidth="1"/>
  </cols>
  <sheetData>
    <row r="1" spans="1:7" ht="16" x14ac:dyDescent="0.2">
      <c r="A1" s="37" t="s">
        <v>59</v>
      </c>
      <c r="B1" s="44" t="s">
        <v>63</v>
      </c>
      <c r="C1" s="45" t="s">
        <v>64</v>
      </c>
      <c r="D1" s="45" t="s">
        <v>65</v>
      </c>
      <c r="E1" s="37" t="s">
        <v>66</v>
      </c>
      <c r="F1" s="39" t="s">
        <v>67</v>
      </c>
    </row>
    <row r="2" spans="1:7" x14ac:dyDescent="0.2">
      <c r="A2" s="8">
        <v>1</v>
      </c>
      <c r="B2" s="42" t="s">
        <v>50</v>
      </c>
      <c r="C2" s="42" t="s">
        <v>135</v>
      </c>
      <c r="D2" s="42" t="s">
        <v>136</v>
      </c>
      <c r="E2" s="42" t="s">
        <v>137</v>
      </c>
      <c r="F2" s="42">
        <v>200</v>
      </c>
      <c r="G2">
        <f>+F2*1000</f>
        <v>200000</v>
      </c>
    </row>
    <row r="3" spans="1:7" x14ac:dyDescent="0.2">
      <c r="A3" s="8">
        <v>2</v>
      </c>
      <c r="B3" s="42" t="s">
        <v>50</v>
      </c>
      <c r="C3" s="42" t="s">
        <v>135</v>
      </c>
      <c r="D3" s="42" t="s">
        <v>136</v>
      </c>
      <c r="E3" s="42" t="s">
        <v>138</v>
      </c>
      <c r="F3" s="42">
        <v>120</v>
      </c>
      <c r="G3">
        <f t="shared" ref="G3:G22" si="0">+F3*1000</f>
        <v>120000</v>
      </c>
    </row>
    <row r="4" spans="1:7" x14ac:dyDescent="0.2">
      <c r="A4" s="8">
        <v>3</v>
      </c>
      <c r="B4" s="42" t="s">
        <v>50</v>
      </c>
      <c r="C4" s="42" t="s">
        <v>135</v>
      </c>
      <c r="D4" s="42" t="s">
        <v>136</v>
      </c>
      <c r="E4" s="42" t="s">
        <v>139</v>
      </c>
      <c r="F4" s="42">
        <v>150</v>
      </c>
      <c r="G4">
        <f t="shared" si="0"/>
        <v>150000</v>
      </c>
    </row>
    <row r="5" spans="1:7" x14ac:dyDescent="0.2">
      <c r="A5" s="8">
        <v>4</v>
      </c>
      <c r="B5" s="42" t="s">
        <v>50</v>
      </c>
      <c r="C5" s="42" t="s">
        <v>140</v>
      </c>
      <c r="D5" s="42" t="s">
        <v>141</v>
      </c>
      <c r="E5" s="42" t="s">
        <v>142</v>
      </c>
      <c r="F5" s="42">
        <v>70</v>
      </c>
      <c r="G5">
        <f t="shared" si="0"/>
        <v>70000</v>
      </c>
    </row>
    <row r="6" spans="1:7" x14ac:dyDescent="0.2">
      <c r="A6" s="8">
        <v>5</v>
      </c>
      <c r="B6" s="42" t="s">
        <v>50</v>
      </c>
      <c r="C6" s="42" t="s">
        <v>140</v>
      </c>
      <c r="D6" s="42" t="s">
        <v>141</v>
      </c>
      <c r="E6" s="42" t="s">
        <v>137</v>
      </c>
      <c r="F6" s="42">
        <v>200</v>
      </c>
      <c r="G6">
        <f t="shared" si="0"/>
        <v>200000</v>
      </c>
    </row>
    <row r="7" spans="1:7" x14ac:dyDescent="0.2">
      <c r="A7" s="8">
        <v>6</v>
      </c>
      <c r="B7" s="42" t="s">
        <v>50</v>
      </c>
      <c r="C7" s="42" t="s">
        <v>135</v>
      </c>
      <c r="D7" s="42"/>
      <c r="E7" s="42" t="s">
        <v>143</v>
      </c>
      <c r="F7" s="42">
        <v>200</v>
      </c>
      <c r="G7">
        <f t="shared" si="0"/>
        <v>200000</v>
      </c>
    </row>
    <row r="8" spans="1:7" x14ac:dyDescent="0.2">
      <c r="A8" s="8">
        <v>7</v>
      </c>
      <c r="B8" s="42" t="s">
        <v>52</v>
      </c>
      <c r="C8" s="46" t="s">
        <v>144</v>
      </c>
      <c r="D8" s="46" t="s">
        <v>145</v>
      </c>
      <c r="E8" s="46" t="s">
        <v>146</v>
      </c>
      <c r="F8" s="46">
        <v>50</v>
      </c>
      <c r="G8">
        <f t="shared" si="0"/>
        <v>50000</v>
      </c>
    </row>
    <row r="9" spans="1:7" x14ac:dyDescent="0.2">
      <c r="A9" s="8">
        <v>8</v>
      </c>
      <c r="B9" s="42" t="s">
        <v>53</v>
      </c>
      <c r="C9" s="42" t="s">
        <v>147</v>
      </c>
      <c r="D9" s="42" t="s">
        <v>57</v>
      </c>
      <c r="E9" s="42" t="s">
        <v>148</v>
      </c>
      <c r="F9" s="42">
        <v>150</v>
      </c>
      <c r="G9">
        <f t="shared" si="0"/>
        <v>150000</v>
      </c>
    </row>
    <row r="10" spans="1:7" x14ac:dyDescent="0.2">
      <c r="A10" s="8">
        <v>9</v>
      </c>
      <c r="B10" s="42" t="s">
        <v>53</v>
      </c>
      <c r="C10" s="46" t="s">
        <v>149</v>
      </c>
      <c r="D10" s="46" t="s">
        <v>150</v>
      </c>
      <c r="E10" s="46" t="s">
        <v>151</v>
      </c>
      <c r="F10" s="46">
        <v>100</v>
      </c>
      <c r="G10">
        <f t="shared" si="0"/>
        <v>100000</v>
      </c>
    </row>
    <row r="11" spans="1:7" x14ac:dyDescent="0.2">
      <c r="A11" s="8">
        <v>10</v>
      </c>
      <c r="B11" s="42" t="s">
        <v>52</v>
      </c>
      <c r="C11" s="46" t="s">
        <v>144</v>
      </c>
      <c r="D11" s="47" t="s">
        <v>145</v>
      </c>
      <c r="E11" s="47" t="s">
        <v>152</v>
      </c>
      <c r="F11" s="42">
        <v>150</v>
      </c>
      <c r="G11">
        <f t="shared" si="0"/>
        <v>150000</v>
      </c>
    </row>
    <row r="12" spans="1:7" x14ac:dyDescent="0.2">
      <c r="A12" s="8">
        <v>11</v>
      </c>
      <c r="B12" s="42" t="s">
        <v>52</v>
      </c>
      <c r="C12" s="48" t="s">
        <v>153</v>
      </c>
      <c r="D12" s="48" t="s">
        <v>154</v>
      </c>
      <c r="E12" s="48" t="s">
        <v>155</v>
      </c>
      <c r="F12" s="46">
        <v>100</v>
      </c>
      <c r="G12">
        <f t="shared" si="0"/>
        <v>100000</v>
      </c>
    </row>
    <row r="13" spans="1:7" x14ac:dyDescent="0.2">
      <c r="A13" s="8">
        <v>12</v>
      </c>
      <c r="B13" s="42" t="s">
        <v>53</v>
      </c>
      <c r="C13" s="47" t="s">
        <v>100</v>
      </c>
      <c r="D13" s="47" t="s">
        <v>156</v>
      </c>
      <c r="E13" s="47" t="s">
        <v>157</v>
      </c>
      <c r="F13" s="42">
        <v>150</v>
      </c>
      <c r="G13">
        <f t="shared" si="0"/>
        <v>150000</v>
      </c>
    </row>
    <row r="14" spans="1:7" x14ac:dyDescent="0.2">
      <c r="A14" s="8">
        <v>13</v>
      </c>
      <c r="B14" s="42" t="s">
        <v>53</v>
      </c>
      <c r="C14" s="47" t="s">
        <v>158</v>
      </c>
      <c r="D14" s="47" t="s">
        <v>159</v>
      </c>
      <c r="E14" s="47" t="s">
        <v>160</v>
      </c>
      <c r="F14" s="42">
        <v>150</v>
      </c>
      <c r="G14">
        <f t="shared" si="0"/>
        <v>150000</v>
      </c>
    </row>
    <row r="15" spans="1:7" x14ac:dyDescent="0.2">
      <c r="A15" s="8">
        <v>14</v>
      </c>
      <c r="B15" s="42" t="s">
        <v>53</v>
      </c>
      <c r="C15" s="47" t="s">
        <v>161</v>
      </c>
      <c r="D15" s="47" t="s">
        <v>162</v>
      </c>
      <c r="E15" s="47" t="s">
        <v>163</v>
      </c>
      <c r="F15" s="42">
        <v>1200</v>
      </c>
      <c r="G15">
        <f t="shared" si="0"/>
        <v>1200000</v>
      </c>
    </row>
    <row r="16" spans="1:7" x14ac:dyDescent="0.2">
      <c r="A16" s="8">
        <v>15</v>
      </c>
      <c r="B16" s="42" t="s">
        <v>53</v>
      </c>
      <c r="C16" s="47" t="s">
        <v>164</v>
      </c>
      <c r="D16" s="47" t="s">
        <v>165</v>
      </c>
      <c r="E16" s="47" t="s">
        <v>166</v>
      </c>
      <c r="F16" s="42">
        <v>150</v>
      </c>
      <c r="G16">
        <f t="shared" si="0"/>
        <v>150000</v>
      </c>
    </row>
    <row r="17" spans="1:7" x14ac:dyDescent="0.2">
      <c r="A17" s="8">
        <v>16</v>
      </c>
      <c r="B17" s="42" t="s">
        <v>53</v>
      </c>
      <c r="C17" s="47" t="s">
        <v>164</v>
      </c>
      <c r="D17" s="47" t="s">
        <v>167</v>
      </c>
      <c r="E17" s="47" t="s">
        <v>166</v>
      </c>
      <c r="F17" s="42">
        <v>150</v>
      </c>
      <c r="G17">
        <f t="shared" si="0"/>
        <v>150000</v>
      </c>
    </row>
    <row r="18" spans="1:7" x14ac:dyDescent="0.2">
      <c r="A18" s="8">
        <v>17</v>
      </c>
      <c r="B18" s="42" t="s">
        <v>53</v>
      </c>
      <c r="C18" s="49" t="s">
        <v>168</v>
      </c>
      <c r="D18" s="49" t="s">
        <v>169</v>
      </c>
      <c r="E18" s="49" t="s">
        <v>170</v>
      </c>
      <c r="F18" s="46">
        <v>80</v>
      </c>
      <c r="G18">
        <f t="shared" si="0"/>
        <v>80000</v>
      </c>
    </row>
    <row r="19" spans="1:7" x14ac:dyDescent="0.2">
      <c r="A19" s="8">
        <v>18</v>
      </c>
      <c r="B19" s="42" t="s">
        <v>53</v>
      </c>
      <c r="C19" s="49" t="s">
        <v>168</v>
      </c>
      <c r="D19" s="49" t="s">
        <v>171</v>
      </c>
      <c r="E19" s="50" t="s">
        <v>172</v>
      </c>
      <c r="F19" s="46">
        <v>80</v>
      </c>
      <c r="G19">
        <f t="shared" si="0"/>
        <v>80000</v>
      </c>
    </row>
    <row r="20" spans="1:7" x14ac:dyDescent="0.2">
      <c r="A20" s="8">
        <v>19</v>
      </c>
      <c r="B20" s="42" t="s">
        <v>53</v>
      </c>
      <c r="C20" s="49" t="s">
        <v>168</v>
      </c>
      <c r="D20" s="49" t="s">
        <v>173</v>
      </c>
      <c r="E20" s="50" t="s">
        <v>174</v>
      </c>
      <c r="F20" s="46">
        <v>60</v>
      </c>
      <c r="G20">
        <f t="shared" si="0"/>
        <v>60000</v>
      </c>
    </row>
    <row r="21" spans="1:7" x14ac:dyDescent="0.2">
      <c r="A21" s="8">
        <v>20</v>
      </c>
      <c r="B21" s="42" t="s">
        <v>53</v>
      </c>
      <c r="C21" s="49" t="s">
        <v>168</v>
      </c>
      <c r="D21" s="49" t="s">
        <v>175</v>
      </c>
      <c r="E21" s="50" t="s">
        <v>176</v>
      </c>
      <c r="F21" s="46">
        <v>150</v>
      </c>
      <c r="G21">
        <f t="shared" si="0"/>
        <v>150000</v>
      </c>
    </row>
    <row r="22" spans="1:7" x14ac:dyDescent="0.2">
      <c r="A22" s="8">
        <v>21</v>
      </c>
      <c r="B22" s="42" t="s">
        <v>53</v>
      </c>
      <c r="C22" s="47" t="s">
        <v>177</v>
      </c>
      <c r="D22" s="42"/>
      <c r="E22" s="42" t="s">
        <v>137</v>
      </c>
      <c r="F22" s="42">
        <v>150</v>
      </c>
      <c r="G22">
        <f t="shared" si="0"/>
        <v>150000</v>
      </c>
    </row>
    <row r="23" spans="1:7" x14ac:dyDescent="0.2">
      <c r="A23" s="8"/>
      <c r="B23" s="42"/>
      <c r="C23" s="47"/>
      <c r="D23" s="42"/>
      <c r="E23" s="42"/>
      <c r="F23" s="42"/>
    </row>
    <row r="24" spans="1:7" x14ac:dyDescent="0.2">
      <c r="A24" s="8"/>
      <c r="B24" s="42"/>
      <c r="C24" s="47"/>
      <c r="D24" s="42"/>
      <c r="E24" s="42"/>
      <c r="F24" s="42"/>
    </row>
    <row r="25" spans="1:7" x14ac:dyDescent="0.2">
      <c r="A25" s="8"/>
      <c r="B25" s="42"/>
      <c r="C25" s="47"/>
      <c r="D25" s="42"/>
      <c r="E25" s="42"/>
      <c r="F25" s="42"/>
    </row>
    <row r="26" spans="1:7" x14ac:dyDescent="0.2">
      <c r="A26" s="8"/>
      <c r="B26" s="42"/>
      <c r="C26" s="47"/>
      <c r="D26" s="42"/>
      <c r="E26" s="42"/>
      <c r="F26" s="42"/>
    </row>
    <row r="27" spans="1:7" x14ac:dyDescent="0.2">
      <c r="A27" s="8">
        <v>22</v>
      </c>
      <c r="B27" s="42" t="s">
        <v>55</v>
      </c>
      <c r="C27" s="47" t="s">
        <v>178</v>
      </c>
      <c r="D27" s="47"/>
      <c r="E27" s="47"/>
      <c r="F27" s="42"/>
    </row>
    <row r="28" spans="1:7" x14ac:dyDescent="0.2">
      <c r="A28" s="8">
        <v>23</v>
      </c>
      <c r="B28" s="42" t="s">
        <v>55</v>
      </c>
      <c r="C28" s="42" t="s">
        <v>179</v>
      </c>
      <c r="D28" s="42"/>
      <c r="E28" s="42"/>
      <c r="F28" s="42"/>
    </row>
    <row r="29" spans="1:7" x14ac:dyDescent="0.2">
      <c r="A29" s="8">
        <v>24</v>
      </c>
      <c r="B29" s="42" t="s">
        <v>55</v>
      </c>
      <c r="C29" s="42" t="s">
        <v>180</v>
      </c>
      <c r="D29" s="42"/>
      <c r="E29" s="42"/>
      <c r="F29" s="42"/>
    </row>
    <row r="30" spans="1:7" x14ac:dyDescent="0.2">
      <c r="A30" s="8">
        <v>25</v>
      </c>
      <c r="B30" s="42" t="s">
        <v>55</v>
      </c>
      <c r="C30" s="51" t="s">
        <v>181</v>
      </c>
      <c r="D30" s="46"/>
      <c r="E30" s="46"/>
      <c r="F30" s="46"/>
    </row>
    <row r="31" spans="1:7" x14ac:dyDescent="0.2">
      <c r="A31" s="8">
        <v>26</v>
      </c>
      <c r="B31" s="42" t="s">
        <v>55</v>
      </c>
      <c r="C31" s="42" t="s">
        <v>182</v>
      </c>
      <c r="D31" s="42"/>
      <c r="E31" s="42"/>
      <c r="F31" s="42"/>
    </row>
    <row r="32" spans="1:7" x14ac:dyDescent="0.2">
      <c r="A32" s="8">
        <v>27</v>
      </c>
      <c r="B32" s="42" t="s">
        <v>55</v>
      </c>
      <c r="C32" s="42" t="s">
        <v>183</v>
      </c>
      <c r="D32" s="42"/>
      <c r="E32" s="42"/>
      <c r="F32" s="42"/>
    </row>
    <row r="33" spans="1:6" x14ac:dyDescent="0.2">
      <c r="A33" s="8">
        <v>28</v>
      </c>
      <c r="B33" s="42" t="s">
        <v>55</v>
      </c>
      <c r="C33" s="42" t="s">
        <v>184</v>
      </c>
      <c r="D33" s="42"/>
      <c r="E33" s="42"/>
      <c r="F33" s="42"/>
    </row>
    <row r="34" spans="1:6" x14ac:dyDescent="0.2">
      <c r="A34" s="8">
        <v>29</v>
      </c>
      <c r="B34" s="42" t="s">
        <v>55</v>
      </c>
      <c r="C34" s="42" t="s">
        <v>185</v>
      </c>
      <c r="D34" s="42"/>
      <c r="E34" s="42"/>
      <c r="F34" s="42"/>
    </row>
    <row r="35" spans="1:6" x14ac:dyDescent="0.2">
      <c r="A35" s="8">
        <v>30</v>
      </c>
      <c r="B35" s="42" t="s">
        <v>55</v>
      </c>
      <c r="C35" s="42" t="s">
        <v>186</v>
      </c>
      <c r="D35" s="42"/>
      <c r="E35" s="42"/>
      <c r="F35" s="42"/>
    </row>
    <row r="36" spans="1:6" x14ac:dyDescent="0.2">
      <c r="A36" s="8">
        <v>31</v>
      </c>
      <c r="B36" s="42" t="s">
        <v>55</v>
      </c>
      <c r="C36" s="42" t="s">
        <v>187</v>
      </c>
      <c r="D36" s="42"/>
      <c r="E36" s="42"/>
      <c r="F36" s="42"/>
    </row>
    <row r="37" spans="1:6" x14ac:dyDescent="0.2">
      <c r="A37" s="8">
        <v>32</v>
      </c>
      <c r="B37" s="42" t="s">
        <v>55</v>
      </c>
      <c r="C37" s="42" t="s">
        <v>188</v>
      </c>
      <c r="D37" s="42"/>
      <c r="E37" s="42"/>
      <c r="F37" s="42"/>
    </row>
    <row r="38" spans="1:6" x14ac:dyDescent="0.2">
      <c r="A38" s="8">
        <v>33</v>
      </c>
      <c r="B38" s="42" t="s">
        <v>55</v>
      </c>
      <c r="C38" s="42" t="s">
        <v>189</v>
      </c>
      <c r="D38" s="42"/>
      <c r="E38" s="42"/>
      <c r="F38" s="42"/>
    </row>
    <row r="39" spans="1:6" x14ac:dyDescent="0.2">
      <c r="A39" s="8">
        <v>34</v>
      </c>
      <c r="B39" s="42" t="s">
        <v>55</v>
      </c>
      <c r="C39" s="42" t="s">
        <v>190</v>
      </c>
      <c r="D39" s="42"/>
      <c r="E39" s="42"/>
      <c r="F39" s="42"/>
    </row>
    <row r="40" spans="1:6" x14ac:dyDescent="0.2">
      <c r="A40" s="8">
        <v>35</v>
      </c>
      <c r="B40" s="42" t="s">
        <v>55</v>
      </c>
      <c r="C40" s="42" t="s">
        <v>191</v>
      </c>
      <c r="D40" s="42"/>
      <c r="E40" s="42"/>
      <c r="F40" s="42"/>
    </row>
    <row r="41" spans="1:6" x14ac:dyDescent="0.2">
      <c r="A41" s="8">
        <v>36</v>
      </c>
      <c r="B41" s="42" t="s">
        <v>55</v>
      </c>
      <c r="C41" s="42" t="s">
        <v>192</v>
      </c>
      <c r="D41" s="42"/>
      <c r="E41" s="42"/>
      <c r="F41" s="42"/>
    </row>
    <row r="42" spans="1:6" x14ac:dyDescent="0.2">
      <c r="A42" s="8">
        <v>37</v>
      </c>
      <c r="B42" s="42" t="s">
        <v>55</v>
      </c>
      <c r="C42" s="42" t="s">
        <v>193</v>
      </c>
      <c r="D42" s="42"/>
      <c r="E42" s="42"/>
      <c r="F42" s="42"/>
    </row>
    <row r="43" spans="1:6" x14ac:dyDescent="0.2">
      <c r="A43" s="8">
        <v>38</v>
      </c>
      <c r="B43" s="42" t="s">
        <v>55</v>
      </c>
      <c r="C43" s="42" t="s">
        <v>194</v>
      </c>
      <c r="D43" s="42"/>
      <c r="E43" s="42"/>
      <c r="F43" s="42"/>
    </row>
    <row r="44" spans="1:6" x14ac:dyDescent="0.2">
      <c r="A44" s="8">
        <v>39</v>
      </c>
      <c r="B44" s="42" t="s">
        <v>55</v>
      </c>
      <c r="C44" s="42" t="s">
        <v>195</v>
      </c>
      <c r="D44" s="42"/>
      <c r="E44" s="42"/>
      <c r="F44" s="42"/>
    </row>
    <row r="45" spans="1:6" x14ac:dyDescent="0.2">
      <c r="A45" s="8">
        <v>40</v>
      </c>
      <c r="B45" s="42" t="s">
        <v>55</v>
      </c>
      <c r="C45" s="42" t="s">
        <v>196</v>
      </c>
      <c r="D45" s="42"/>
      <c r="E45" s="42"/>
      <c r="F45" s="42"/>
    </row>
    <row r="46" spans="1:6" x14ac:dyDescent="0.2">
      <c r="A46" s="8">
        <v>41</v>
      </c>
      <c r="B46" s="42" t="s">
        <v>55</v>
      </c>
      <c r="C46" s="42" t="s">
        <v>197</v>
      </c>
      <c r="D46" s="42"/>
      <c r="E46" s="42"/>
      <c r="F46" s="42"/>
    </row>
    <row r="47" spans="1:6" x14ac:dyDescent="0.2">
      <c r="A47" s="8">
        <v>42</v>
      </c>
      <c r="B47" s="42" t="s">
        <v>55</v>
      </c>
      <c r="C47" s="42" t="s">
        <v>198</v>
      </c>
      <c r="D47" s="42"/>
      <c r="E47" s="42"/>
      <c r="F47" s="42"/>
    </row>
    <row r="48" spans="1:6" x14ac:dyDescent="0.2">
      <c r="A48" s="8">
        <v>43</v>
      </c>
      <c r="B48" s="42" t="s">
        <v>55</v>
      </c>
      <c r="C48" s="42" t="s">
        <v>199</v>
      </c>
      <c r="D48" s="42"/>
      <c r="E48" s="42"/>
      <c r="F48" s="42"/>
    </row>
    <row r="49" spans="1:6" x14ac:dyDescent="0.2">
      <c r="A49" s="8">
        <v>44</v>
      </c>
      <c r="B49" s="42" t="s">
        <v>55</v>
      </c>
      <c r="C49" s="42" t="s">
        <v>200</v>
      </c>
      <c r="D49" s="42"/>
      <c r="E49" s="42"/>
      <c r="F49" s="42"/>
    </row>
    <row r="50" spans="1:6" x14ac:dyDescent="0.2">
      <c r="A50" s="8">
        <v>45</v>
      </c>
      <c r="B50" s="42" t="s">
        <v>55</v>
      </c>
      <c r="C50" s="42" t="s">
        <v>201</v>
      </c>
      <c r="D50" s="42"/>
      <c r="E50" s="42"/>
      <c r="F50" s="42"/>
    </row>
    <row r="51" spans="1:6" x14ac:dyDescent="0.2">
      <c r="A51"/>
    </row>
    <row r="52" spans="1:6" x14ac:dyDescent="0.2">
      <c r="A52"/>
    </row>
    <row r="53" spans="1:6" x14ac:dyDescent="0.2">
      <c r="A53"/>
    </row>
    <row r="54" spans="1:6" x14ac:dyDescent="0.2">
      <c r="A54"/>
    </row>
    <row r="55" spans="1:6" x14ac:dyDescent="0.2">
      <c r="A55"/>
    </row>
    <row r="56" spans="1:6" x14ac:dyDescent="0.2">
      <c r="A56"/>
    </row>
    <row r="57" spans="1:6" x14ac:dyDescent="0.2">
      <c r="A57"/>
    </row>
    <row r="58" spans="1:6" x14ac:dyDescent="0.2">
      <c r="A58"/>
    </row>
    <row r="59" spans="1:6" x14ac:dyDescent="0.2">
      <c r="A5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FC00-C74E-4761-B75B-AEAA47371996}">
  <dimension ref="A1:L63"/>
  <sheetViews>
    <sheetView zoomScale="90" zoomScaleNormal="90" workbookViewId="0">
      <selection activeCell="F4" sqref="F4:F12"/>
    </sheetView>
  </sheetViews>
  <sheetFormatPr baseColWidth="10" defaultColWidth="11.5" defaultRowHeight="15" x14ac:dyDescent="0.2"/>
  <cols>
    <col min="1" max="1" width="11.5" style="14"/>
    <col min="3" max="3" width="26.5" customWidth="1"/>
    <col min="4" max="4" width="17.5" bestFit="1" customWidth="1"/>
    <col min="5" max="5" width="110" customWidth="1"/>
    <col min="6" max="6" width="13" style="52" bestFit="1" customWidth="1"/>
    <col min="7" max="7" width="19.33203125" customWidth="1"/>
    <col min="8" max="8" width="13.5" bestFit="1" customWidth="1"/>
    <col min="10" max="10" width="15.33203125" bestFit="1" customWidth="1"/>
    <col min="11" max="11" width="21.6640625" style="110" bestFit="1" customWidth="1"/>
    <col min="12" max="12" width="73.5" bestFit="1" customWidth="1"/>
  </cols>
  <sheetData>
    <row r="1" spans="1:12" ht="16" x14ac:dyDescent="0.2">
      <c r="A1" s="127" t="s">
        <v>59</v>
      </c>
      <c r="B1" s="128" t="s">
        <v>63</v>
      </c>
      <c r="C1" s="127" t="s">
        <v>64</v>
      </c>
      <c r="D1" s="127" t="s">
        <v>65</v>
      </c>
      <c r="E1" s="127" t="s">
        <v>66</v>
      </c>
      <c r="F1" s="129" t="s">
        <v>67</v>
      </c>
      <c r="G1" s="129" t="s">
        <v>437</v>
      </c>
      <c r="H1" s="127" t="s">
        <v>431</v>
      </c>
      <c r="I1" s="127" t="s">
        <v>432</v>
      </c>
      <c r="J1" s="127" t="s">
        <v>388</v>
      </c>
      <c r="K1" s="130" t="s">
        <v>433</v>
      </c>
      <c r="L1" s="127" t="s">
        <v>447</v>
      </c>
    </row>
    <row r="2" spans="1:12" x14ac:dyDescent="0.2">
      <c r="A2" s="8"/>
      <c r="B2" s="8"/>
      <c r="C2" s="8"/>
      <c r="D2" s="8"/>
      <c r="E2" s="8"/>
      <c r="F2" s="8"/>
      <c r="G2" s="8"/>
      <c r="H2" s="8"/>
      <c r="I2" s="6"/>
      <c r="J2" s="6"/>
      <c r="K2" s="100"/>
      <c r="L2" s="6"/>
    </row>
    <row r="3" spans="1:12" x14ac:dyDescent="0.2">
      <c r="A3" s="8">
        <v>14</v>
      </c>
      <c r="B3" s="8" t="s">
        <v>50</v>
      </c>
      <c r="C3" s="10" t="s">
        <v>81</v>
      </c>
      <c r="D3" s="10"/>
      <c r="E3" s="41"/>
      <c r="F3" s="8"/>
      <c r="G3" s="6"/>
      <c r="H3" s="6"/>
      <c r="I3" s="6"/>
      <c r="J3" s="6"/>
      <c r="K3" s="100"/>
      <c r="L3" s="6"/>
    </row>
    <row r="4" spans="1:12" x14ac:dyDescent="0.2">
      <c r="A4" s="8">
        <v>15</v>
      </c>
      <c r="B4" s="8" t="s">
        <v>50</v>
      </c>
      <c r="C4" s="10" t="s">
        <v>81</v>
      </c>
      <c r="D4" s="10" t="s">
        <v>85</v>
      </c>
      <c r="E4" s="41" t="s">
        <v>86</v>
      </c>
      <c r="F4" s="8">
        <v>100</v>
      </c>
      <c r="G4" s="6"/>
      <c r="H4" s="6"/>
      <c r="I4" s="6"/>
      <c r="J4" s="6"/>
      <c r="K4" s="100"/>
      <c r="L4" s="6"/>
    </row>
    <row r="5" spans="1:12" x14ac:dyDescent="0.2">
      <c r="A5" s="8">
        <v>16</v>
      </c>
      <c r="B5" s="8" t="s">
        <v>50</v>
      </c>
      <c r="C5" s="10" t="s">
        <v>81</v>
      </c>
      <c r="D5" s="10" t="s">
        <v>85</v>
      </c>
      <c r="E5" s="41" t="s">
        <v>87</v>
      </c>
      <c r="F5" s="8">
        <v>30</v>
      </c>
      <c r="G5" s="6"/>
      <c r="H5" s="6"/>
      <c r="I5" s="6"/>
      <c r="J5" s="6"/>
      <c r="K5" s="100"/>
      <c r="L5" s="6"/>
    </row>
    <row r="6" spans="1:12" x14ac:dyDescent="0.2">
      <c r="A6" s="8">
        <v>17</v>
      </c>
      <c r="B6" s="8" t="s">
        <v>50</v>
      </c>
      <c r="C6" s="10" t="s">
        <v>81</v>
      </c>
      <c r="D6" s="10" t="s">
        <v>85</v>
      </c>
      <c r="E6" s="41" t="s">
        <v>88</v>
      </c>
      <c r="F6" s="8">
        <v>150</v>
      </c>
      <c r="G6" s="6"/>
      <c r="H6" s="6"/>
      <c r="I6" s="6"/>
      <c r="J6" s="6"/>
      <c r="K6" s="100"/>
      <c r="L6" s="6"/>
    </row>
    <row r="7" spans="1:12" x14ac:dyDescent="0.2">
      <c r="A7" s="8">
        <v>18</v>
      </c>
      <c r="B7" s="8" t="s">
        <v>50</v>
      </c>
      <c r="C7" s="10" t="s">
        <v>81</v>
      </c>
      <c r="D7" s="10" t="s">
        <v>82</v>
      </c>
      <c r="E7" s="41" t="s">
        <v>89</v>
      </c>
      <c r="F7" s="8">
        <v>50</v>
      </c>
      <c r="G7" s="6"/>
      <c r="H7" s="6"/>
      <c r="I7" s="6"/>
      <c r="J7" s="6"/>
      <c r="K7" s="100"/>
      <c r="L7" s="6"/>
    </row>
    <row r="8" spans="1:12" x14ac:dyDescent="0.2">
      <c r="A8" s="8">
        <v>19</v>
      </c>
      <c r="B8" s="8" t="s">
        <v>50</v>
      </c>
      <c r="C8" s="10" t="s">
        <v>81</v>
      </c>
      <c r="D8" s="10" t="s">
        <v>90</v>
      </c>
      <c r="E8" s="41" t="s">
        <v>91</v>
      </c>
      <c r="F8" s="8">
        <v>150</v>
      </c>
      <c r="G8" s="6"/>
      <c r="H8" s="6"/>
      <c r="I8" s="6"/>
      <c r="J8" s="6"/>
      <c r="K8" s="100"/>
      <c r="L8" s="6"/>
    </row>
    <row r="9" spans="1:12" x14ac:dyDescent="0.2">
      <c r="A9" s="8">
        <v>20</v>
      </c>
      <c r="B9" s="8" t="s">
        <v>50</v>
      </c>
      <c r="C9" s="10" t="s">
        <v>81</v>
      </c>
      <c r="D9" s="10" t="s">
        <v>90</v>
      </c>
      <c r="E9" s="41" t="s">
        <v>92</v>
      </c>
      <c r="F9" s="8">
        <v>50</v>
      </c>
      <c r="G9" s="6"/>
      <c r="H9" s="6"/>
      <c r="I9" s="6"/>
      <c r="J9" s="6"/>
      <c r="K9" s="100"/>
      <c r="L9" s="6"/>
    </row>
    <row r="10" spans="1:12" x14ac:dyDescent="0.2">
      <c r="A10" s="8">
        <v>21</v>
      </c>
      <c r="B10" s="8" t="s">
        <v>50</v>
      </c>
      <c r="C10" s="10" t="s">
        <v>81</v>
      </c>
      <c r="D10" s="10" t="s">
        <v>90</v>
      </c>
      <c r="E10" s="41" t="s">
        <v>93</v>
      </c>
      <c r="F10" s="8">
        <v>80</v>
      </c>
      <c r="G10" s="6"/>
      <c r="H10" s="6"/>
      <c r="I10" s="6"/>
      <c r="J10" s="6"/>
      <c r="K10" s="100"/>
      <c r="L10" s="6"/>
    </row>
    <row r="11" spans="1:12" x14ac:dyDescent="0.2">
      <c r="A11" s="8">
        <v>22</v>
      </c>
      <c r="B11" s="8" t="s">
        <v>50</v>
      </c>
      <c r="C11" s="10" t="s">
        <v>81</v>
      </c>
      <c r="D11" s="10" t="s">
        <v>94</v>
      </c>
      <c r="E11" s="41" t="s">
        <v>95</v>
      </c>
      <c r="F11" s="8">
        <v>150</v>
      </c>
      <c r="G11" s="6"/>
      <c r="H11" s="6"/>
      <c r="I11" s="6"/>
      <c r="J11" s="6"/>
      <c r="K11" s="100"/>
      <c r="L11" s="6"/>
    </row>
    <row r="12" spans="1:12" x14ac:dyDescent="0.2">
      <c r="A12" s="8">
        <v>23</v>
      </c>
      <c r="B12" s="8" t="s">
        <v>50</v>
      </c>
      <c r="C12" s="10" t="s">
        <v>81</v>
      </c>
      <c r="D12" s="10" t="s">
        <v>83</v>
      </c>
      <c r="E12" s="41" t="s">
        <v>96</v>
      </c>
      <c r="F12" s="8">
        <v>150</v>
      </c>
      <c r="G12" s="6"/>
      <c r="H12" s="6"/>
      <c r="I12" s="6"/>
      <c r="J12" s="6"/>
      <c r="K12" s="100"/>
      <c r="L12" s="6"/>
    </row>
    <row r="13" spans="1:12" x14ac:dyDescent="0.2">
      <c r="A13" s="8">
        <v>24</v>
      </c>
      <c r="B13" s="8" t="s">
        <v>50</v>
      </c>
      <c r="C13" s="62" t="s">
        <v>97</v>
      </c>
      <c r="D13" s="62" t="s">
        <v>98</v>
      </c>
      <c r="E13" s="114" t="s">
        <v>315</v>
      </c>
      <c r="F13" s="115">
        <v>350</v>
      </c>
      <c r="G13" s="6"/>
      <c r="H13" s="6"/>
      <c r="I13" s="6"/>
      <c r="J13" s="6"/>
      <c r="K13" s="100"/>
      <c r="L13" s="6"/>
    </row>
    <row r="14" spans="1:12" x14ac:dyDescent="0.2">
      <c r="A14" s="8">
        <v>25</v>
      </c>
      <c r="B14" s="8" t="s">
        <v>50</v>
      </c>
      <c r="C14" s="62" t="s">
        <v>97</v>
      </c>
      <c r="D14" s="62"/>
      <c r="E14" s="114"/>
      <c r="F14" s="115"/>
      <c r="G14" s="6"/>
      <c r="H14" s="6"/>
      <c r="I14" s="6"/>
      <c r="J14" s="6"/>
      <c r="K14" s="100"/>
      <c r="L14" s="6"/>
    </row>
    <row r="15" spans="1:12" x14ac:dyDescent="0.2">
      <c r="A15" s="8">
        <v>26</v>
      </c>
      <c r="B15" s="8" t="s">
        <v>50</v>
      </c>
      <c r="C15" s="62" t="s">
        <v>97</v>
      </c>
      <c r="D15" s="62"/>
      <c r="E15" s="114"/>
      <c r="F15" s="115"/>
      <c r="G15" s="6"/>
      <c r="H15" s="6"/>
      <c r="I15" s="6"/>
      <c r="J15" s="6"/>
      <c r="K15" s="100"/>
      <c r="L15" s="6"/>
    </row>
    <row r="16" spans="1:12" x14ac:dyDescent="0.2">
      <c r="A16" s="8">
        <v>27</v>
      </c>
      <c r="B16" s="8" t="s">
        <v>50</v>
      </c>
      <c r="C16" s="62" t="s">
        <v>97</v>
      </c>
      <c r="D16" s="62" t="s">
        <v>99</v>
      </c>
      <c r="E16" s="114" t="s">
        <v>315</v>
      </c>
      <c r="F16" s="115">
        <v>350</v>
      </c>
      <c r="G16" s="6"/>
      <c r="H16" s="6"/>
      <c r="I16" s="6"/>
      <c r="J16" s="6"/>
      <c r="K16" s="100"/>
      <c r="L16" s="6"/>
    </row>
    <row r="17" spans="1:12" x14ac:dyDescent="0.2">
      <c r="A17" s="8"/>
      <c r="B17" s="8"/>
      <c r="C17" s="8"/>
      <c r="D17" s="8"/>
      <c r="E17" s="8"/>
      <c r="F17" s="8"/>
      <c r="G17" s="8"/>
      <c r="H17" s="8"/>
      <c r="I17" s="6"/>
      <c r="J17" s="6"/>
      <c r="K17" s="100"/>
      <c r="L17" s="6"/>
    </row>
    <row r="18" spans="1:12" x14ac:dyDescent="0.2">
      <c r="A18" s="8"/>
      <c r="B18" s="8"/>
      <c r="C18" s="8"/>
      <c r="D18" s="8"/>
      <c r="E18" s="8"/>
      <c r="F18" s="8"/>
      <c r="G18" s="8"/>
      <c r="H18" s="8"/>
      <c r="I18" s="6"/>
      <c r="J18" s="6"/>
      <c r="K18" s="100"/>
      <c r="L18" s="6"/>
    </row>
    <row r="19" spans="1:12" ht="16" thickBot="1" x14ac:dyDescent="0.25">
      <c r="A19" s="8"/>
      <c r="B19" s="8"/>
      <c r="C19" s="40"/>
      <c r="D19" s="40"/>
      <c r="E19" s="41"/>
      <c r="F19" s="10"/>
      <c r="G19" s="6"/>
      <c r="H19" s="6"/>
      <c r="I19" s="6"/>
      <c r="J19" s="6"/>
      <c r="K19" s="100"/>
      <c r="L19" s="6"/>
    </row>
    <row r="20" spans="1:12" x14ac:dyDescent="0.2">
      <c r="A20" s="118">
        <v>6</v>
      </c>
      <c r="B20" s="119" t="s">
        <v>50</v>
      </c>
      <c r="C20" s="119" t="s">
        <v>73</v>
      </c>
      <c r="D20" s="122" t="s">
        <v>74</v>
      </c>
      <c r="E20" s="120" t="s">
        <v>75</v>
      </c>
      <c r="F20" s="119">
        <v>100</v>
      </c>
      <c r="G20" s="124">
        <v>45658</v>
      </c>
      <c r="H20" s="124">
        <v>45717</v>
      </c>
      <c r="I20" s="119">
        <v>2</v>
      </c>
      <c r="J20" s="119" t="s">
        <v>350</v>
      </c>
      <c r="K20" s="134" t="s">
        <v>438</v>
      </c>
      <c r="L20" s="121"/>
    </row>
    <row r="21" spans="1:12" x14ac:dyDescent="0.2">
      <c r="A21" s="85">
        <v>7</v>
      </c>
      <c r="B21" s="8" t="s">
        <v>50</v>
      </c>
      <c r="C21" s="8" t="s">
        <v>73</v>
      </c>
      <c r="D21" s="42" t="s">
        <v>76</v>
      </c>
      <c r="E21" s="41" t="s">
        <v>442</v>
      </c>
      <c r="F21" s="8">
        <v>120</v>
      </c>
      <c r="G21" s="125">
        <f>+G20</f>
        <v>45658</v>
      </c>
      <c r="H21" s="125">
        <f>+H20</f>
        <v>45717</v>
      </c>
      <c r="I21" s="8">
        <v>3</v>
      </c>
      <c r="J21" s="8" t="s">
        <v>350</v>
      </c>
      <c r="K21" s="36" t="s">
        <v>439</v>
      </c>
      <c r="L21" s="76"/>
    </row>
    <row r="22" spans="1:12" x14ac:dyDescent="0.2">
      <c r="A22" s="85">
        <v>8</v>
      </c>
      <c r="B22" s="8" t="s">
        <v>50</v>
      </c>
      <c r="C22" s="8" t="s">
        <v>73</v>
      </c>
      <c r="D22" s="42" t="s">
        <v>77</v>
      </c>
      <c r="E22" s="41" t="s">
        <v>78</v>
      </c>
      <c r="F22" s="8">
        <v>100</v>
      </c>
      <c r="G22" s="125">
        <f>+G21</f>
        <v>45658</v>
      </c>
      <c r="H22" s="125">
        <f t="shared" ref="H22:H23" si="0">+H21</f>
        <v>45717</v>
      </c>
      <c r="I22" s="8">
        <v>4</v>
      </c>
      <c r="J22" s="8" t="s">
        <v>350</v>
      </c>
      <c r="K22" s="36" t="s">
        <v>440</v>
      </c>
      <c r="L22" s="76" t="s">
        <v>441</v>
      </c>
    </row>
    <row r="23" spans="1:12" x14ac:dyDescent="0.2">
      <c r="A23" s="85">
        <v>9</v>
      </c>
      <c r="B23" s="8" t="s">
        <v>50</v>
      </c>
      <c r="C23" s="8" t="s">
        <v>73</v>
      </c>
      <c r="D23" s="42" t="s">
        <v>76</v>
      </c>
      <c r="E23" s="41" t="s">
        <v>443</v>
      </c>
      <c r="F23" s="8">
        <v>120</v>
      </c>
      <c r="G23" s="125">
        <f>+G22</f>
        <v>45658</v>
      </c>
      <c r="H23" s="125">
        <f t="shared" si="0"/>
        <v>45717</v>
      </c>
      <c r="I23" s="8">
        <v>3</v>
      </c>
      <c r="J23" s="8" t="s">
        <v>350</v>
      </c>
      <c r="K23" s="36" t="s">
        <v>439</v>
      </c>
      <c r="L23" s="76"/>
    </row>
    <row r="24" spans="1:12" x14ac:dyDescent="0.2">
      <c r="A24" s="85">
        <v>10</v>
      </c>
      <c r="B24" s="8" t="s">
        <v>50</v>
      </c>
      <c r="C24" s="42" t="s">
        <v>73</v>
      </c>
      <c r="D24" s="42" t="s">
        <v>79</v>
      </c>
      <c r="E24" s="41" t="s">
        <v>80</v>
      </c>
      <c r="F24" s="42">
        <v>150</v>
      </c>
      <c r="G24" s="125">
        <v>45717</v>
      </c>
      <c r="H24" s="125">
        <v>45839</v>
      </c>
      <c r="I24" s="8">
        <v>3</v>
      </c>
      <c r="J24" s="8" t="s">
        <v>350</v>
      </c>
      <c r="K24" s="36" t="s">
        <v>448</v>
      </c>
      <c r="L24" s="76" t="s">
        <v>444</v>
      </c>
    </row>
    <row r="25" spans="1:12" x14ac:dyDescent="0.2">
      <c r="A25" s="85">
        <v>11</v>
      </c>
      <c r="B25" s="8" t="s">
        <v>50</v>
      </c>
      <c r="C25" s="42" t="s">
        <v>73</v>
      </c>
      <c r="D25" s="42" t="s">
        <v>79</v>
      </c>
      <c r="E25" s="41" t="s">
        <v>551</v>
      </c>
      <c r="F25" s="42">
        <v>100</v>
      </c>
      <c r="G25" s="125">
        <v>45689</v>
      </c>
      <c r="H25" s="125">
        <f>+H23</f>
        <v>45717</v>
      </c>
      <c r="I25" s="8">
        <v>3</v>
      </c>
      <c r="J25" s="8" t="s">
        <v>350</v>
      </c>
      <c r="K25" s="36" t="s">
        <v>445</v>
      </c>
      <c r="L25" s="76" t="s">
        <v>446</v>
      </c>
    </row>
    <row r="26" spans="1:12" x14ac:dyDescent="0.2">
      <c r="A26" s="85">
        <v>12</v>
      </c>
      <c r="B26" s="8" t="s">
        <v>53</v>
      </c>
      <c r="C26" s="42" t="s">
        <v>73</v>
      </c>
      <c r="D26" s="42" t="s">
        <v>74</v>
      </c>
      <c r="E26" s="6" t="s">
        <v>451</v>
      </c>
      <c r="F26" s="42">
        <v>200</v>
      </c>
      <c r="G26" s="125">
        <v>45658</v>
      </c>
      <c r="H26" s="125">
        <v>45748</v>
      </c>
      <c r="I26" s="8">
        <v>3</v>
      </c>
      <c r="J26" s="8" t="s">
        <v>449</v>
      </c>
      <c r="K26" s="100" t="s">
        <v>450</v>
      </c>
      <c r="L26" s="76"/>
    </row>
    <row r="27" spans="1:12" x14ac:dyDescent="0.2">
      <c r="A27" s="85">
        <v>13</v>
      </c>
      <c r="B27" s="8" t="s">
        <v>53</v>
      </c>
      <c r="C27" s="42" t="s">
        <v>73</v>
      </c>
      <c r="D27" s="42" t="s">
        <v>77</v>
      </c>
      <c r="E27" s="6" t="s">
        <v>452</v>
      </c>
      <c r="F27" s="42">
        <v>150</v>
      </c>
      <c r="G27" s="125">
        <v>45658</v>
      </c>
      <c r="H27" s="125">
        <v>45748</v>
      </c>
      <c r="I27" s="8">
        <v>3</v>
      </c>
      <c r="J27" s="8" t="s">
        <v>449</v>
      </c>
      <c r="K27" s="100" t="s">
        <v>453</v>
      </c>
      <c r="L27" s="76"/>
    </row>
    <row r="28" spans="1:12" x14ac:dyDescent="0.2">
      <c r="A28" s="85">
        <v>14</v>
      </c>
      <c r="B28" s="8" t="s">
        <v>53</v>
      </c>
      <c r="C28" s="42" t="s">
        <v>73</v>
      </c>
      <c r="D28" s="42" t="s">
        <v>74</v>
      </c>
      <c r="E28" s="41" t="s">
        <v>78</v>
      </c>
      <c r="F28" s="8">
        <v>100</v>
      </c>
      <c r="G28" s="125">
        <f>+G27</f>
        <v>45658</v>
      </c>
      <c r="H28" s="125">
        <f t="shared" ref="H28" si="1">+H27</f>
        <v>45748</v>
      </c>
      <c r="I28" s="8">
        <v>4</v>
      </c>
      <c r="J28" s="8" t="s">
        <v>350</v>
      </c>
      <c r="K28" s="36" t="s">
        <v>438</v>
      </c>
      <c r="L28" s="76" t="s">
        <v>454</v>
      </c>
    </row>
    <row r="29" spans="1:12" x14ac:dyDescent="0.2">
      <c r="A29" s="85">
        <v>15</v>
      </c>
      <c r="B29" s="113" t="s">
        <v>53</v>
      </c>
      <c r="C29" s="115" t="s">
        <v>73</v>
      </c>
      <c r="D29" s="115" t="s">
        <v>456</v>
      </c>
      <c r="E29" s="131" t="s">
        <v>552</v>
      </c>
      <c r="F29" s="115">
        <v>200</v>
      </c>
      <c r="G29" s="132">
        <v>45658</v>
      </c>
      <c r="H29" s="113"/>
      <c r="I29" s="113"/>
      <c r="J29" s="113" t="s">
        <v>449</v>
      </c>
      <c r="K29" s="133" t="s">
        <v>455</v>
      </c>
      <c r="L29" s="135"/>
    </row>
    <row r="30" spans="1:12" ht="16" thickBot="1" x14ac:dyDescent="0.25">
      <c r="A30" s="78"/>
      <c r="B30" s="96" t="s">
        <v>53</v>
      </c>
      <c r="C30" s="123" t="s">
        <v>73</v>
      </c>
      <c r="D30" s="123" t="s">
        <v>364</v>
      </c>
      <c r="E30" s="79" t="s">
        <v>457</v>
      </c>
      <c r="F30" s="123"/>
      <c r="G30" s="126">
        <f>+G29</f>
        <v>45658</v>
      </c>
      <c r="H30" s="96"/>
      <c r="I30" s="96"/>
      <c r="J30" s="96" t="s">
        <v>459</v>
      </c>
      <c r="K30" s="136" t="s">
        <v>458</v>
      </c>
      <c r="L30" s="80"/>
    </row>
    <row r="31" spans="1:12" x14ac:dyDescent="0.2">
      <c r="A31" s="6"/>
      <c r="B31" s="6"/>
      <c r="C31" s="6"/>
      <c r="D31" s="6"/>
      <c r="E31" s="6"/>
      <c r="F31" s="42"/>
      <c r="G31" s="8"/>
      <c r="H31" s="8"/>
      <c r="I31" s="8"/>
      <c r="J31" s="8"/>
      <c r="K31" s="100"/>
      <c r="L31" s="6"/>
    </row>
    <row r="32" spans="1:12" x14ac:dyDescent="0.2">
      <c r="A32" s="6"/>
      <c r="B32" s="6"/>
      <c r="C32" s="6"/>
      <c r="D32" s="6"/>
      <c r="E32" s="6"/>
      <c r="F32" s="42"/>
      <c r="G32" s="8"/>
      <c r="H32" s="8"/>
      <c r="I32" s="8"/>
      <c r="J32" s="8"/>
      <c r="K32" s="100"/>
      <c r="L32" s="6"/>
    </row>
    <row r="33" spans="1:12" x14ac:dyDescent="0.2">
      <c r="A33" s="6"/>
      <c r="B33" s="6"/>
      <c r="C33" s="6"/>
      <c r="D33" s="6"/>
      <c r="F33" s="42"/>
      <c r="G33" s="8"/>
      <c r="H33" s="8"/>
      <c r="I33" s="8"/>
      <c r="J33" s="8"/>
      <c r="K33" s="100"/>
      <c r="L33" s="6"/>
    </row>
    <row r="34" spans="1:12" x14ac:dyDescent="0.2">
      <c r="A34" s="8">
        <v>29</v>
      </c>
      <c r="B34" s="8"/>
      <c r="C34" s="8"/>
      <c r="D34" s="8"/>
      <c r="E34" s="8"/>
      <c r="F34" s="8"/>
      <c r="G34" s="6"/>
      <c r="H34" s="6"/>
      <c r="I34" s="6"/>
      <c r="J34" s="6"/>
      <c r="K34" s="100"/>
      <c r="L34" s="6"/>
    </row>
    <row r="35" spans="1:12" x14ac:dyDescent="0.2">
      <c r="A35" s="8">
        <v>30</v>
      </c>
      <c r="B35" s="8"/>
      <c r="C35" s="8"/>
      <c r="D35" s="8"/>
      <c r="E35" s="8"/>
      <c r="F35" s="8"/>
      <c r="G35" s="6"/>
      <c r="H35" s="6"/>
      <c r="I35" s="6"/>
      <c r="J35" s="6"/>
      <c r="K35" s="100"/>
      <c r="L35" s="6"/>
    </row>
    <row r="36" spans="1:12" x14ac:dyDescent="0.2">
      <c r="A36" s="8">
        <v>31</v>
      </c>
      <c r="B36" s="8"/>
      <c r="C36" s="8"/>
      <c r="D36" s="8"/>
      <c r="E36" s="8"/>
      <c r="F36" s="8"/>
      <c r="G36" s="6"/>
      <c r="H36" s="6"/>
      <c r="I36" s="6"/>
      <c r="J36" s="6"/>
      <c r="K36" s="100"/>
      <c r="L36" s="6"/>
    </row>
    <row r="37" spans="1:12" x14ac:dyDescent="0.2">
      <c r="A37" s="8">
        <v>32</v>
      </c>
      <c r="B37" s="8"/>
      <c r="C37" s="8"/>
      <c r="D37" s="8"/>
      <c r="E37" s="8"/>
      <c r="F37" s="8"/>
      <c r="G37" s="6"/>
      <c r="H37" s="6"/>
      <c r="I37" s="6"/>
      <c r="J37" s="6"/>
      <c r="K37" s="100"/>
      <c r="L37" s="6"/>
    </row>
    <row r="38" spans="1:12" x14ac:dyDescent="0.2">
      <c r="A38" s="8">
        <v>33</v>
      </c>
      <c r="B38" s="8"/>
      <c r="C38" s="8"/>
      <c r="D38" s="8"/>
      <c r="E38" s="8"/>
      <c r="F38" s="8"/>
      <c r="G38" s="6"/>
      <c r="H38" s="6"/>
      <c r="I38" s="6"/>
      <c r="J38" s="6"/>
      <c r="K38" s="100"/>
      <c r="L38" s="6"/>
    </row>
    <row r="39" spans="1:12" x14ac:dyDescent="0.2">
      <c r="A39" s="8">
        <v>34</v>
      </c>
      <c r="B39" s="8" t="s">
        <v>53</v>
      </c>
      <c r="C39" s="40" t="s">
        <v>100</v>
      </c>
      <c r="D39" s="40" t="s">
        <v>101</v>
      </c>
      <c r="E39" s="57" t="s">
        <v>315</v>
      </c>
      <c r="F39" s="42">
        <v>300</v>
      </c>
      <c r="G39" s="6"/>
      <c r="H39" s="6"/>
      <c r="I39" s="6"/>
      <c r="J39" s="6"/>
      <c r="K39" s="100"/>
      <c r="L39" s="6"/>
    </row>
    <row r="40" spans="1:12" x14ac:dyDescent="0.2">
      <c r="A40" s="8">
        <v>35</v>
      </c>
      <c r="B40" s="8" t="s">
        <v>53</v>
      </c>
      <c r="C40" s="40" t="s">
        <v>102</v>
      </c>
      <c r="D40" s="40" t="s">
        <v>103</v>
      </c>
      <c r="E40" s="41" t="s">
        <v>104</v>
      </c>
      <c r="F40" s="42">
        <v>300</v>
      </c>
      <c r="G40" s="6"/>
      <c r="H40" s="6"/>
      <c r="I40" s="6"/>
      <c r="J40" s="6"/>
      <c r="K40" s="100"/>
      <c r="L40" s="6"/>
    </row>
    <row r="41" spans="1:12" x14ac:dyDescent="0.2">
      <c r="A41" s="8">
        <v>36</v>
      </c>
      <c r="B41" s="8" t="s">
        <v>53</v>
      </c>
      <c r="C41" s="43" t="s">
        <v>105</v>
      </c>
      <c r="D41" s="8"/>
      <c r="E41" s="57" t="s">
        <v>315</v>
      </c>
      <c r="F41" s="42">
        <v>300</v>
      </c>
      <c r="G41" s="6"/>
      <c r="H41" s="6"/>
      <c r="I41" s="6"/>
      <c r="J41" s="6"/>
      <c r="K41" s="100"/>
      <c r="L41" s="6"/>
    </row>
    <row r="42" spans="1:12" x14ac:dyDescent="0.2">
      <c r="A42" s="8">
        <v>37</v>
      </c>
      <c r="B42" s="8" t="s">
        <v>53</v>
      </c>
      <c r="C42" s="40" t="s">
        <v>106</v>
      </c>
      <c r="D42" s="40" t="s">
        <v>107</v>
      </c>
      <c r="E42" s="57" t="s">
        <v>315</v>
      </c>
      <c r="F42" s="42">
        <v>500</v>
      </c>
      <c r="G42" s="6"/>
      <c r="H42" s="6"/>
      <c r="I42" s="6"/>
      <c r="J42" s="6"/>
      <c r="K42" s="100"/>
      <c r="L42" s="6"/>
    </row>
    <row r="43" spans="1:12" x14ac:dyDescent="0.2">
      <c r="A43" s="8">
        <v>38</v>
      </c>
      <c r="B43" s="8" t="s">
        <v>53</v>
      </c>
      <c r="C43" s="40" t="s">
        <v>106</v>
      </c>
      <c r="D43" s="40" t="s">
        <v>108</v>
      </c>
      <c r="E43" s="57" t="s">
        <v>315</v>
      </c>
      <c r="F43" s="42">
        <v>500</v>
      </c>
      <c r="G43" s="6"/>
      <c r="H43" s="6"/>
      <c r="I43" s="6"/>
      <c r="J43" s="6"/>
      <c r="K43" s="100"/>
      <c r="L43" s="6"/>
    </row>
    <row r="44" spans="1:12" x14ac:dyDescent="0.2">
      <c r="A44" s="8">
        <v>39</v>
      </c>
      <c r="B44" s="8" t="s">
        <v>53</v>
      </c>
      <c r="C44" s="40" t="s">
        <v>109</v>
      </c>
      <c r="D44" s="8"/>
      <c r="E44" s="57" t="s">
        <v>315</v>
      </c>
      <c r="F44" s="42">
        <v>150</v>
      </c>
      <c r="G44" s="6"/>
      <c r="H44" s="6"/>
      <c r="I44" s="6"/>
      <c r="J44" s="6"/>
      <c r="K44" s="100"/>
      <c r="L44" s="6"/>
    </row>
    <row r="45" spans="1:12" x14ac:dyDescent="0.2">
      <c r="A45" s="8">
        <v>40</v>
      </c>
      <c r="B45" s="8" t="s">
        <v>53</v>
      </c>
      <c r="C45" s="40" t="s">
        <v>110</v>
      </c>
      <c r="D45" s="8" t="s">
        <v>103</v>
      </c>
      <c r="E45" s="57" t="s">
        <v>315</v>
      </c>
      <c r="F45" s="42">
        <v>300</v>
      </c>
      <c r="G45" s="6"/>
      <c r="H45" s="6"/>
      <c r="I45" s="6"/>
      <c r="J45" s="6"/>
      <c r="K45" s="100"/>
      <c r="L45" s="6"/>
    </row>
    <row r="46" spans="1:12" x14ac:dyDescent="0.2">
      <c r="A46" s="8">
        <v>41</v>
      </c>
      <c r="B46" s="8" t="s">
        <v>52</v>
      </c>
      <c r="C46" s="40"/>
      <c r="D46" s="40"/>
      <c r="E46" s="57"/>
      <c r="F46" s="42"/>
      <c r="G46" s="6"/>
      <c r="H46" s="6"/>
      <c r="I46" s="6"/>
      <c r="J46" s="6"/>
      <c r="K46" s="100"/>
      <c r="L46" s="6"/>
    </row>
    <row r="47" spans="1:12" x14ac:dyDescent="0.2">
      <c r="A47" s="8">
        <v>42</v>
      </c>
      <c r="B47" s="8" t="s">
        <v>52</v>
      </c>
      <c r="C47" s="8" t="s">
        <v>112</v>
      </c>
      <c r="D47" s="8"/>
      <c r="E47" s="57" t="s">
        <v>315</v>
      </c>
      <c r="F47" s="42">
        <v>90</v>
      </c>
      <c r="G47" s="6"/>
      <c r="H47" s="6"/>
      <c r="I47" s="6"/>
      <c r="J47" s="6"/>
      <c r="K47" s="100"/>
      <c r="L47" s="6"/>
    </row>
    <row r="48" spans="1:12" x14ac:dyDescent="0.2">
      <c r="A48" s="8">
        <v>43</v>
      </c>
      <c r="B48" s="8" t="s">
        <v>55</v>
      </c>
      <c r="C48" s="42" t="s">
        <v>117</v>
      </c>
      <c r="D48" s="8" t="s">
        <v>118</v>
      </c>
      <c r="E48" s="57" t="s">
        <v>315</v>
      </c>
      <c r="F48" s="42">
        <v>150</v>
      </c>
      <c r="G48" s="6"/>
      <c r="H48" s="6"/>
      <c r="I48" s="6"/>
      <c r="J48" s="6"/>
      <c r="K48" s="100"/>
      <c r="L48" s="6"/>
    </row>
    <row r="49" spans="1:12" x14ac:dyDescent="0.2">
      <c r="A49" s="8">
        <v>44</v>
      </c>
      <c r="B49" s="8" t="s">
        <v>55</v>
      </c>
      <c r="C49" s="42" t="s">
        <v>117</v>
      </c>
      <c r="D49" s="8" t="s">
        <v>120</v>
      </c>
      <c r="E49" s="57" t="s">
        <v>315</v>
      </c>
      <c r="F49" s="42">
        <v>150</v>
      </c>
      <c r="G49" s="6"/>
      <c r="H49" s="6"/>
      <c r="I49" s="6"/>
      <c r="J49" s="6"/>
      <c r="K49" s="100"/>
      <c r="L49" s="6"/>
    </row>
    <row r="50" spans="1:12" x14ac:dyDescent="0.2">
      <c r="A50" s="8">
        <v>45</v>
      </c>
      <c r="B50" s="8" t="s">
        <v>55</v>
      </c>
      <c r="C50" s="42" t="s">
        <v>113</v>
      </c>
      <c r="D50" s="8" t="s">
        <v>114</v>
      </c>
      <c r="E50" s="41"/>
      <c r="F50" s="42"/>
      <c r="G50" s="6"/>
      <c r="H50" s="6"/>
      <c r="I50" s="6"/>
      <c r="J50" s="6"/>
      <c r="K50" s="100"/>
      <c r="L50" s="6"/>
    </row>
    <row r="51" spans="1:12" x14ac:dyDescent="0.2">
      <c r="A51" s="8">
        <v>46</v>
      </c>
      <c r="B51" s="8" t="s">
        <v>55</v>
      </c>
      <c r="C51" s="42" t="s">
        <v>113</v>
      </c>
      <c r="D51" s="8" t="s">
        <v>115</v>
      </c>
      <c r="E51" s="41"/>
      <c r="F51" s="42"/>
      <c r="G51" s="6"/>
      <c r="H51" s="6"/>
      <c r="I51" s="6"/>
      <c r="J51" s="6"/>
      <c r="K51" s="100"/>
      <c r="L51" s="6"/>
    </row>
    <row r="52" spans="1:12" x14ac:dyDescent="0.2">
      <c r="A52" s="8">
        <v>47</v>
      </c>
      <c r="B52" s="8" t="s">
        <v>55</v>
      </c>
      <c r="C52" s="42" t="s">
        <v>116</v>
      </c>
      <c r="D52" s="8"/>
      <c r="E52" s="41"/>
      <c r="F52" s="42"/>
      <c r="G52" s="6"/>
      <c r="H52" s="6"/>
      <c r="I52" s="6"/>
      <c r="J52" s="6"/>
      <c r="K52" s="100"/>
      <c r="L52" s="6"/>
    </row>
    <row r="53" spans="1:12" x14ac:dyDescent="0.2">
      <c r="A53" s="8">
        <v>48</v>
      </c>
      <c r="B53" s="8" t="s">
        <v>55</v>
      </c>
      <c r="C53" s="42" t="s">
        <v>117</v>
      </c>
      <c r="D53" s="8" t="s">
        <v>119</v>
      </c>
      <c r="E53" s="41"/>
      <c r="F53" s="42"/>
      <c r="G53" s="6"/>
      <c r="H53" s="6"/>
      <c r="I53" s="6"/>
      <c r="J53" s="6"/>
      <c r="K53" s="100"/>
      <c r="L53" s="6"/>
    </row>
    <row r="54" spans="1:12" x14ac:dyDescent="0.2">
      <c r="A54" s="8">
        <v>49</v>
      </c>
      <c r="B54" s="8" t="s">
        <v>55</v>
      </c>
      <c r="C54" s="42" t="s">
        <v>121</v>
      </c>
      <c r="D54" s="8" t="s">
        <v>122</v>
      </c>
      <c r="E54" s="41"/>
      <c r="F54" s="42"/>
      <c r="G54" s="6"/>
      <c r="H54" s="6"/>
      <c r="I54" s="6"/>
      <c r="J54" s="6"/>
      <c r="K54" s="100"/>
      <c r="L54" s="6"/>
    </row>
    <row r="55" spans="1:12" x14ac:dyDescent="0.2">
      <c r="A55" s="8">
        <v>50</v>
      </c>
      <c r="B55" s="8" t="s">
        <v>55</v>
      </c>
      <c r="C55" s="42" t="s">
        <v>121</v>
      </c>
      <c r="D55" s="8" t="s">
        <v>123</v>
      </c>
      <c r="E55" s="41"/>
      <c r="F55" s="42"/>
      <c r="G55" s="6"/>
      <c r="H55" s="6"/>
      <c r="I55" s="6"/>
      <c r="J55" s="6"/>
      <c r="K55" s="100"/>
      <c r="L55" s="6"/>
    </row>
    <row r="56" spans="1:12" x14ac:dyDescent="0.2">
      <c r="A56" s="8">
        <v>51</v>
      </c>
      <c r="B56" s="8" t="s">
        <v>55</v>
      </c>
      <c r="C56" s="42" t="s">
        <v>124</v>
      </c>
      <c r="D56" s="8" t="s">
        <v>125</v>
      </c>
      <c r="E56" s="41"/>
      <c r="F56" s="42"/>
      <c r="G56" s="6"/>
      <c r="H56" s="6"/>
      <c r="I56" s="6"/>
      <c r="J56" s="6"/>
      <c r="K56" s="100"/>
      <c r="L56" s="6"/>
    </row>
    <row r="57" spans="1:12" x14ac:dyDescent="0.2">
      <c r="A57" s="8">
        <v>52</v>
      </c>
      <c r="B57" s="8" t="s">
        <v>55</v>
      </c>
      <c r="C57" s="42" t="s">
        <v>126</v>
      </c>
      <c r="D57" s="8"/>
      <c r="E57" s="41"/>
      <c r="F57" s="42"/>
      <c r="G57" s="6"/>
      <c r="H57" s="6"/>
      <c r="I57" s="6"/>
      <c r="J57" s="6"/>
      <c r="K57" s="100"/>
      <c r="L57" s="6"/>
    </row>
    <row r="58" spans="1:12" x14ac:dyDescent="0.2">
      <c r="A58" s="8">
        <v>53</v>
      </c>
      <c r="B58" s="8" t="s">
        <v>55</v>
      </c>
      <c r="C58" s="42" t="s">
        <v>127</v>
      </c>
      <c r="D58" s="8"/>
      <c r="E58" s="41"/>
      <c r="F58" s="42"/>
      <c r="G58" s="6"/>
      <c r="H58" s="6"/>
      <c r="I58" s="6"/>
      <c r="J58" s="6"/>
      <c r="K58" s="100"/>
      <c r="L58" s="6"/>
    </row>
    <row r="59" spans="1:12" x14ac:dyDescent="0.2">
      <c r="A59" s="8">
        <v>54</v>
      </c>
      <c r="B59" s="8" t="s">
        <v>55</v>
      </c>
      <c r="C59" s="42" t="s">
        <v>128</v>
      </c>
      <c r="D59" s="8"/>
      <c r="E59" s="41"/>
      <c r="F59" s="42"/>
      <c r="G59" s="6"/>
      <c r="H59" s="6"/>
      <c r="I59" s="6"/>
      <c r="J59" s="6"/>
      <c r="K59" s="100"/>
      <c r="L59" s="6"/>
    </row>
    <row r="60" spans="1:12" x14ac:dyDescent="0.2">
      <c r="A60" s="8">
        <v>55</v>
      </c>
      <c r="B60" s="8" t="s">
        <v>55</v>
      </c>
      <c r="C60" s="42" t="s">
        <v>129</v>
      </c>
      <c r="D60" s="8"/>
      <c r="E60" s="41"/>
      <c r="F60" s="42"/>
      <c r="G60" s="6"/>
      <c r="H60" s="6"/>
      <c r="I60" s="6"/>
      <c r="J60" s="6"/>
      <c r="K60" s="100"/>
      <c r="L60" s="6"/>
    </row>
    <row r="61" spans="1:12" x14ac:dyDescent="0.2">
      <c r="A61" s="8">
        <v>56</v>
      </c>
      <c r="B61" s="8" t="s">
        <v>55</v>
      </c>
      <c r="C61" s="42" t="s">
        <v>130</v>
      </c>
      <c r="D61" s="8" t="s">
        <v>131</v>
      </c>
      <c r="E61" s="41"/>
      <c r="F61" s="42"/>
      <c r="G61" s="6"/>
      <c r="H61" s="6"/>
      <c r="I61" s="6"/>
      <c r="J61" s="6"/>
      <c r="K61" s="100"/>
      <c r="L61" s="6"/>
    </row>
    <row r="62" spans="1:12" x14ac:dyDescent="0.2">
      <c r="A62" s="8">
        <v>57</v>
      </c>
      <c r="B62" s="8" t="s">
        <v>55</v>
      </c>
      <c r="C62" s="42" t="s">
        <v>132</v>
      </c>
      <c r="D62" s="8" t="s">
        <v>133</v>
      </c>
      <c r="E62" s="41"/>
      <c r="F62" s="42"/>
      <c r="G62" s="6"/>
      <c r="H62" s="6"/>
      <c r="I62" s="6"/>
      <c r="J62" s="6"/>
      <c r="K62" s="100"/>
      <c r="L62" s="6"/>
    </row>
    <row r="63" spans="1:12" x14ac:dyDescent="0.2">
      <c r="A63" s="8">
        <v>58</v>
      </c>
      <c r="B63" s="8" t="s">
        <v>55</v>
      </c>
      <c r="C63" s="42" t="s">
        <v>132</v>
      </c>
      <c r="D63" s="8" t="s">
        <v>134</v>
      </c>
      <c r="E63" s="41"/>
      <c r="F63" s="42"/>
      <c r="G63" s="6"/>
      <c r="H63" s="6"/>
      <c r="I63" s="6"/>
      <c r="J63" s="6"/>
      <c r="K63" s="100"/>
      <c r="L6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8CF8-005F-4759-8A81-2C9B910414F8}">
  <dimension ref="A1:I78"/>
  <sheetViews>
    <sheetView workbookViewId="0">
      <selection activeCell="G2" sqref="G2:G14"/>
    </sheetView>
  </sheetViews>
  <sheetFormatPr baseColWidth="10" defaultColWidth="11.5" defaultRowHeight="15" x14ac:dyDescent="0.2"/>
  <cols>
    <col min="1" max="1" width="7.5" style="14" customWidth="1"/>
    <col min="2" max="2" width="12.33203125" customWidth="1"/>
    <col min="3" max="3" width="35.1640625" style="52" customWidth="1"/>
    <col min="4" max="4" width="16.83203125" bestFit="1" customWidth="1"/>
    <col min="5" max="5" width="63.33203125" customWidth="1"/>
    <col min="6" max="6" width="12.33203125" customWidth="1"/>
  </cols>
  <sheetData>
    <row r="1" spans="1:9" ht="16" x14ac:dyDescent="0.2">
      <c r="A1" s="37" t="s">
        <v>59</v>
      </c>
      <c r="B1" s="44" t="s">
        <v>63</v>
      </c>
      <c r="C1" s="37" t="s">
        <v>64</v>
      </c>
      <c r="D1" s="37" t="s">
        <v>65</v>
      </c>
      <c r="E1" s="37" t="s">
        <v>66</v>
      </c>
      <c r="F1" s="39" t="s">
        <v>67</v>
      </c>
    </row>
    <row r="2" spans="1:9" x14ac:dyDescent="0.2">
      <c r="A2" s="8">
        <v>1</v>
      </c>
      <c r="B2" s="8" t="s">
        <v>50</v>
      </c>
      <c r="C2" s="40" t="s">
        <v>202</v>
      </c>
      <c r="D2" s="40" t="s">
        <v>203</v>
      </c>
      <c r="E2" s="110" t="s">
        <v>204</v>
      </c>
      <c r="F2" s="42">
        <v>400</v>
      </c>
      <c r="G2">
        <f>+F2*1000</f>
        <v>400000</v>
      </c>
    </row>
    <row r="3" spans="1:9" x14ac:dyDescent="0.2">
      <c r="A3" s="8">
        <v>2</v>
      </c>
      <c r="B3" s="8" t="s">
        <v>50</v>
      </c>
      <c r="C3" s="40" t="s">
        <v>202</v>
      </c>
      <c r="D3" s="40" t="s">
        <v>205</v>
      </c>
      <c r="E3" s="65" t="s">
        <v>206</v>
      </c>
      <c r="F3" s="42">
        <v>350</v>
      </c>
      <c r="G3">
        <f t="shared" ref="G3:G14" si="0">+F3*1000</f>
        <v>350000</v>
      </c>
    </row>
    <row r="4" spans="1:9" x14ac:dyDescent="0.2">
      <c r="A4" s="8">
        <v>3</v>
      </c>
      <c r="B4" s="8" t="s">
        <v>50</v>
      </c>
      <c r="C4" s="40" t="s">
        <v>207</v>
      </c>
      <c r="D4" s="40"/>
      <c r="E4" s="111" t="s">
        <v>208</v>
      </c>
      <c r="F4" s="42">
        <v>230</v>
      </c>
      <c r="G4">
        <f t="shared" si="0"/>
        <v>230000</v>
      </c>
    </row>
    <row r="5" spans="1:9" x14ac:dyDescent="0.2">
      <c r="A5" s="8">
        <v>4</v>
      </c>
      <c r="B5" s="8" t="s">
        <v>50</v>
      </c>
      <c r="C5" s="40" t="s">
        <v>207</v>
      </c>
      <c r="D5" s="40"/>
      <c r="E5" s="110" t="s">
        <v>209</v>
      </c>
      <c r="F5" s="42">
        <v>220</v>
      </c>
      <c r="G5">
        <f t="shared" si="0"/>
        <v>220000</v>
      </c>
    </row>
    <row r="6" spans="1:9" x14ac:dyDescent="0.2">
      <c r="A6" s="8">
        <v>5</v>
      </c>
      <c r="B6" s="8" t="s">
        <v>50</v>
      </c>
      <c r="C6" s="47" t="s">
        <v>210</v>
      </c>
      <c r="D6" s="47" t="s">
        <v>211</v>
      </c>
      <c r="E6" s="111" t="s">
        <v>212</v>
      </c>
      <c r="F6" s="42">
        <v>150</v>
      </c>
      <c r="G6">
        <f t="shared" si="0"/>
        <v>150000</v>
      </c>
    </row>
    <row r="7" spans="1:9" x14ac:dyDescent="0.2">
      <c r="A7" s="8">
        <v>6</v>
      </c>
      <c r="B7" s="8" t="s">
        <v>53</v>
      </c>
      <c r="C7" s="40" t="s">
        <v>213</v>
      </c>
      <c r="D7" s="40"/>
      <c r="E7" s="100" t="s">
        <v>214</v>
      </c>
      <c r="F7" s="42">
        <v>220</v>
      </c>
      <c r="G7">
        <f t="shared" si="0"/>
        <v>220000</v>
      </c>
    </row>
    <row r="8" spans="1:9" x14ac:dyDescent="0.2">
      <c r="A8" s="8">
        <v>7</v>
      </c>
      <c r="B8" s="8" t="s">
        <v>53</v>
      </c>
      <c r="C8" s="40" t="s">
        <v>213</v>
      </c>
      <c r="D8" s="40"/>
      <c r="E8" s="100" t="s">
        <v>215</v>
      </c>
      <c r="F8" s="42">
        <v>450</v>
      </c>
      <c r="G8">
        <f t="shared" si="0"/>
        <v>450000</v>
      </c>
    </row>
    <row r="9" spans="1:9" x14ac:dyDescent="0.2">
      <c r="A9" s="8">
        <v>8</v>
      </c>
      <c r="B9" s="8" t="s">
        <v>53</v>
      </c>
      <c r="C9" s="42" t="s">
        <v>216</v>
      </c>
      <c r="D9" s="40"/>
      <c r="E9" s="57" t="s">
        <v>315</v>
      </c>
      <c r="F9" s="42">
        <v>130</v>
      </c>
      <c r="G9">
        <f t="shared" si="0"/>
        <v>130000</v>
      </c>
    </row>
    <row r="10" spans="1:9" x14ac:dyDescent="0.2">
      <c r="A10" s="8">
        <v>9</v>
      </c>
      <c r="B10" s="8" t="s">
        <v>53</v>
      </c>
      <c r="C10" s="53" t="s">
        <v>217</v>
      </c>
      <c r="D10" s="40"/>
      <c r="E10" s="57" t="s">
        <v>315</v>
      </c>
      <c r="F10" s="42">
        <v>150</v>
      </c>
      <c r="G10">
        <f t="shared" si="0"/>
        <v>150000</v>
      </c>
    </row>
    <row r="11" spans="1:9" x14ac:dyDescent="0.2">
      <c r="A11" s="8">
        <v>10</v>
      </c>
      <c r="B11" s="8" t="s">
        <v>53</v>
      </c>
      <c r="C11" s="53" t="s">
        <v>218</v>
      </c>
      <c r="D11" s="53"/>
      <c r="E11" s="57" t="s">
        <v>315</v>
      </c>
      <c r="F11" s="42">
        <v>150</v>
      </c>
      <c r="G11">
        <f t="shared" si="0"/>
        <v>150000</v>
      </c>
      <c r="I11" t="s">
        <v>219</v>
      </c>
    </row>
    <row r="12" spans="1:9" x14ac:dyDescent="0.2">
      <c r="A12" s="8">
        <v>11</v>
      </c>
      <c r="B12" s="8" t="s">
        <v>53</v>
      </c>
      <c r="C12" s="53" t="s">
        <v>220</v>
      </c>
      <c r="D12" s="53"/>
      <c r="E12" s="112" t="s">
        <v>221</v>
      </c>
      <c r="F12" s="42">
        <v>150</v>
      </c>
      <c r="G12">
        <f t="shared" si="0"/>
        <v>150000</v>
      </c>
      <c r="I12" s="54" t="s">
        <v>222</v>
      </c>
    </row>
    <row r="13" spans="1:9" x14ac:dyDescent="0.2">
      <c r="A13" s="8">
        <v>12</v>
      </c>
      <c r="B13" s="8" t="s">
        <v>53</v>
      </c>
      <c r="C13" s="53" t="s">
        <v>110</v>
      </c>
      <c r="D13" s="40"/>
      <c r="E13" s="57" t="s">
        <v>315</v>
      </c>
      <c r="F13" s="42">
        <v>300</v>
      </c>
      <c r="G13">
        <f t="shared" si="0"/>
        <v>300000</v>
      </c>
    </row>
    <row r="14" spans="1:9" x14ac:dyDescent="0.2">
      <c r="A14" s="8">
        <v>13</v>
      </c>
      <c r="B14" s="8" t="s">
        <v>52</v>
      </c>
      <c r="C14" s="47" t="s">
        <v>223</v>
      </c>
      <c r="D14" s="47" t="s">
        <v>224</v>
      </c>
      <c r="E14" s="57" t="s">
        <v>315</v>
      </c>
      <c r="F14" s="42">
        <v>150</v>
      </c>
      <c r="G14">
        <f t="shared" si="0"/>
        <v>150000</v>
      </c>
    </row>
    <row r="15" spans="1:9" x14ac:dyDescent="0.2">
      <c r="A15" s="8">
        <v>14</v>
      </c>
      <c r="B15" s="8" t="s">
        <v>55</v>
      </c>
      <c r="C15" s="42" t="s">
        <v>225</v>
      </c>
      <c r="D15" s="40"/>
      <c r="E15" s="40"/>
      <c r="F15" s="42"/>
    </row>
    <row r="16" spans="1:9" x14ac:dyDescent="0.2">
      <c r="A16" s="8">
        <v>15</v>
      </c>
      <c r="B16" s="8" t="s">
        <v>55</v>
      </c>
      <c r="C16" s="42" t="s">
        <v>226</v>
      </c>
      <c r="D16" s="42"/>
      <c r="E16" s="42"/>
      <c r="F16" s="42"/>
    </row>
    <row r="17" spans="1:6" x14ac:dyDescent="0.2">
      <c r="A17" s="8">
        <v>16</v>
      </c>
      <c r="B17" s="8" t="s">
        <v>55</v>
      </c>
      <c r="C17" s="42" t="s">
        <v>227</v>
      </c>
      <c r="D17" s="42"/>
      <c r="E17" s="42"/>
      <c r="F17" s="42"/>
    </row>
    <row r="18" spans="1:6" x14ac:dyDescent="0.2">
      <c r="A18" s="8">
        <v>17</v>
      </c>
      <c r="B18" s="8" t="s">
        <v>55</v>
      </c>
      <c r="C18" s="42" t="s">
        <v>228</v>
      </c>
      <c r="D18" s="42"/>
      <c r="E18" s="42"/>
      <c r="F18" s="42"/>
    </row>
    <row r="19" spans="1:6" x14ac:dyDescent="0.2">
      <c r="A19" s="8">
        <v>18</v>
      </c>
      <c r="B19" s="8" t="s">
        <v>55</v>
      </c>
      <c r="C19" s="42" t="s">
        <v>229</v>
      </c>
      <c r="D19" s="42"/>
      <c r="E19" s="42"/>
      <c r="F19" s="42"/>
    </row>
    <row r="20" spans="1:6" x14ac:dyDescent="0.2">
      <c r="A20" s="8">
        <v>19</v>
      </c>
      <c r="B20" s="8" t="s">
        <v>55</v>
      </c>
      <c r="C20" s="42" t="s">
        <v>230</v>
      </c>
      <c r="D20" s="42"/>
      <c r="E20" s="42"/>
      <c r="F20" s="42"/>
    </row>
    <row r="21" spans="1:6" x14ac:dyDescent="0.2">
      <c r="A21" s="8">
        <v>20</v>
      </c>
      <c r="B21" s="8" t="s">
        <v>55</v>
      </c>
      <c r="C21" s="42" t="s">
        <v>231</v>
      </c>
      <c r="D21" s="42"/>
      <c r="E21" s="42"/>
      <c r="F21" s="42"/>
    </row>
    <row r="22" spans="1:6" x14ac:dyDescent="0.2">
      <c r="A22" s="8">
        <v>21</v>
      </c>
      <c r="B22" s="8" t="s">
        <v>55</v>
      </c>
      <c r="C22" s="42" t="s">
        <v>213</v>
      </c>
      <c r="D22" s="42"/>
      <c r="F22" s="42"/>
    </row>
    <row r="23" spans="1:6" x14ac:dyDescent="0.2">
      <c r="A23" s="8">
        <v>22</v>
      </c>
      <c r="B23" s="8" t="s">
        <v>55</v>
      </c>
      <c r="C23" s="42" t="s">
        <v>232</v>
      </c>
      <c r="D23" s="42"/>
      <c r="E23" s="42"/>
      <c r="F23" s="42"/>
    </row>
    <row r="24" spans="1:6" x14ac:dyDescent="0.2">
      <c r="A24" s="8">
        <v>23</v>
      </c>
      <c r="B24" s="8" t="s">
        <v>55</v>
      </c>
      <c r="C24" s="42" t="s">
        <v>233</v>
      </c>
      <c r="D24" s="42"/>
      <c r="E24" s="42"/>
      <c r="F24" s="42"/>
    </row>
    <row r="25" spans="1:6" x14ac:dyDescent="0.2">
      <c r="A25" s="8">
        <v>24</v>
      </c>
      <c r="B25" s="8" t="s">
        <v>55</v>
      </c>
      <c r="C25" s="42" t="s">
        <v>234</v>
      </c>
      <c r="D25" s="42"/>
      <c r="E25" s="42"/>
      <c r="F25" s="42"/>
    </row>
    <row r="26" spans="1:6" x14ac:dyDescent="0.2">
      <c r="A26" s="8">
        <v>25</v>
      </c>
      <c r="B26" s="8" t="s">
        <v>55</v>
      </c>
      <c r="C26" s="42" t="s">
        <v>235</v>
      </c>
      <c r="D26" s="42"/>
      <c r="E26" s="42"/>
      <c r="F26" s="42"/>
    </row>
    <row r="27" spans="1:6" x14ac:dyDescent="0.2">
      <c r="A27" s="8">
        <v>26</v>
      </c>
      <c r="B27" s="8" t="s">
        <v>55</v>
      </c>
      <c r="C27" s="42" t="s">
        <v>236</v>
      </c>
      <c r="D27" s="42"/>
      <c r="E27" s="42"/>
      <c r="F27" s="42"/>
    </row>
    <row r="28" spans="1:6" x14ac:dyDescent="0.2">
      <c r="A28" s="8">
        <v>27</v>
      </c>
      <c r="B28" s="8" t="s">
        <v>55</v>
      </c>
      <c r="C28" s="42" t="s">
        <v>237</v>
      </c>
      <c r="D28" s="42"/>
      <c r="E28" s="42"/>
      <c r="F28" s="42"/>
    </row>
    <row r="29" spans="1:6" x14ac:dyDescent="0.2">
      <c r="A29" s="8">
        <v>28</v>
      </c>
      <c r="B29" s="8" t="s">
        <v>55</v>
      </c>
      <c r="C29" s="42" t="s">
        <v>238</v>
      </c>
      <c r="D29" s="42"/>
      <c r="E29" s="42"/>
      <c r="F29" s="42"/>
    </row>
    <row r="30" spans="1:6" x14ac:dyDescent="0.2">
      <c r="A30" s="8">
        <v>29</v>
      </c>
      <c r="B30" s="8" t="s">
        <v>55</v>
      </c>
      <c r="C30" s="42" t="s">
        <v>239</v>
      </c>
      <c r="D30" s="42"/>
      <c r="E30" s="42"/>
      <c r="F30" s="42"/>
    </row>
    <row r="31" spans="1:6" x14ac:dyDescent="0.2">
      <c r="A31" s="8">
        <v>30</v>
      </c>
      <c r="B31" s="8" t="s">
        <v>55</v>
      </c>
      <c r="C31" s="42" t="s">
        <v>240</v>
      </c>
      <c r="D31" s="42"/>
      <c r="E31" s="42"/>
      <c r="F31" s="42"/>
    </row>
    <row r="32" spans="1:6" x14ac:dyDescent="0.2">
      <c r="A32" s="8">
        <v>31</v>
      </c>
      <c r="B32" s="8" t="s">
        <v>55</v>
      </c>
      <c r="C32" s="42" t="s">
        <v>241</v>
      </c>
      <c r="D32" s="42"/>
      <c r="E32" s="42"/>
      <c r="F32" s="42"/>
    </row>
    <row r="33" spans="1:6" x14ac:dyDescent="0.2">
      <c r="A33" s="8">
        <v>32</v>
      </c>
      <c r="B33" s="8" t="s">
        <v>55</v>
      </c>
      <c r="C33" s="42" t="s">
        <v>242</v>
      </c>
      <c r="D33" s="42"/>
      <c r="E33" s="42"/>
      <c r="F33" s="42"/>
    </row>
    <row r="34" spans="1:6" x14ac:dyDescent="0.2">
      <c r="A34" s="8">
        <v>33</v>
      </c>
      <c r="B34" s="8" t="s">
        <v>55</v>
      </c>
      <c r="C34" s="42" t="s">
        <v>243</v>
      </c>
      <c r="D34" s="42"/>
      <c r="E34" s="42"/>
      <c r="F34" s="42"/>
    </row>
    <row r="35" spans="1:6" x14ac:dyDescent="0.2">
      <c r="A35" s="8">
        <v>34</v>
      </c>
      <c r="B35" s="8" t="s">
        <v>55</v>
      </c>
      <c r="C35" s="42" t="s">
        <v>244</v>
      </c>
      <c r="D35" s="42"/>
      <c r="E35" s="42"/>
      <c r="F35" s="42"/>
    </row>
    <row r="36" spans="1:6" x14ac:dyDescent="0.2">
      <c r="A36" s="8">
        <v>35</v>
      </c>
      <c r="B36" s="8" t="s">
        <v>55</v>
      </c>
      <c r="C36" s="42" t="s">
        <v>245</v>
      </c>
      <c r="D36" s="42"/>
      <c r="E36" s="42"/>
      <c r="F36" s="42"/>
    </row>
    <row r="37" spans="1:6" x14ac:dyDescent="0.2">
      <c r="A37" s="8">
        <v>36</v>
      </c>
      <c r="B37" s="8" t="s">
        <v>55</v>
      </c>
      <c r="C37" s="42" t="s">
        <v>246</v>
      </c>
      <c r="D37" s="42"/>
      <c r="E37" s="42"/>
      <c r="F37" s="42"/>
    </row>
    <row r="38" spans="1:6" x14ac:dyDescent="0.2">
      <c r="A38" s="8">
        <v>37</v>
      </c>
      <c r="B38" s="8" t="s">
        <v>55</v>
      </c>
      <c r="C38" s="42" t="s">
        <v>247</v>
      </c>
      <c r="D38" s="42"/>
      <c r="E38" s="42"/>
      <c r="F38" s="42"/>
    </row>
    <row r="39" spans="1:6" x14ac:dyDescent="0.2">
      <c r="A39" s="8">
        <v>38</v>
      </c>
      <c r="B39" s="8" t="s">
        <v>55</v>
      </c>
      <c r="C39" s="42" t="s">
        <v>248</v>
      </c>
      <c r="D39" s="42"/>
      <c r="E39" s="42"/>
      <c r="F39" s="42"/>
    </row>
    <row r="40" spans="1:6" x14ac:dyDescent="0.2">
      <c r="A40" s="8">
        <v>39</v>
      </c>
      <c r="B40" s="8" t="s">
        <v>55</v>
      </c>
      <c r="C40" s="42" t="s">
        <v>249</v>
      </c>
      <c r="D40" s="42"/>
      <c r="E40" s="42"/>
      <c r="F40" s="42"/>
    </row>
    <row r="41" spans="1:6" x14ac:dyDescent="0.2">
      <c r="A41" s="8">
        <v>40</v>
      </c>
      <c r="B41" s="8" t="s">
        <v>55</v>
      </c>
      <c r="C41" s="42" t="s">
        <v>250</v>
      </c>
      <c r="D41" s="42"/>
      <c r="E41" s="42"/>
      <c r="F41" s="42"/>
    </row>
    <row r="42" spans="1:6" x14ac:dyDescent="0.2">
      <c r="A42" s="8">
        <v>41</v>
      </c>
      <c r="B42" s="8" t="s">
        <v>55</v>
      </c>
      <c r="C42" s="42" t="s">
        <v>251</v>
      </c>
      <c r="D42" s="42"/>
      <c r="E42" s="42"/>
      <c r="F42" s="42"/>
    </row>
    <row r="43" spans="1:6" x14ac:dyDescent="0.2">
      <c r="A43" s="8">
        <v>42</v>
      </c>
      <c r="B43" s="8" t="s">
        <v>55</v>
      </c>
      <c r="C43" s="42" t="s">
        <v>252</v>
      </c>
      <c r="D43" s="42"/>
      <c r="E43" s="42"/>
      <c r="F43" s="42"/>
    </row>
    <row r="44" spans="1:6" x14ac:dyDescent="0.2">
      <c r="A44" s="8">
        <v>43</v>
      </c>
      <c r="B44" s="8" t="s">
        <v>55</v>
      </c>
      <c r="C44" s="42" t="s">
        <v>253</v>
      </c>
      <c r="D44" s="42"/>
      <c r="E44" s="42"/>
      <c r="F44" s="42"/>
    </row>
    <row r="45" spans="1:6" x14ac:dyDescent="0.2">
      <c r="A45" s="8">
        <v>44</v>
      </c>
      <c r="B45" s="8" t="s">
        <v>55</v>
      </c>
      <c r="C45" s="42" t="s">
        <v>254</v>
      </c>
      <c r="D45" s="42"/>
      <c r="E45" s="42"/>
      <c r="F45" s="42"/>
    </row>
    <row r="46" spans="1:6" x14ac:dyDescent="0.2">
      <c r="A46" s="8">
        <v>45</v>
      </c>
      <c r="B46" s="8" t="s">
        <v>55</v>
      </c>
      <c r="C46" s="42" t="s">
        <v>255</v>
      </c>
      <c r="D46" s="42"/>
      <c r="E46" s="42"/>
      <c r="F46" s="42"/>
    </row>
    <row r="47" spans="1:6" x14ac:dyDescent="0.2">
      <c r="A47" s="8">
        <v>46</v>
      </c>
      <c r="B47" s="8" t="s">
        <v>55</v>
      </c>
      <c r="C47" s="42" t="s">
        <v>256</v>
      </c>
      <c r="D47" s="42"/>
      <c r="E47" s="42"/>
      <c r="F47" s="42"/>
    </row>
    <row r="48" spans="1:6" x14ac:dyDescent="0.2">
      <c r="A48" s="8">
        <v>47</v>
      </c>
      <c r="B48" s="8" t="s">
        <v>55</v>
      </c>
      <c r="C48" s="42" t="s">
        <v>257</v>
      </c>
      <c r="D48" s="42"/>
      <c r="E48" s="42"/>
      <c r="F48" s="42"/>
    </row>
    <row r="49" spans="1:6" x14ac:dyDescent="0.2">
      <c r="A49" s="8">
        <v>48</v>
      </c>
      <c r="B49" s="8" t="s">
        <v>55</v>
      </c>
      <c r="C49" s="42" t="s">
        <v>258</v>
      </c>
      <c r="D49" s="42"/>
      <c r="E49" s="42"/>
      <c r="F49" s="42"/>
    </row>
    <row r="50" spans="1:6" x14ac:dyDescent="0.2">
      <c r="A50" s="8">
        <v>49</v>
      </c>
      <c r="B50" s="8" t="s">
        <v>55</v>
      </c>
      <c r="C50" s="42" t="s">
        <v>259</v>
      </c>
      <c r="D50" s="42"/>
      <c r="E50" s="42"/>
      <c r="F50" s="42"/>
    </row>
    <row r="51" spans="1:6" x14ac:dyDescent="0.2">
      <c r="A51" s="8">
        <v>50</v>
      </c>
      <c r="B51" s="8" t="s">
        <v>55</v>
      </c>
      <c r="C51" s="42" t="s">
        <v>260</v>
      </c>
      <c r="D51" s="42"/>
      <c r="E51" s="42"/>
      <c r="F51" s="42"/>
    </row>
    <row r="52" spans="1:6" x14ac:dyDescent="0.2">
      <c r="A52" s="8">
        <v>51</v>
      </c>
      <c r="B52" s="8" t="s">
        <v>55</v>
      </c>
      <c r="C52" s="42" t="s">
        <v>261</v>
      </c>
      <c r="D52" s="42"/>
      <c r="E52" s="42"/>
      <c r="F52" s="42"/>
    </row>
    <row r="53" spans="1:6" x14ac:dyDescent="0.2">
      <c r="A53" s="8">
        <v>52</v>
      </c>
      <c r="B53" s="8" t="s">
        <v>55</v>
      </c>
      <c r="C53" s="42" t="s">
        <v>262</v>
      </c>
      <c r="D53" s="42"/>
      <c r="E53" s="42"/>
      <c r="F53" s="42"/>
    </row>
    <row r="54" spans="1:6" x14ac:dyDescent="0.2">
      <c r="A54" s="8">
        <v>53</v>
      </c>
      <c r="B54" s="8" t="s">
        <v>55</v>
      </c>
      <c r="C54" s="42" t="s">
        <v>263</v>
      </c>
      <c r="D54" s="42"/>
      <c r="E54" s="42"/>
      <c r="F54" s="42"/>
    </row>
    <row r="55" spans="1:6" x14ac:dyDescent="0.2">
      <c r="A55" s="8">
        <v>54</v>
      </c>
      <c r="B55" s="8" t="s">
        <v>55</v>
      </c>
      <c r="C55" s="42" t="s">
        <v>264</v>
      </c>
      <c r="D55" s="42"/>
      <c r="E55" s="42"/>
      <c r="F55" s="42"/>
    </row>
    <row r="56" spans="1:6" x14ac:dyDescent="0.2">
      <c r="A56" s="8">
        <v>55</v>
      </c>
      <c r="B56" s="8" t="s">
        <v>55</v>
      </c>
      <c r="C56" s="42" t="s">
        <v>265</v>
      </c>
      <c r="D56" s="42"/>
      <c r="E56" s="42"/>
      <c r="F56" s="42"/>
    </row>
    <row r="57" spans="1:6" x14ac:dyDescent="0.2">
      <c r="A57" s="8">
        <v>56</v>
      </c>
      <c r="B57" s="8" t="s">
        <v>55</v>
      </c>
      <c r="C57" s="42" t="s">
        <v>266</v>
      </c>
      <c r="D57" s="42"/>
      <c r="E57" s="42"/>
      <c r="F57" s="42"/>
    </row>
    <row r="58" spans="1:6" x14ac:dyDescent="0.2">
      <c r="A58" s="8">
        <v>57</v>
      </c>
      <c r="B58" s="8" t="s">
        <v>55</v>
      </c>
      <c r="C58" s="42" t="s">
        <v>267</v>
      </c>
      <c r="D58" s="42"/>
      <c r="E58" s="42"/>
      <c r="F58" s="42"/>
    </row>
    <row r="59" spans="1:6" x14ac:dyDescent="0.2">
      <c r="A59" s="8">
        <v>58</v>
      </c>
      <c r="B59" s="8" t="s">
        <v>55</v>
      </c>
      <c r="C59" s="42" t="s">
        <v>268</v>
      </c>
      <c r="D59" s="42"/>
      <c r="E59" s="42"/>
      <c r="F59" s="42"/>
    </row>
    <row r="60" spans="1:6" x14ac:dyDescent="0.2">
      <c r="A60" s="8">
        <v>59</v>
      </c>
      <c r="B60" s="8" t="s">
        <v>55</v>
      </c>
      <c r="C60" s="42" t="s">
        <v>269</v>
      </c>
      <c r="D60" s="42"/>
      <c r="E60" s="42"/>
      <c r="F60" s="42"/>
    </row>
    <row r="61" spans="1:6" x14ac:dyDescent="0.2">
      <c r="A61" s="8">
        <v>60</v>
      </c>
      <c r="B61" s="8" t="s">
        <v>55</v>
      </c>
      <c r="C61" s="42" t="s">
        <v>270</v>
      </c>
      <c r="D61" s="42"/>
      <c r="E61" s="42"/>
      <c r="F61" s="42"/>
    </row>
    <row r="62" spans="1:6" x14ac:dyDescent="0.2">
      <c r="A62" s="8">
        <v>61</v>
      </c>
      <c r="B62" s="8" t="s">
        <v>55</v>
      </c>
      <c r="C62" s="42" t="s">
        <v>271</v>
      </c>
      <c r="D62" s="42"/>
      <c r="E62" s="42"/>
      <c r="F62" s="42"/>
    </row>
    <row r="63" spans="1:6" x14ac:dyDescent="0.2">
      <c r="A63" s="8">
        <v>62</v>
      </c>
      <c r="B63" s="8" t="s">
        <v>55</v>
      </c>
      <c r="C63" s="42" t="s">
        <v>272</v>
      </c>
      <c r="D63" s="42"/>
      <c r="E63" s="42"/>
      <c r="F63" s="42"/>
    </row>
    <row r="64" spans="1:6" x14ac:dyDescent="0.2">
      <c r="A64" s="8">
        <v>63</v>
      </c>
      <c r="B64" s="8" t="s">
        <v>55</v>
      </c>
      <c r="C64" s="42" t="s">
        <v>273</v>
      </c>
      <c r="D64" s="42"/>
      <c r="E64" s="42"/>
      <c r="F64" s="42"/>
    </row>
    <row r="65" spans="1:6" x14ac:dyDescent="0.2">
      <c r="A65" s="8">
        <v>64</v>
      </c>
      <c r="B65" s="8" t="s">
        <v>55</v>
      </c>
      <c r="C65" s="42" t="s">
        <v>274</v>
      </c>
      <c r="D65" s="42"/>
      <c r="E65" s="42"/>
      <c r="F65" s="42"/>
    </row>
    <row r="66" spans="1:6" x14ac:dyDescent="0.2">
      <c r="A66" s="8">
        <v>65</v>
      </c>
      <c r="B66" s="8" t="s">
        <v>55</v>
      </c>
      <c r="C66" s="42" t="s">
        <v>275</v>
      </c>
      <c r="D66" s="42"/>
      <c r="E66" s="42"/>
      <c r="F66" s="42"/>
    </row>
    <row r="67" spans="1:6" x14ac:dyDescent="0.2">
      <c r="A67" s="8">
        <v>66</v>
      </c>
      <c r="B67" s="8" t="s">
        <v>55</v>
      </c>
      <c r="C67" s="42" t="s">
        <v>276</v>
      </c>
      <c r="D67" s="42"/>
      <c r="E67" s="42"/>
      <c r="F67" s="42"/>
    </row>
    <row r="68" spans="1:6" x14ac:dyDescent="0.2">
      <c r="A68" s="8">
        <v>67</v>
      </c>
      <c r="B68" s="8" t="s">
        <v>55</v>
      </c>
      <c r="C68" s="42" t="s">
        <v>277</v>
      </c>
      <c r="D68" s="42"/>
      <c r="E68" s="42"/>
      <c r="F68" s="42"/>
    </row>
    <row r="69" spans="1:6" x14ac:dyDescent="0.2">
      <c r="A69" s="8">
        <v>68</v>
      </c>
      <c r="B69" s="8" t="s">
        <v>55</v>
      </c>
      <c r="C69" s="42" t="s">
        <v>278</v>
      </c>
      <c r="D69" s="42"/>
      <c r="E69" s="42"/>
      <c r="F69" s="42"/>
    </row>
    <row r="70" spans="1:6" x14ac:dyDescent="0.2">
      <c r="A70" s="8">
        <v>69</v>
      </c>
      <c r="B70" s="8" t="s">
        <v>55</v>
      </c>
      <c r="C70" s="42" t="s">
        <v>279</v>
      </c>
      <c r="D70" s="42"/>
      <c r="E70" s="42"/>
      <c r="F70" s="42"/>
    </row>
    <row r="71" spans="1:6" x14ac:dyDescent="0.2">
      <c r="A71" s="8">
        <v>70</v>
      </c>
      <c r="B71" s="8" t="s">
        <v>55</v>
      </c>
      <c r="C71" s="42" t="s">
        <v>280</v>
      </c>
      <c r="D71" s="42"/>
      <c r="E71" s="42"/>
      <c r="F71" s="42"/>
    </row>
    <row r="72" spans="1:6" x14ac:dyDescent="0.2">
      <c r="A72" s="8">
        <v>71</v>
      </c>
      <c r="B72" s="8" t="s">
        <v>55</v>
      </c>
      <c r="C72" s="42" t="s">
        <v>281</v>
      </c>
      <c r="D72" s="42"/>
      <c r="E72" s="42"/>
      <c r="F72" s="42"/>
    </row>
    <row r="73" spans="1:6" x14ac:dyDescent="0.2">
      <c r="A73" s="8">
        <v>72</v>
      </c>
      <c r="B73" s="8" t="s">
        <v>55</v>
      </c>
      <c r="C73" s="42" t="s">
        <v>282</v>
      </c>
      <c r="D73" s="42"/>
      <c r="E73" s="42"/>
      <c r="F73" s="42"/>
    </row>
    <row r="74" spans="1:6" x14ac:dyDescent="0.2">
      <c r="A74" s="8">
        <v>73</v>
      </c>
      <c r="B74" s="8" t="s">
        <v>55</v>
      </c>
      <c r="C74" s="42" t="s">
        <v>283</v>
      </c>
      <c r="D74" s="42"/>
      <c r="E74" s="42"/>
      <c r="F74" s="42"/>
    </row>
    <row r="75" spans="1:6" x14ac:dyDescent="0.2">
      <c r="A75" s="8">
        <v>74</v>
      </c>
      <c r="B75" s="8" t="s">
        <v>55</v>
      </c>
      <c r="C75" s="42" t="s">
        <v>284</v>
      </c>
      <c r="D75" s="42"/>
      <c r="E75" s="42"/>
      <c r="F75" s="42"/>
    </row>
    <row r="76" spans="1:6" x14ac:dyDescent="0.2">
      <c r="A76" s="8">
        <v>75</v>
      </c>
      <c r="B76" s="8" t="s">
        <v>55</v>
      </c>
      <c r="C76" s="42" t="s">
        <v>285</v>
      </c>
      <c r="D76" s="42"/>
      <c r="E76" s="42"/>
      <c r="F76" s="42"/>
    </row>
    <row r="77" spans="1:6" x14ac:dyDescent="0.2">
      <c r="A77" s="8">
        <v>76</v>
      </c>
      <c r="B77" s="8" t="s">
        <v>55</v>
      </c>
      <c r="C77" s="42" t="s">
        <v>286</v>
      </c>
      <c r="D77" s="42"/>
      <c r="E77" s="42"/>
      <c r="F77" s="42"/>
    </row>
    <row r="78" spans="1:6" x14ac:dyDescent="0.2">
      <c r="A78" s="8">
        <v>77</v>
      </c>
      <c r="B78" s="8" t="s">
        <v>55</v>
      </c>
      <c r="C78" s="42" t="s">
        <v>287</v>
      </c>
      <c r="D78" s="42"/>
      <c r="E78" s="42"/>
      <c r="F78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7785-6FED-4229-8239-C97186C343E9}">
  <dimension ref="A1:I37"/>
  <sheetViews>
    <sheetView topLeftCell="A9" zoomScale="91" workbookViewId="0">
      <selection activeCell="I18" sqref="I18"/>
    </sheetView>
  </sheetViews>
  <sheetFormatPr baseColWidth="10" defaultColWidth="11.5" defaultRowHeight="15" x14ac:dyDescent="0.2"/>
  <cols>
    <col min="1" max="1" width="11.5" style="14"/>
    <col min="2" max="2" width="14.33203125" customWidth="1"/>
    <col min="3" max="3" width="32.5" customWidth="1"/>
    <col min="4" max="4" width="20.33203125" customWidth="1"/>
    <col min="5" max="5" width="85" customWidth="1"/>
    <col min="6" max="6" width="11.6640625" bestFit="1" customWidth="1"/>
    <col min="7" max="8" width="11.5" style="61"/>
    <col min="9" max="9" width="18.33203125" style="61" bestFit="1" customWidth="1"/>
  </cols>
  <sheetData>
    <row r="1" spans="1:9" ht="32" x14ac:dyDescent="0.2">
      <c r="A1" s="37" t="s">
        <v>59</v>
      </c>
      <c r="B1" s="38" t="s">
        <v>63</v>
      </c>
      <c r="C1" s="37" t="s">
        <v>64</v>
      </c>
      <c r="D1" s="37" t="s">
        <v>65</v>
      </c>
      <c r="E1" s="37" t="s">
        <v>66</v>
      </c>
      <c r="F1" s="55" t="s">
        <v>288</v>
      </c>
      <c r="G1" s="39" t="s">
        <v>289</v>
      </c>
      <c r="H1" s="39" t="s">
        <v>290</v>
      </c>
      <c r="I1" s="39" t="s">
        <v>291</v>
      </c>
    </row>
    <row r="2" spans="1:9" x14ac:dyDescent="0.2">
      <c r="A2" s="8">
        <v>1</v>
      </c>
      <c r="B2" s="6" t="s">
        <v>50</v>
      </c>
      <c r="C2" s="56" t="s">
        <v>292</v>
      </c>
      <c r="D2" s="57" t="s">
        <v>293</v>
      </c>
      <c r="E2" s="57" t="s">
        <v>294</v>
      </c>
      <c r="F2" s="8">
        <v>300</v>
      </c>
      <c r="G2" s="8" t="s">
        <v>295</v>
      </c>
      <c r="H2" s="8" t="s">
        <v>296</v>
      </c>
      <c r="I2" s="8"/>
    </row>
    <row r="3" spans="1:9" x14ac:dyDescent="0.2">
      <c r="A3" s="8">
        <v>2</v>
      </c>
      <c r="B3" s="6" t="s">
        <v>50</v>
      </c>
      <c r="C3" s="56" t="s">
        <v>292</v>
      </c>
      <c r="D3" s="57"/>
      <c r="E3" s="57" t="s">
        <v>297</v>
      </c>
      <c r="F3" s="8">
        <v>800</v>
      </c>
      <c r="G3" s="8" t="s">
        <v>298</v>
      </c>
      <c r="H3" s="8" t="s">
        <v>299</v>
      </c>
      <c r="I3" s="8">
        <v>2</v>
      </c>
    </row>
    <row r="4" spans="1:9" x14ac:dyDescent="0.2">
      <c r="A4" s="8">
        <v>3</v>
      </c>
      <c r="B4" s="6" t="s">
        <v>52</v>
      </c>
      <c r="C4" s="57" t="s">
        <v>300</v>
      </c>
      <c r="D4" s="57"/>
      <c r="E4" s="57" t="s">
        <v>301</v>
      </c>
      <c r="F4" s="8">
        <v>300</v>
      </c>
      <c r="G4" s="8" t="s">
        <v>298</v>
      </c>
      <c r="H4" s="8" t="s">
        <v>299</v>
      </c>
      <c r="I4" s="8">
        <v>3</v>
      </c>
    </row>
    <row r="5" spans="1:9" x14ac:dyDescent="0.2">
      <c r="A5" s="8">
        <v>4</v>
      </c>
      <c r="B5" s="6" t="s">
        <v>53</v>
      </c>
      <c r="C5" s="56" t="s">
        <v>302</v>
      </c>
      <c r="D5" s="57" t="s">
        <v>303</v>
      </c>
      <c r="E5" s="57" t="s">
        <v>304</v>
      </c>
      <c r="F5" s="8">
        <v>100</v>
      </c>
      <c r="G5" s="8" t="s">
        <v>298</v>
      </c>
      <c r="H5" s="8" t="s">
        <v>299</v>
      </c>
      <c r="I5" s="8">
        <v>1</v>
      </c>
    </row>
    <row r="6" spans="1:9" x14ac:dyDescent="0.2">
      <c r="A6" s="8">
        <v>5</v>
      </c>
      <c r="B6" s="6" t="s">
        <v>53</v>
      </c>
      <c r="C6" s="56" t="s">
        <v>305</v>
      </c>
      <c r="D6" s="57" t="s">
        <v>306</v>
      </c>
      <c r="E6" s="57" t="s">
        <v>307</v>
      </c>
      <c r="F6" s="8">
        <v>600</v>
      </c>
      <c r="G6" s="8" t="s">
        <v>298</v>
      </c>
      <c r="H6" s="8" t="s">
        <v>295</v>
      </c>
      <c r="I6" s="8"/>
    </row>
    <row r="7" spans="1:9" x14ac:dyDescent="0.2">
      <c r="A7" s="8">
        <v>6</v>
      </c>
      <c r="B7" s="6" t="s">
        <v>53</v>
      </c>
      <c r="C7" s="58" t="s">
        <v>106</v>
      </c>
      <c r="D7" s="57" t="s">
        <v>308</v>
      </c>
      <c r="E7" s="57" t="s">
        <v>309</v>
      </c>
      <c r="F7" s="8">
        <v>200</v>
      </c>
      <c r="G7" s="8" t="s">
        <v>295</v>
      </c>
      <c r="H7" s="8" t="s">
        <v>295</v>
      </c>
      <c r="I7" s="8"/>
    </row>
    <row r="8" spans="1:9" x14ac:dyDescent="0.2">
      <c r="A8" s="8">
        <v>7</v>
      </c>
      <c r="B8" s="6" t="s">
        <v>53</v>
      </c>
      <c r="C8" s="58" t="s">
        <v>106</v>
      </c>
      <c r="D8" s="57" t="s">
        <v>308</v>
      </c>
      <c r="E8" s="57" t="s">
        <v>310</v>
      </c>
      <c r="F8" s="8">
        <v>300</v>
      </c>
      <c r="G8" s="8" t="s">
        <v>298</v>
      </c>
      <c r="H8" s="8" t="s">
        <v>299</v>
      </c>
      <c r="I8" s="8">
        <v>2</v>
      </c>
    </row>
    <row r="9" spans="1:9" x14ac:dyDescent="0.2">
      <c r="A9" s="8">
        <v>8</v>
      </c>
      <c r="B9" s="6" t="s">
        <v>53</v>
      </c>
      <c r="C9" s="58" t="s">
        <v>106</v>
      </c>
      <c r="D9" s="57" t="s">
        <v>311</v>
      </c>
      <c r="E9" s="57" t="s">
        <v>310</v>
      </c>
      <c r="F9" s="8">
        <v>150</v>
      </c>
      <c r="G9" s="8" t="s">
        <v>298</v>
      </c>
      <c r="H9" s="8" t="s">
        <v>299</v>
      </c>
      <c r="I9" s="8">
        <v>1</v>
      </c>
    </row>
    <row r="10" spans="1:9" x14ac:dyDescent="0.2">
      <c r="A10" s="8">
        <v>9</v>
      </c>
      <c r="B10" s="6" t="s">
        <v>53</v>
      </c>
      <c r="C10" s="58" t="s">
        <v>106</v>
      </c>
      <c r="D10" s="57" t="s">
        <v>312</v>
      </c>
      <c r="E10" s="57" t="s">
        <v>310</v>
      </c>
      <c r="F10" s="8">
        <v>200</v>
      </c>
      <c r="G10" s="8" t="s">
        <v>298</v>
      </c>
      <c r="H10" s="8" t="s">
        <v>299</v>
      </c>
      <c r="I10" s="8">
        <v>2</v>
      </c>
    </row>
    <row r="11" spans="1:9" x14ac:dyDescent="0.2">
      <c r="A11" s="8">
        <v>10</v>
      </c>
      <c r="B11" s="6" t="s">
        <v>53</v>
      </c>
      <c r="C11" s="58" t="s">
        <v>124</v>
      </c>
      <c r="D11" s="57" t="s">
        <v>313</v>
      </c>
      <c r="E11" s="57" t="s">
        <v>314</v>
      </c>
      <c r="F11" s="8">
        <v>150</v>
      </c>
      <c r="G11" s="8" t="s">
        <v>298</v>
      </c>
      <c r="H11" s="8" t="s">
        <v>299</v>
      </c>
      <c r="I11" s="8">
        <v>1</v>
      </c>
    </row>
    <row r="12" spans="1:9" x14ac:dyDescent="0.2">
      <c r="A12" s="8">
        <v>11</v>
      </c>
      <c r="B12" s="6" t="s">
        <v>53</v>
      </c>
      <c r="C12" s="58" t="s">
        <v>124</v>
      </c>
      <c r="D12" s="57" t="s">
        <v>313</v>
      </c>
      <c r="E12" s="57" t="s">
        <v>315</v>
      </c>
      <c r="F12" s="8">
        <v>200</v>
      </c>
      <c r="G12" s="8" t="s">
        <v>298</v>
      </c>
      <c r="H12" s="8" t="s">
        <v>299</v>
      </c>
      <c r="I12" s="8">
        <v>1</v>
      </c>
    </row>
    <row r="13" spans="1:9" x14ac:dyDescent="0.2">
      <c r="A13" s="8">
        <v>12</v>
      </c>
      <c r="B13" s="6" t="s">
        <v>53</v>
      </c>
      <c r="C13" s="58" t="s">
        <v>316</v>
      </c>
      <c r="D13" s="57"/>
      <c r="E13" s="57" t="s">
        <v>315</v>
      </c>
      <c r="F13" s="8">
        <v>200</v>
      </c>
      <c r="G13" s="8" t="s">
        <v>298</v>
      </c>
      <c r="H13" s="8" t="s">
        <v>299</v>
      </c>
      <c r="I13" s="8">
        <v>2</v>
      </c>
    </row>
    <row r="14" spans="1:9" x14ac:dyDescent="0.2">
      <c r="A14" s="8">
        <v>13</v>
      </c>
      <c r="B14" s="6" t="s">
        <v>53</v>
      </c>
      <c r="C14" s="58" t="s">
        <v>317</v>
      </c>
      <c r="D14" s="57"/>
      <c r="E14" s="57" t="s">
        <v>315</v>
      </c>
      <c r="F14" s="8">
        <v>200</v>
      </c>
      <c r="G14" s="8" t="s">
        <v>298</v>
      </c>
      <c r="H14" s="8" t="s">
        <v>299</v>
      </c>
      <c r="I14" s="8">
        <v>2</v>
      </c>
    </row>
    <row r="15" spans="1:9" x14ac:dyDescent="0.2">
      <c r="A15" s="8">
        <v>14</v>
      </c>
      <c r="B15" s="6" t="s">
        <v>55</v>
      </c>
      <c r="C15" s="58" t="s">
        <v>213</v>
      </c>
      <c r="D15" s="57"/>
      <c r="E15" s="57" t="s">
        <v>315</v>
      </c>
      <c r="F15" s="8">
        <v>150</v>
      </c>
      <c r="G15" s="8" t="s">
        <v>298</v>
      </c>
      <c r="H15" s="8" t="s">
        <v>299</v>
      </c>
      <c r="I15" s="8">
        <v>2</v>
      </c>
    </row>
    <row r="16" spans="1:9" x14ac:dyDescent="0.2">
      <c r="A16" s="8">
        <v>15</v>
      </c>
      <c r="B16" s="6" t="s">
        <v>55</v>
      </c>
      <c r="C16" s="58" t="s">
        <v>318</v>
      </c>
      <c r="D16" s="57"/>
      <c r="E16" s="57" t="s">
        <v>315</v>
      </c>
      <c r="F16" s="8">
        <v>100</v>
      </c>
      <c r="G16" s="8" t="s">
        <v>298</v>
      </c>
      <c r="H16" s="8" t="s">
        <v>299</v>
      </c>
      <c r="I16" s="8">
        <v>1</v>
      </c>
    </row>
    <row r="17" spans="1:9" x14ac:dyDescent="0.2">
      <c r="A17" s="8">
        <v>16</v>
      </c>
      <c r="B17" s="6" t="s">
        <v>55</v>
      </c>
      <c r="C17" s="58" t="s">
        <v>319</v>
      </c>
      <c r="D17" s="57"/>
      <c r="E17" s="57" t="s">
        <v>315</v>
      </c>
      <c r="F17" s="8">
        <v>100</v>
      </c>
      <c r="G17" s="8" t="s">
        <v>298</v>
      </c>
      <c r="H17" s="8" t="s">
        <v>299</v>
      </c>
      <c r="I17" s="8">
        <v>1</v>
      </c>
    </row>
    <row r="18" spans="1:9" x14ac:dyDescent="0.2">
      <c r="A18" s="8">
        <v>17</v>
      </c>
      <c r="B18" s="6" t="s">
        <v>55</v>
      </c>
      <c r="C18" s="58" t="s">
        <v>68</v>
      </c>
      <c r="D18" s="57" t="s">
        <v>320</v>
      </c>
      <c r="E18" s="57" t="s">
        <v>315</v>
      </c>
      <c r="F18" s="8">
        <v>100</v>
      </c>
      <c r="G18" s="8" t="s">
        <v>298</v>
      </c>
      <c r="H18" s="8" t="s">
        <v>299</v>
      </c>
      <c r="I18" s="8">
        <v>1</v>
      </c>
    </row>
    <row r="19" spans="1:9" x14ac:dyDescent="0.2">
      <c r="A19" s="8">
        <v>18</v>
      </c>
      <c r="B19" s="6" t="s">
        <v>55</v>
      </c>
      <c r="C19" s="58" t="s">
        <v>321</v>
      </c>
      <c r="D19" s="57"/>
      <c r="E19" s="57" t="s">
        <v>315</v>
      </c>
      <c r="F19" s="8">
        <v>200</v>
      </c>
      <c r="G19" s="8" t="s">
        <v>298</v>
      </c>
      <c r="H19" s="8" t="s">
        <v>299</v>
      </c>
      <c r="I19" s="8">
        <v>2</v>
      </c>
    </row>
    <row r="20" spans="1:9" x14ac:dyDescent="0.2">
      <c r="A20" s="8">
        <v>19</v>
      </c>
      <c r="B20" s="6" t="s">
        <v>55</v>
      </c>
      <c r="C20" s="58" t="s">
        <v>322</v>
      </c>
      <c r="D20" s="57"/>
      <c r="E20" s="57"/>
      <c r="F20" s="8"/>
      <c r="G20" s="8"/>
      <c r="H20" s="8"/>
      <c r="I20" s="8"/>
    </row>
    <row r="21" spans="1:9" x14ac:dyDescent="0.2">
      <c r="A21" s="8">
        <v>20</v>
      </c>
      <c r="B21" s="6" t="s">
        <v>55</v>
      </c>
      <c r="C21" s="58" t="s">
        <v>183</v>
      </c>
      <c r="D21" s="59"/>
      <c r="E21" s="59"/>
      <c r="F21" s="8"/>
      <c r="G21" s="8"/>
      <c r="H21" s="8"/>
      <c r="I21" s="8"/>
    </row>
    <row r="22" spans="1:9" x14ac:dyDescent="0.2">
      <c r="A22" s="8">
        <v>21</v>
      </c>
      <c r="B22" s="6" t="s">
        <v>55</v>
      </c>
      <c r="C22" s="58" t="s">
        <v>323</v>
      </c>
      <c r="D22" s="57"/>
      <c r="E22" s="57"/>
      <c r="F22" s="8"/>
      <c r="G22" s="8"/>
      <c r="H22" s="8"/>
      <c r="I22" s="8"/>
    </row>
    <row r="23" spans="1:9" x14ac:dyDescent="0.2">
      <c r="A23" s="8">
        <v>22</v>
      </c>
      <c r="B23" s="6" t="s">
        <v>55</v>
      </c>
      <c r="C23" s="58" t="s">
        <v>324</v>
      </c>
      <c r="D23" s="57"/>
      <c r="E23" s="60"/>
      <c r="F23" s="8"/>
      <c r="G23" s="8"/>
      <c r="H23" s="8"/>
      <c r="I23" s="8"/>
    </row>
    <row r="24" spans="1:9" x14ac:dyDescent="0.2">
      <c r="A24" s="8">
        <v>23</v>
      </c>
      <c r="B24" s="6" t="s">
        <v>55</v>
      </c>
      <c r="C24" s="58" t="s">
        <v>325</v>
      </c>
      <c r="D24" s="59"/>
      <c r="E24" s="59"/>
      <c r="F24" s="6"/>
      <c r="G24" s="6"/>
      <c r="H24" s="6"/>
      <c r="I24" s="6"/>
    </row>
    <row r="25" spans="1:9" x14ac:dyDescent="0.2">
      <c r="A25" s="8">
        <v>24</v>
      </c>
      <c r="B25" s="6" t="s">
        <v>55</v>
      </c>
      <c r="C25" s="58" t="s">
        <v>326</v>
      </c>
      <c r="D25" s="59"/>
      <c r="E25" s="59"/>
      <c r="F25" s="6"/>
      <c r="G25" s="6"/>
      <c r="H25" s="6"/>
      <c r="I25" s="6"/>
    </row>
    <row r="26" spans="1:9" x14ac:dyDescent="0.2">
      <c r="A26" s="8">
        <v>25</v>
      </c>
      <c r="B26" s="6" t="s">
        <v>55</v>
      </c>
      <c r="C26" s="58" t="s">
        <v>327</v>
      </c>
      <c r="D26" s="59"/>
      <c r="E26" s="59"/>
      <c r="F26" s="6"/>
      <c r="G26" s="6"/>
      <c r="H26" s="6"/>
      <c r="I26" s="6"/>
    </row>
    <row r="27" spans="1:9" x14ac:dyDescent="0.2">
      <c r="A27" s="8">
        <v>26</v>
      </c>
      <c r="B27" s="6" t="s">
        <v>55</v>
      </c>
      <c r="C27" s="58" t="s">
        <v>328</v>
      </c>
      <c r="D27" s="59"/>
      <c r="E27" s="59"/>
      <c r="F27" s="6"/>
      <c r="G27" s="6"/>
      <c r="H27" s="6"/>
      <c r="I27" s="6"/>
    </row>
    <row r="28" spans="1:9" x14ac:dyDescent="0.2">
      <c r="A28" s="8">
        <v>27</v>
      </c>
      <c r="B28" s="6" t="s">
        <v>55</v>
      </c>
      <c r="C28" s="58" t="s">
        <v>329</v>
      </c>
      <c r="D28" s="59"/>
      <c r="E28" s="59"/>
      <c r="F28" s="6"/>
      <c r="G28" s="6"/>
      <c r="H28" s="6"/>
      <c r="I28" s="6"/>
    </row>
    <row r="29" spans="1:9" x14ac:dyDescent="0.2">
      <c r="A29" s="8">
        <v>28</v>
      </c>
      <c r="B29" s="6" t="s">
        <v>55</v>
      </c>
      <c r="C29" s="58" t="s">
        <v>330</v>
      </c>
      <c r="D29" s="59"/>
      <c r="E29" s="59"/>
      <c r="F29" s="6"/>
      <c r="G29" s="6"/>
      <c r="H29" s="6"/>
      <c r="I29" s="6"/>
    </row>
    <row r="30" spans="1:9" x14ac:dyDescent="0.2">
      <c r="A30" s="8">
        <v>29</v>
      </c>
      <c r="B30" s="6" t="s">
        <v>55</v>
      </c>
      <c r="C30" s="58" t="s">
        <v>331</v>
      </c>
      <c r="D30" s="59"/>
      <c r="E30" s="59"/>
      <c r="F30" s="6"/>
      <c r="G30" s="6"/>
      <c r="H30" s="6"/>
      <c r="I30" s="6"/>
    </row>
    <row r="31" spans="1:9" x14ac:dyDescent="0.2">
      <c r="A31" s="8">
        <v>30</v>
      </c>
      <c r="B31" s="6" t="s">
        <v>55</v>
      </c>
      <c r="C31" s="58" t="s">
        <v>202</v>
      </c>
      <c r="D31" s="59"/>
      <c r="E31" s="59"/>
      <c r="F31" s="6"/>
      <c r="G31" s="6"/>
      <c r="H31" s="6"/>
      <c r="I31" s="6"/>
    </row>
    <row r="32" spans="1:9" x14ac:dyDescent="0.2">
      <c r="A32" s="8">
        <v>31</v>
      </c>
      <c r="B32" s="6" t="s">
        <v>55</v>
      </c>
      <c r="C32" s="58" t="s">
        <v>217</v>
      </c>
      <c r="D32" s="59"/>
      <c r="E32" s="59"/>
      <c r="F32" s="6"/>
      <c r="G32" s="6"/>
      <c r="H32" s="6"/>
      <c r="I32" s="6"/>
    </row>
    <row r="33" spans="1:9" x14ac:dyDescent="0.2">
      <c r="A33" s="8">
        <v>32</v>
      </c>
      <c r="B33" s="6" t="s">
        <v>55</v>
      </c>
      <c r="C33" s="58" t="s">
        <v>332</v>
      </c>
      <c r="D33" s="59"/>
      <c r="E33" s="59"/>
      <c r="F33" s="6"/>
      <c r="G33" s="6"/>
      <c r="H33" s="6"/>
      <c r="I33" s="6"/>
    </row>
    <row r="34" spans="1:9" x14ac:dyDescent="0.2">
      <c r="A34" s="8">
        <v>33</v>
      </c>
      <c r="B34" s="6" t="s">
        <v>55</v>
      </c>
      <c r="C34" s="58" t="s">
        <v>333</v>
      </c>
      <c r="D34" s="59"/>
      <c r="E34" s="59"/>
      <c r="F34" s="6"/>
      <c r="G34" s="6"/>
      <c r="H34" s="6"/>
      <c r="I34" s="6"/>
    </row>
    <row r="35" spans="1:9" x14ac:dyDescent="0.2">
      <c r="A35" s="8">
        <v>34</v>
      </c>
      <c r="B35" s="6" t="s">
        <v>55</v>
      </c>
      <c r="C35" s="58" t="s">
        <v>334</v>
      </c>
      <c r="D35" s="59"/>
      <c r="E35" s="59"/>
      <c r="F35" s="6"/>
      <c r="G35" s="6"/>
      <c r="H35" s="6"/>
      <c r="I35" s="6"/>
    </row>
    <row r="36" spans="1:9" x14ac:dyDescent="0.2">
      <c r="A36" s="8">
        <v>35</v>
      </c>
      <c r="B36" s="6" t="s">
        <v>55</v>
      </c>
      <c r="C36" s="58" t="s">
        <v>335</v>
      </c>
      <c r="D36" s="59"/>
      <c r="E36" s="59"/>
      <c r="F36" s="6"/>
      <c r="G36" s="6"/>
      <c r="H36" s="6"/>
      <c r="I36" s="6"/>
    </row>
    <row r="37" spans="1:9" x14ac:dyDescent="0.2">
      <c r="A37" s="8">
        <v>36</v>
      </c>
      <c r="B37" s="6" t="s">
        <v>55</v>
      </c>
      <c r="C37" s="58" t="s">
        <v>336</v>
      </c>
      <c r="D37" s="59"/>
      <c r="E37" s="59"/>
      <c r="F37" s="6"/>
      <c r="G37" s="6"/>
      <c r="H37" s="6"/>
      <c r="I37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C7D6-532B-4910-B7C4-3582E4EA5832}">
  <dimension ref="A1:BF86"/>
  <sheetViews>
    <sheetView topLeftCell="P1" zoomScale="136" zoomScaleNormal="100" workbookViewId="0">
      <selection activeCell="AE2" sqref="AB2:AE2"/>
    </sheetView>
  </sheetViews>
  <sheetFormatPr baseColWidth="10" defaultColWidth="11.5" defaultRowHeight="15" x14ac:dyDescent="0.2"/>
  <cols>
    <col min="1" max="1" width="9.83203125" customWidth="1"/>
    <col min="2" max="2" width="5.5" style="14" customWidth="1"/>
    <col min="3" max="3" width="22.6640625" customWidth="1"/>
    <col min="4" max="4" width="46.5" bestFit="1" customWidth="1"/>
    <col min="5" max="5" width="13.6640625" bestFit="1" customWidth="1"/>
    <col min="6" max="6" width="14.33203125" customWidth="1"/>
    <col min="7" max="7" width="9.5" customWidth="1"/>
    <col min="8" max="8" width="10.33203125" customWidth="1"/>
    <col min="9" max="11" width="8.5" customWidth="1"/>
    <col min="12" max="12" width="14.33203125" bestFit="1" customWidth="1"/>
    <col min="13" max="13" width="2.33203125" style="1" customWidth="1"/>
    <col min="14" max="14" width="10" customWidth="1"/>
    <col min="19" max="19" width="2.33203125" style="1" customWidth="1"/>
    <col min="20" max="20" width="7.83203125" customWidth="1"/>
    <col min="21" max="22" width="6.33203125" customWidth="1"/>
    <col min="23" max="30" width="6" customWidth="1"/>
    <col min="31" max="33" width="2.6640625" style="1" customWidth="1"/>
    <col min="34" max="34" width="14.6640625" customWidth="1"/>
    <col min="35" max="35" width="20.5" bestFit="1" customWidth="1"/>
    <col min="36" max="36" width="2.6640625" style="1" customWidth="1"/>
    <col min="37" max="37" width="25.83203125" style="14" bestFit="1" customWidth="1"/>
    <col min="38" max="48" width="11.33203125" customWidth="1"/>
    <col min="49" max="58" width="11.5" style="1"/>
  </cols>
  <sheetData>
    <row r="1" spans="1:48" ht="16" thickBot="1" x14ac:dyDescent="0.25">
      <c r="B1" s="334" t="s">
        <v>395</v>
      </c>
      <c r="C1" s="335"/>
      <c r="D1" s="335"/>
      <c r="E1" s="335"/>
      <c r="F1" s="335"/>
      <c r="G1" s="335"/>
      <c r="H1" s="335"/>
      <c r="I1" s="335"/>
      <c r="J1" s="335"/>
      <c r="K1" s="335"/>
      <c r="L1" s="336"/>
      <c r="M1" s="70"/>
      <c r="N1" s="337" t="s">
        <v>396</v>
      </c>
      <c r="O1" s="338"/>
      <c r="P1" s="338"/>
      <c r="Q1" s="338"/>
      <c r="R1" s="339"/>
      <c r="T1" s="340" t="s">
        <v>407</v>
      </c>
      <c r="U1" s="341"/>
      <c r="V1" s="341"/>
      <c r="W1" s="341"/>
      <c r="X1" s="341"/>
      <c r="Y1" s="341"/>
      <c r="Z1" s="341"/>
      <c r="AA1" s="341"/>
      <c r="AB1" s="341"/>
      <c r="AC1" s="341"/>
      <c r="AD1" s="342"/>
      <c r="AH1" s="346"/>
      <c r="AI1" s="347"/>
      <c r="AK1" s="343" t="s">
        <v>419</v>
      </c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5"/>
    </row>
    <row r="2" spans="1:48" ht="66.5" customHeight="1" x14ac:dyDescent="0.2">
      <c r="A2" s="81" t="s">
        <v>39</v>
      </c>
      <c r="B2" s="83" t="s">
        <v>59</v>
      </c>
      <c r="C2" s="66" t="s">
        <v>337</v>
      </c>
      <c r="D2" s="66" t="s">
        <v>66</v>
      </c>
      <c r="E2" s="66" t="s">
        <v>64</v>
      </c>
      <c r="F2" s="66" t="s">
        <v>65</v>
      </c>
      <c r="G2" s="67" t="s">
        <v>388</v>
      </c>
      <c r="H2" s="68" t="s">
        <v>67</v>
      </c>
      <c r="I2" s="69" t="s">
        <v>340</v>
      </c>
      <c r="J2" s="69" t="s">
        <v>61</v>
      </c>
      <c r="K2" s="67" t="s">
        <v>338</v>
      </c>
      <c r="L2" s="84" t="s">
        <v>339</v>
      </c>
      <c r="M2" s="82"/>
      <c r="N2" s="73" t="s">
        <v>397</v>
      </c>
      <c r="O2" s="72" t="s">
        <v>423</v>
      </c>
      <c r="P2" s="72"/>
      <c r="Q2" s="72"/>
      <c r="R2" s="74" t="s">
        <v>424</v>
      </c>
      <c r="T2" s="137" t="s">
        <v>471</v>
      </c>
      <c r="U2" s="95" t="s">
        <v>398</v>
      </c>
      <c r="V2" s="95" t="s">
        <v>399</v>
      </c>
      <c r="W2" s="138" t="s">
        <v>400</v>
      </c>
      <c r="X2" s="95" t="s">
        <v>401</v>
      </c>
      <c r="Y2" s="138" t="s">
        <v>402</v>
      </c>
      <c r="Z2" s="95" t="s">
        <v>404</v>
      </c>
      <c r="AA2" s="95" t="s">
        <v>403</v>
      </c>
      <c r="AB2" s="95" t="s">
        <v>405</v>
      </c>
      <c r="AC2" s="138" t="s">
        <v>406</v>
      </c>
      <c r="AD2" s="139" t="s">
        <v>469</v>
      </c>
      <c r="AE2" s="1" t="s">
        <v>470</v>
      </c>
      <c r="AH2" s="105" t="s">
        <v>408</v>
      </c>
      <c r="AI2" s="106" t="s">
        <v>409</v>
      </c>
      <c r="AK2" s="98" t="s">
        <v>472</v>
      </c>
      <c r="AL2" s="97" t="s">
        <v>473</v>
      </c>
      <c r="AM2" s="97" t="s">
        <v>474</v>
      </c>
      <c r="AN2" s="97" t="s">
        <v>410</v>
      </c>
      <c r="AO2" s="97" t="s">
        <v>411</v>
      </c>
      <c r="AP2" s="97" t="s">
        <v>412</v>
      </c>
      <c r="AQ2" s="97" t="s">
        <v>413</v>
      </c>
      <c r="AR2" s="97" t="s">
        <v>414</v>
      </c>
      <c r="AS2" s="97" t="s">
        <v>415</v>
      </c>
      <c r="AT2" s="97" t="s">
        <v>416</v>
      </c>
      <c r="AU2" s="97" t="s">
        <v>417</v>
      </c>
      <c r="AV2" s="99" t="s">
        <v>418</v>
      </c>
    </row>
    <row r="3" spans="1:48" x14ac:dyDescent="0.2">
      <c r="A3" s="71" t="s">
        <v>49</v>
      </c>
      <c r="B3" s="85">
        <v>1</v>
      </c>
      <c r="C3" s="6" t="s">
        <v>389</v>
      </c>
      <c r="D3" s="65" t="s">
        <v>384</v>
      </c>
      <c r="E3" s="42" t="s">
        <v>382</v>
      </c>
      <c r="F3" s="47" t="s">
        <v>383</v>
      </c>
      <c r="G3" s="64" t="s">
        <v>355</v>
      </c>
      <c r="H3" s="64">
        <v>450000</v>
      </c>
      <c r="I3" s="8">
        <v>6</v>
      </c>
      <c r="J3" s="8" t="s">
        <v>53</v>
      </c>
      <c r="K3" s="8" t="s">
        <v>345</v>
      </c>
      <c r="L3" s="76" t="s">
        <v>354</v>
      </c>
      <c r="N3" s="75">
        <f>+H3/I3</f>
        <v>75000</v>
      </c>
      <c r="O3" s="6"/>
      <c r="P3" s="6"/>
      <c r="Q3" s="6"/>
      <c r="R3" s="76"/>
      <c r="T3" s="87" t="b">
        <v>0</v>
      </c>
      <c r="U3" s="88" t="b">
        <v>0</v>
      </c>
      <c r="V3" s="88" t="b">
        <v>1</v>
      </c>
      <c r="W3" s="88" t="b">
        <v>1</v>
      </c>
      <c r="X3" s="88" t="b">
        <v>1</v>
      </c>
      <c r="Y3" s="91" t="b">
        <v>1</v>
      </c>
      <c r="Z3" s="91" t="b">
        <v>1</v>
      </c>
      <c r="AA3" s="91" t="b">
        <v>1</v>
      </c>
      <c r="AB3" s="91" t="b">
        <v>1</v>
      </c>
      <c r="AC3" s="91" t="b">
        <v>1</v>
      </c>
      <c r="AD3" s="92" t="b">
        <v>0</v>
      </c>
      <c r="AH3" s="101" t="s">
        <v>406</v>
      </c>
      <c r="AI3" s="102" t="s">
        <v>421</v>
      </c>
      <c r="AK3" s="85" t="s">
        <v>422</v>
      </c>
      <c r="AL3" s="6"/>
      <c r="AM3" s="6"/>
      <c r="AN3" s="6"/>
      <c r="AO3" s="6"/>
      <c r="AP3" s="6"/>
      <c r="AQ3" s="6"/>
      <c r="AR3" s="6"/>
      <c r="AS3" s="6"/>
      <c r="AT3" s="6"/>
      <c r="AU3" s="6"/>
      <c r="AV3" s="76"/>
    </row>
    <row r="4" spans="1:48" x14ac:dyDescent="0.2">
      <c r="A4" s="71" t="s">
        <v>49</v>
      </c>
      <c r="B4" s="85">
        <v>2</v>
      </c>
      <c r="C4" s="6" t="s">
        <v>389</v>
      </c>
      <c r="D4" s="65" t="s">
        <v>385</v>
      </c>
      <c r="E4" s="42" t="s">
        <v>110</v>
      </c>
      <c r="F4" s="47" t="s">
        <v>103</v>
      </c>
      <c r="G4" s="64" t="s">
        <v>351</v>
      </c>
      <c r="H4" s="64">
        <v>180000</v>
      </c>
      <c r="I4" s="8">
        <v>3</v>
      </c>
      <c r="J4" s="8" t="s">
        <v>53</v>
      </c>
      <c r="K4" s="8" t="s">
        <v>345</v>
      </c>
      <c r="L4" s="76" t="s">
        <v>343</v>
      </c>
      <c r="N4" s="75">
        <f t="shared" ref="N4:N7" si="0">+H4/I4</f>
        <v>60000</v>
      </c>
      <c r="O4" s="6"/>
      <c r="P4" s="6"/>
      <c r="Q4" s="6"/>
      <c r="R4" s="76"/>
      <c r="T4" s="87" t="b">
        <v>1</v>
      </c>
      <c r="U4" s="88" t="b">
        <v>1</v>
      </c>
      <c r="V4" s="88" t="b">
        <v>1</v>
      </c>
      <c r="W4" s="88" t="b">
        <v>1</v>
      </c>
      <c r="X4" s="88" t="b">
        <v>1</v>
      </c>
      <c r="Y4" s="91" t="b">
        <v>1</v>
      </c>
      <c r="Z4" s="91" t="b">
        <v>0</v>
      </c>
      <c r="AA4" s="91" t="b">
        <v>1</v>
      </c>
      <c r="AB4" s="91" t="b">
        <v>1</v>
      </c>
      <c r="AC4" s="91" t="b">
        <v>1</v>
      </c>
      <c r="AD4" s="92" t="b">
        <v>0</v>
      </c>
      <c r="AH4" s="101" t="s">
        <v>406</v>
      </c>
      <c r="AI4" s="102" t="s">
        <v>421</v>
      </c>
      <c r="AK4" s="85"/>
      <c r="AL4" s="6"/>
      <c r="AM4" s="6"/>
      <c r="AN4" s="6"/>
      <c r="AO4" s="6"/>
      <c r="AP4" s="6"/>
      <c r="AQ4" s="6"/>
      <c r="AR4" s="6"/>
      <c r="AS4" s="6"/>
      <c r="AT4" s="6"/>
      <c r="AU4" s="6"/>
      <c r="AV4" s="76"/>
    </row>
    <row r="5" spans="1:48" x14ac:dyDescent="0.2">
      <c r="A5" s="71" t="s">
        <v>56</v>
      </c>
      <c r="B5" s="85">
        <v>3</v>
      </c>
      <c r="C5" s="6" t="s">
        <v>389</v>
      </c>
      <c r="D5" s="65" t="s">
        <v>370</v>
      </c>
      <c r="E5" s="42" t="s">
        <v>161</v>
      </c>
      <c r="F5" s="47" t="s">
        <v>162</v>
      </c>
      <c r="G5" s="64" t="s">
        <v>394</v>
      </c>
      <c r="H5" s="64">
        <v>1100000</v>
      </c>
      <c r="I5" s="8">
        <v>12</v>
      </c>
      <c r="J5" s="8" t="s">
        <v>53</v>
      </c>
      <c r="K5" s="8" t="s">
        <v>342</v>
      </c>
      <c r="L5" s="76" t="s">
        <v>354</v>
      </c>
      <c r="N5" s="75">
        <f t="shared" si="0"/>
        <v>91666.666666666672</v>
      </c>
      <c r="O5" s="6"/>
      <c r="P5" s="6"/>
      <c r="Q5" s="6"/>
      <c r="R5" s="76"/>
      <c r="T5" s="87" t="b">
        <v>0</v>
      </c>
      <c r="U5" s="88" t="b">
        <v>0</v>
      </c>
      <c r="V5" s="88" t="b">
        <v>0</v>
      </c>
      <c r="W5" s="88" t="b">
        <v>0</v>
      </c>
      <c r="X5" s="88" t="b">
        <v>1</v>
      </c>
      <c r="Y5" s="91" t="b">
        <v>1</v>
      </c>
      <c r="Z5" s="91" t="b">
        <v>1</v>
      </c>
      <c r="AA5" s="91" t="b">
        <v>1</v>
      </c>
      <c r="AB5" s="91" t="b">
        <v>1</v>
      </c>
      <c r="AC5" s="91" t="b">
        <v>1</v>
      </c>
      <c r="AD5" s="92" t="b">
        <v>1</v>
      </c>
      <c r="AH5" s="101" t="s">
        <v>406</v>
      </c>
      <c r="AI5" s="102" t="s">
        <v>421</v>
      </c>
      <c r="AK5" s="85"/>
      <c r="AL5" s="6"/>
      <c r="AM5" s="6"/>
      <c r="AN5" s="6"/>
      <c r="AO5" s="6"/>
      <c r="AP5" s="6"/>
      <c r="AQ5" s="6"/>
      <c r="AR5" s="6"/>
      <c r="AS5" s="6"/>
      <c r="AT5" s="6"/>
      <c r="AU5" s="6"/>
      <c r="AV5" s="76"/>
    </row>
    <row r="6" spans="1:48" x14ac:dyDescent="0.2">
      <c r="A6" s="71" t="s">
        <v>49</v>
      </c>
      <c r="B6" s="85">
        <v>4</v>
      </c>
      <c r="C6" s="6" t="s">
        <v>390</v>
      </c>
      <c r="D6" s="65" t="s">
        <v>374</v>
      </c>
      <c r="E6" s="42" t="s">
        <v>81</v>
      </c>
      <c r="F6" s="47" t="s">
        <v>90</v>
      </c>
      <c r="G6" s="64" t="s">
        <v>348</v>
      </c>
      <c r="H6" s="64">
        <v>170000</v>
      </c>
      <c r="I6" s="8">
        <v>3</v>
      </c>
      <c r="J6" s="8" t="s">
        <v>50</v>
      </c>
      <c r="K6" s="8" t="s">
        <v>342</v>
      </c>
      <c r="L6" s="76" t="s">
        <v>354</v>
      </c>
      <c r="N6" s="75">
        <f t="shared" si="0"/>
        <v>56666.666666666664</v>
      </c>
      <c r="O6" s="6"/>
      <c r="P6" s="6"/>
      <c r="Q6" s="6"/>
      <c r="R6" s="76"/>
      <c r="T6" s="87" t="b">
        <v>0</v>
      </c>
      <c r="U6" s="88" t="b">
        <v>1</v>
      </c>
      <c r="V6" s="88" t="b">
        <v>0</v>
      </c>
      <c r="W6" s="88" t="b">
        <v>1</v>
      </c>
      <c r="X6" s="88" t="b">
        <v>1</v>
      </c>
      <c r="Y6" s="91" t="b">
        <v>1</v>
      </c>
      <c r="Z6" s="91" t="b">
        <v>1</v>
      </c>
      <c r="AA6" s="91" t="b">
        <v>1</v>
      </c>
      <c r="AB6" s="91" t="b">
        <v>1</v>
      </c>
      <c r="AC6" s="91" t="b">
        <v>1</v>
      </c>
      <c r="AD6" s="92" t="b">
        <v>0</v>
      </c>
      <c r="AH6" s="101" t="s">
        <v>356</v>
      </c>
      <c r="AI6" s="102" t="s">
        <v>361</v>
      </c>
      <c r="AK6" s="85"/>
      <c r="AL6" s="6"/>
      <c r="AM6" s="6"/>
      <c r="AN6" s="6"/>
      <c r="AO6" s="6"/>
      <c r="AP6" s="6"/>
      <c r="AQ6" s="6"/>
      <c r="AR6" s="6"/>
      <c r="AS6" s="6"/>
      <c r="AT6" s="6"/>
      <c r="AU6" s="6"/>
      <c r="AV6" s="76"/>
    </row>
    <row r="7" spans="1:48" x14ac:dyDescent="0.2">
      <c r="A7" s="71" t="s">
        <v>54</v>
      </c>
      <c r="B7" s="85">
        <v>5</v>
      </c>
      <c r="C7" s="6" t="s">
        <v>393</v>
      </c>
      <c r="D7" s="65" t="s">
        <v>376</v>
      </c>
      <c r="E7" s="42" t="s">
        <v>234</v>
      </c>
      <c r="F7" s="47" t="s">
        <v>375</v>
      </c>
      <c r="G7" s="64" t="s">
        <v>341</v>
      </c>
      <c r="H7" s="64">
        <v>566000</v>
      </c>
      <c r="I7" s="8">
        <v>4</v>
      </c>
      <c r="J7" s="8" t="s">
        <v>53</v>
      </c>
      <c r="K7" s="8" t="s">
        <v>342</v>
      </c>
      <c r="L7" s="76" t="s">
        <v>343</v>
      </c>
      <c r="N7" s="75">
        <f t="shared" si="0"/>
        <v>141500</v>
      </c>
      <c r="O7" s="6"/>
      <c r="P7" s="6"/>
      <c r="Q7" s="6"/>
      <c r="R7" s="76"/>
      <c r="T7" s="87" t="b">
        <v>1</v>
      </c>
      <c r="U7" s="88" t="b">
        <v>1</v>
      </c>
      <c r="V7" s="88" t="b">
        <v>0</v>
      </c>
      <c r="W7" s="88" t="b">
        <v>1</v>
      </c>
      <c r="X7" s="88" t="b">
        <v>1</v>
      </c>
      <c r="Y7" s="91" t="b">
        <v>1</v>
      </c>
      <c r="Z7" s="91" t="b">
        <v>0</v>
      </c>
      <c r="AA7" s="91" t="b">
        <v>1</v>
      </c>
      <c r="AB7" s="91" t="b">
        <v>1</v>
      </c>
      <c r="AC7" s="91" t="b">
        <v>1</v>
      </c>
      <c r="AD7" s="92" t="b">
        <v>1</v>
      </c>
      <c r="AH7" s="101" t="s">
        <v>406</v>
      </c>
      <c r="AI7" s="102" t="s">
        <v>421</v>
      </c>
      <c r="AK7" s="85"/>
      <c r="AL7" s="6"/>
      <c r="AM7" s="6"/>
      <c r="AN7" s="6"/>
      <c r="AO7" s="6"/>
      <c r="AP7" s="6"/>
      <c r="AQ7" s="6"/>
      <c r="AR7" s="6"/>
      <c r="AS7" s="6"/>
      <c r="AT7" s="6"/>
      <c r="AU7" s="6"/>
      <c r="AV7" s="76"/>
    </row>
    <row r="8" spans="1:48" x14ac:dyDescent="0.2">
      <c r="B8" s="85"/>
      <c r="C8" s="6"/>
      <c r="D8" s="6"/>
      <c r="E8" s="6"/>
      <c r="F8" s="6"/>
      <c r="G8" s="6"/>
      <c r="H8" s="6"/>
      <c r="I8" s="6"/>
      <c r="J8" s="6"/>
      <c r="K8" s="8"/>
      <c r="L8" s="76"/>
      <c r="N8" s="77"/>
      <c r="O8" s="6"/>
      <c r="P8" s="6"/>
      <c r="Q8" s="6"/>
      <c r="R8" s="76"/>
      <c r="T8" s="87" t="b">
        <v>0</v>
      </c>
      <c r="U8" s="88" t="b">
        <v>0</v>
      </c>
      <c r="V8" s="88" t="b">
        <v>1</v>
      </c>
      <c r="W8" s="88" t="b">
        <v>0</v>
      </c>
      <c r="X8" s="88" t="b">
        <v>0</v>
      </c>
      <c r="Y8" s="91" t="b">
        <v>0</v>
      </c>
      <c r="Z8" s="91" t="b">
        <v>0</v>
      </c>
      <c r="AA8" s="91" t="b">
        <v>0</v>
      </c>
      <c r="AB8" s="91" t="b">
        <v>0</v>
      </c>
      <c r="AC8" s="91" t="b">
        <v>0</v>
      </c>
      <c r="AD8" s="92" t="b">
        <v>0</v>
      </c>
      <c r="AH8" s="101"/>
      <c r="AI8" s="102"/>
      <c r="AK8" s="85"/>
      <c r="AL8" s="6"/>
      <c r="AM8" s="6"/>
      <c r="AN8" s="6"/>
      <c r="AO8" s="6"/>
      <c r="AP8" s="6"/>
      <c r="AQ8" s="6"/>
      <c r="AR8" s="6"/>
      <c r="AS8" s="6"/>
      <c r="AT8" s="6"/>
      <c r="AU8" s="6"/>
      <c r="AV8" s="76"/>
    </row>
    <row r="9" spans="1:48" x14ac:dyDescent="0.2">
      <c r="B9" s="85"/>
      <c r="C9" s="6"/>
      <c r="D9" s="6"/>
      <c r="E9" s="6"/>
      <c r="F9" s="6"/>
      <c r="G9" s="6"/>
      <c r="H9" s="6"/>
      <c r="I9" s="6"/>
      <c r="J9" s="6"/>
      <c r="K9" s="8"/>
      <c r="L9" s="76"/>
      <c r="N9" s="77"/>
      <c r="O9" s="6"/>
      <c r="P9" s="6"/>
      <c r="Q9" s="6"/>
      <c r="R9" s="76"/>
      <c r="T9" s="87" t="b">
        <v>0</v>
      </c>
      <c r="U9" s="88" t="b">
        <v>0</v>
      </c>
      <c r="V9" s="88" t="b">
        <v>1</v>
      </c>
      <c r="W9" s="88" t="b">
        <v>0</v>
      </c>
      <c r="X9" s="88" t="b">
        <v>0</v>
      </c>
      <c r="Y9" s="91" t="b">
        <v>0</v>
      </c>
      <c r="Z9" s="91" t="b">
        <v>0</v>
      </c>
      <c r="AA9" s="91" t="b">
        <v>1</v>
      </c>
      <c r="AB9" s="91" t="b">
        <v>0</v>
      </c>
      <c r="AC9" s="91" t="b">
        <v>0</v>
      </c>
      <c r="AD9" s="92" t="b">
        <v>0</v>
      </c>
      <c r="AH9" s="101"/>
      <c r="AI9" s="102"/>
      <c r="AK9" s="85"/>
      <c r="AL9" s="6"/>
      <c r="AM9" s="6"/>
      <c r="AN9" s="6"/>
      <c r="AO9" s="6"/>
      <c r="AP9" s="6"/>
      <c r="AQ9" s="6"/>
      <c r="AR9" s="6"/>
      <c r="AS9" s="6"/>
      <c r="AT9" s="6"/>
      <c r="AU9" s="6"/>
      <c r="AV9" s="76"/>
    </row>
    <row r="10" spans="1:48" x14ac:dyDescent="0.2">
      <c r="B10" s="85"/>
      <c r="C10" s="6"/>
      <c r="D10" s="6"/>
      <c r="E10" s="6"/>
      <c r="F10" s="6"/>
      <c r="G10" s="6"/>
      <c r="H10" s="6"/>
      <c r="I10" s="6"/>
      <c r="J10" s="6"/>
      <c r="K10" s="8"/>
      <c r="L10" s="76"/>
      <c r="N10" s="77"/>
      <c r="O10" s="6"/>
      <c r="P10" s="6"/>
      <c r="Q10" s="6"/>
      <c r="R10" s="76"/>
      <c r="T10" s="87" t="b">
        <v>0</v>
      </c>
      <c r="U10" s="88" t="b">
        <v>0</v>
      </c>
      <c r="V10" s="88" t="b">
        <v>0</v>
      </c>
      <c r="W10" s="88" t="b">
        <v>0</v>
      </c>
      <c r="X10" s="88" t="b">
        <v>0</v>
      </c>
      <c r="Y10" s="91" t="b">
        <v>0</v>
      </c>
      <c r="Z10" s="91" t="b">
        <v>0</v>
      </c>
      <c r="AA10" s="91" t="b">
        <v>0</v>
      </c>
      <c r="AB10" s="91" t="b">
        <v>0</v>
      </c>
      <c r="AC10" s="91" t="b">
        <v>0</v>
      </c>
      <c r="AD10" s="92" t="b">
        <v>0</v>
      </c>
      <c r="AH10" s="101"/>
      <c r="AI10" s="102"/>
      <c r="AK10" s="85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6"/>
    </row>
    <row r="11" spans="1:48" x14ac:dyDescent="0.2">
      <c r="B11" s="85"/>
      <c r="C11" s="6"/>
      <c r="D11" s="6"/>
      <c r="E11" s="6"/>
      <c r="F11" s="6"/>
      <c r="G11" s="6"/>
      <c r="H11" s="6"/>
      <c r="I11" s="6"/>
      <c r="J11" s="6"/>
      <c r="K11" s="8"/>
      <c r="L11" s="76"/>
      <c r="N11" s="77"/>
      <c r="O11" s="6"/>
      <c r="P11" s="6"/>
      <c r="Q11" s="6"/>
      <c r="R11" s="76"/>
      <c r="T11" s="87" t="b">
        <v>0</v>
      </c>
      <c r="U11" s="88" t="b">
        <v>0</v>
      </c>
      <c r="V11" s="88" t="b">
        <v>0</v>
      </c>
      <c r="W11" s="88" t="b">
        <v>0</v>
      </c>
      <c r="X11" s="88" t="b">
        <v>0</v>
      </c>
      <c r="Y11" s="91" t="b">
        <v>0</v>
      </c>
      <c r="Z11" s="91" t="b">
        <v>0</v>
      </c>
      <c r="AA11" s="91" t="b">
        <v>0</v>
      </c>
      <c r="AB11" s="91" t="b">
        <v>0</v>
      </c>
      <c r="AC11" s="91" t="b">
        <v>0</v>
      </c>
      <c r="AD11" s="92" t="b">
        <v>0</v>
      </c>
      <c r="AH11" s="101"/>
      <c r="AI11" s="102"/>
      <c r="AK11" s="85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6"/>
    </row>
    <row r="12" spans="1:48" x14ac:dyDescent="0.2">
      <c r="B12" s="85"/>
      <c r="C12" s="6"/>
      <c r="D12" s="6"/>
      <c r="E12" s="6"/>
      <c r="F12" s="6"/>
      <c r="G12" s="6"/>
      <c r="H12" s="6"/>
      <c r="I12" s="6"/>
      <c r="J12" s="6"/>
      <c r="K12" s="8"/>
      <c r="L12" s="76"/>
      <c r="N12" s="77"/>
      <c r="O12" s="6"/>
      <c r="P12" s="6"/>
      <c r="Q12" s="6"/>
      <c r="R12" s="76"/>
      <c r="T12" s="87" t="b">
        <v>0</v>
      </c>
      <c r="U12" s="88" t="b">
        <v>0</v>
      </c>
      <c r="V12" s="88" t="b">
        <v>0</v>
      </c>
      <c r="W12" s="88" t="b">
        <v>0</v>
      </c>
      <c r="X12" s="88" t="b">
        <v>0</v>
      </c>
      <c r="Y12" s="91" t="b">
        <v>0</v>
      </c>
      <c r="Z12" s="91" t="b">
        <v>0</v>
      </c>
      <c r="AA12" s="91" t="b">
        <v>0</v>
      </c>
      <c r="AB12" s="91" t="b">
        <v>0</v>
      </c>
      <c r="AC12" s="91" t="b">
        <v>0</v>
      </c>
      <c r="AD12" s="92" t="b">
        <v>0</v>
      </c>
      <c r="AH12" s="101"/>
      <c r="AI12" s="102"/>
      <c r="AK12" s="85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6"/>
    </row>
    <row r="13" spans="1:48" x14ac:dyDescent="0.2">
      <c r="B13" s="77"/>
      <c r="C13" s="6"/>
      <c r="D13" s="6"/>
      <c r="E13" s="6"/>
      <c r="F13" s="6"/>
      <c r="G13" s="6"/>
      <c r="H13" s="6"/>
      <c r="I13" s="6"/>
      <c r="J13" s="6"/>
      <c r="K13" s="8"/>
      <c r="L13" s="76"/>
      <c r="N13" s="77"/>
      <c r="O13" s="6"/>
      <c r="P13" s="6"/>
      <c r="Q13" s="6"/>
      <c r="R13" s="76"/>
      <c r="T13" s="87" t="b">
        <v>0</v>
      </c>
      <c r="U13" s="88" t="b">
        <v>0</v>
      </c>
      <c r="V13" s="88" t="b">
        <v>0</v>
      </c>
      <c r="W13" s="88" t="b">
        <v>0</v>
      </c>
      <c r="X13" s="88" t="b">
        <v>0</v>
      </c>
      <c r="Y13" s="91" t="b">
        <v>0</v>
      </c>
      <c r="Z13" s="91" t="b">
        <v>0</v>
      </c>
      <c r="AA13" s="91" t="b">
        <v>0</v>
      </c>
      <c r="AB13" s="91" t="b">
        <v>0</v>
      </c>
      <c r="AC13" s="91" t="b">
        <v>0</v>
      </c>
      <c r="AD13" s="92" t="b">
        <v>0</v>
      </c>
      <c r="AH13" s="101"/>
      <c r="AI13" s="102"/>
      <c r="AK13" s="85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6"/>
    </row>
    <row r="14" spans="1:48" x14ac:dyDescent="0.2">
      <c r="B14" s="77"/>
      <c r="C14" s="6"/>
      <c r="D14" s="6"/>
      <c r="E14" s="6"/>
      <c r="F14" s="6"/>
      <c r="G14" s="6"/>
      <c r="H14" s="6"/>
      <c r="I14" s="6"/>
      <c r="J14" s="6"/>
      <c r="K14" s="8"/>
      <c r="L14" s="76"/>
      <c r="N14" s="77"/>
      <c r="O14" s="6"/>
      <c r="P14" s="6"/>
      <c r="Q14" s="6"/>
      <c r="R14" s="76"/>
      <c r="T14" s="87" t="b">
        <v>0</v>
      </c>
      <c r="U14" s="88" t="b">
        <v>0</v>
      </c>
      <c r="V14" s="88" t="b">
        <v>0</v>
      </c>
      <c r="W14" s="88" t="b">
        <v>0</v>
      </c>
      <c r="X14" s="88" t="b">
        <v>0</v>
      </c>
      <c r="Y14" s="91" t="b">
        <v>0</v>
      </c>
      <c r="Z14" s="91" t="b">
        <v>0</v>
      </c>
      <c r="AA14" s="91" t="b">
        <v>0</v>
      </c>
      <c r="AB14" s="91" t="b">
        <v>0</v>
      </c>
      <c r="AC14" s="91" t="b">
        <v>0</v>
      </c>
      <c r="AD14" s="92" t="b">
        <v>0</v>
      </c>
      <c r="AH14" s="101"/>
      <c r="AI14" s="102"/>
      <c r="AK14" s="85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6"/>
    </row>
    <row r="15" spans="1:48" x14ac:dyDescent="0.2">
      <c r="B15" s="77"/>
      <c r="C15" s="6"/>
      <c r="D15" s="6"/>
      <c r="E15" s="6"/>
      <c r="F15" s="6"/>
      <c r="G15" s="6"/>
      <c r="H15" s="6"/>
      <c r="I15" s="6"/>
      <c r="J15" s="6"/>
      <c r="K15" s="8"/>
      <c r="L15" s="76"/>
      <c r="N15" s="77"/>
      <c r="O15" s="6"/>
      <c r="P15" s="6"/>
      <c r="Q15" s="6"/>
      <c r="R15" s="76"/>
      <c r="T15" s="87" t="b">
        <v>0</v>
      </c>
      <c r="U15" s="88" t="b">
        <v>0</v>
      </c>
      <c r="V15" s="88" t="b">
        <v>0</v>
      </c>
      <c r="W15" s="88" t="b">
        <v>0</v>
      </c>
      <c r="X15" s="88" t="b">
        <v>0</v>
      </c>
      <c r="Y15" s="91" t="b">
        <v>0</v>
      </c>
      <c r="Z15" s="91" t="b">
        <v>0</v>
      </c>
      <c r="AA15" s="91" t="b">
        <v>0</v>
      </c>
      <c r="AB15" s="91" t="b">
        <v>0</v>
      </c>
      <c r="AC15" s="91" t="b">
        <v>0</v>
      </c>
      <c r="AD15" s="92" t="b">
        <v>0</v>
      </c>
      <c r="AH15" s="101"/>
      <c r="AI15" s="102"/>
      <c r="AK15" s="85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6"/>
    </row>
    <row r="16" spans="1:48" x14ac:dyDescent="0.2">
      <c r="B16" s="77"/>
      <c r="C16" s="6"/>
      <c r="D16" s="6"/>
      <c r="E16" s="6"/>
      <c r="F16" s="6"/>
      <c r="G16" s="6"/>
      <c r="H16" s="6"/>
      <c r="I16" s="6"/>
      <c r="J16" s="6"/>
      <c r="K16" s="8"/>
      <c r="L16" s="76"/>
      <c r="N16" s="77"/>
      <c r="O16" s="6"/>
      <c r="P16" s="6"/>
      <c r="Q16" s="6"/>
      <c r="R16" s="76"/>
      <c r="T16" s="87" t="b">
        <v>0</v>
      </c>
      <c r="U16" s="88" t="b">
        <v>0</v>
      </c>
      <c r="V16" s="88" t="b">
        <v>0</v>
      </c>
      <c r="W16" s="88" t="b">
        <v>0</v>
      </c>
      <c r="X16" s="88" t="b">
        <v>0</v>
      </c>
      <c r="Y16" s="91" t="b">
        <v>0</v>
      </c>
      <c r="Z16" s="91" t="b">
        <v>0</v>
      </c>
      <c r="AA16" s="91" t="b">
        <v>0</v>
      </c>
      <c r="AB16" s="91" t="b">
        <v>0</v>
      </c>
      <c r="AC16" s="91" t="b">
        <v>0</v>
      </c>
      <c r="AD16" s="92" t="b">
        <v>0</v>
      </c>
      <c r="AH16" s="101"/>
      <c r="AI16" s="102"/>
      <c r="AK16" s="85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6"/>
    </row>
    <row r="17" spans="1:48" x14ac:dyDescent="0.2">
      <c r="B17" s="77"/>
      <c r="C17" s="6"/>
      <c r="D17" s="6"/>
      <c r="E17" s="6"/>
      <c r="F17" s="6"/>
      <c r="G17" s="6"/>
      <c r="H17" s="6"/>
      <c r="I17" s="6"/>
      <c r="J17" s="6"/>
      <c r="K17" s="8"/>
      <c r="L17" s="76"/>
      <c r="N17" s="77"/>
      <c r="O17" s="6"/>
      <c r="P17" s="6"/>
      <c r="Q17" s="6"/>
      <c r="R17" s="76"/>
      <c r="T17" s="87" t="b">
        <v>0</v>
      </c>
      <c r="U17" s="88" t="b">
        <v>0</v>
      </c>
      <c r="V17" s="88" t="b">
        <v>0</v>
      </c>
      <c r="W17" s="88" t="b">
        <v>0</v>
      </c>
      <c r="X17" s="88" t="b">
        <v>0</v>
      </c>
      <c r="Y17" s="91" t="b">
        <v>0</v>
      </c>
      <c r="Z17" s="91" t="b">
        <v>0</v>
      </c>
      <c r="AA17" s="91" t="b">
        <v>0</v>
      </c>
      <c r="AB17" s="91" t="b">
        <v>0</v>
      </c>
      <c r="AC17" s="91" t="b">
        <v>0</v>
      </c>
      <c r="AD17" s="92" t="b">
        <v>0</v>
      </c>
      <c r="AH17" s="101"/>
      <c r="AI17" s="102"/>
      <c r="AK17" s="85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6"/>
    </row>
    <row r="18" spans="1:48" ht="16" thickBot="1" x14ac:dyDescent="0.25">
      <c r="B18" s="86"/>
      <c r="C18" s="79"/>
      <c r="D18" s="79"/>
      <c r="E18" s="79"/>
      <c r="F18" s="79"/>
      <c r="G18" s="79"/>
      <c r="H18" s="79"/>
      <c r="I18" s="79"/>
      <c r="J18" s="79"/>
      <c r="K18" s="96"/>
      <c r="L18" s="80"/>
      <c r="N18" s="78"/>
      <c r="O18" s="79"/>
      <c r="P18" s="79"/>
      <c r="Q18" s="79"/>
      <c r="R18" s="80"/>
      <c r="T18" s="89" t="b">
        <v>0</v>
      </c>
      <c r="U18" s="90" t="b">
        <v>0</v>
      </c>
      <c r="V18" s="90" t="b">
        <v>0</v>
      </c>
      <c r="W18" s="90" t="b">
        <v>0</v>
      </c>
      <c r="X18" s="90" t="b">
        <v>0</v>
      </c>
      <c r="Y18" s="93" t="b">
        <v>0</v>
      </c>
      <c r="Z18" s="93" t="b">
        <v>0</v>
      </c>
      <c r="AA18" s="93" t="b">
        <v>0</v>
      </c>
      <c r="AB18" s="93" t="b">
        <v>0</v>
      </c>
      <c r="AC18" s="93" t="b">
        <v>0</v>
      </c>
      <c r="AD18" s="94" t="b">
        <v>0</v>
      </c>
      <c r="AH18" s="103"/>
      <c r="AI18" s="104"/>
      <c r="AK18" s="86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80"/>
    </row>
    <row r="19" spans="1:48" x14ac:dyDescent="0.2">
      <c r="A19" s="1"/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N19" s="1"/>
      <c r="O19" s="1"/>
      <c r="P19" s="1"/>
      <c r="Q19" s="1"/>
      <c r="R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H19" s="1"/>
      <c r="AI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N20" s="1"/>
      <c r="O20" s="1"/>
      <c r="P20" s="1"/>
      <c r="Q20" s="1"/>
      <c r="R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H20" s="1"/>
      <c r="AI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N21" s="1"/>
      <c r="O21" s="1"/>
      <c r="P21" s="1"/>
      <c r="Q21" s="1"/>
      <c r="R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H21" s="1"/>
      <c r="AI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N22" s="1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H22" s="1"/>
      <c r="AI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H23" s="1"/>
      <c r="AI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N24" s="1"/>
      <c r="O24" s="1"/>
      <c r="P24" s="1"/>
      <c r="Q24" s="1"/>
      <c r="R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H24" s="1"/>
      <c r="AI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N25" s="1"/>
      <c r="O25" s="1"/>
      <c r="P25" s="1"/>
      <c r="Q25" s="1"/>
      <c r="R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H25" s="1"/>
      <c r="AI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N26" s="1"/>
      <c r="O26" s="1"/>
      <c r="P26" s="1"/>
      <c r="Q26" s="1"/>
      <c r="R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H26" s="1"/>
      <c r="AI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N27" s="1"/>
      <c r="O27" s="1"/>
      <c r="P27" s="1"/>
      <c r="Q27" s="1"/>
      <c r="R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H27" s="1"/>
      <c r="AI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">
      <c r="A28" s="1"/>
      <c r="B28" s="9"/>
      <c r="C28" s="1"/>
      <c r="D28" s="1"/>
      <c r="E28" s="1"/>
      <c r="F28" s="1"/>
      <c r="G28" s="1"/>
      <c r="H28" s="1"/>
      <c r="I28" s="1"/>
      <c r="J28" s="1"/>
      <c r="K28" s="1"/>
      <c r="L28" s="1"/>
      <c r="N28" s="1"/>
      <c r="O28" s="1"/>
      <c r="P28" s="1"/>
      <c r="Q28" s="1"/>
      <c r="R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H28" s="1"/>
      <c r="AI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">
      <c r="A29" s="1"/>
      <c r="B29" s="9"/>
      <c r="C29" s="1"/>
      <c r="D29" s="1"/>
      <c r="E29" s="1"/>
      <c r="F29" s="1"/>
      <c r="G29" s="1"/>
      <c r="H29" s="1"/>
      <c r="I29" s="1"/>
      <c r="J29" s="1"/>
      <c r="K29" s="1"/>
      <c r="L29" s="1"/>
      <c r="N29" s="1"/>
      <c r="O29" s="1"/>
      <c r="P29" s="1"/>
      <c r="Q29" s="1"/>
      <c r="R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H29" s="1"/>
      <c r="AI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N30" s="1"/>
      <c r="O30" s="1"/>
      <c r="P30" s="1"/>
      <c r="Q30" s="1"/>
      <c r="R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H30" s="1"/>
      <c r="AI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N31" s="1"/>
      <c r="O31" s="1"/>
      <c r="P31" s="1"/>
      <c r="Q31" s="1"/>
      <c r="R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H31" s="1"/>
      <c r="AI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">
      <c r="A32" s="1"/>
      <c r="B32" s="9"/>
      <c r="C32" s="1"/>
      <c r="D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H32" s="1"/>
      <c r="AI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">
      <c r="A33" s="1"/>
      <c r="B33" s="9"/>
      <c r="C33" s="1"/>
      <c r="D33" s="1"/>
      <c r="E33" s="1"/>
      <c r="F33" s="1"/>
      <c r="G33" s="1"/>
      <c r="H33" s="1"/>
      <c r="I33" s="1"/>
      <c r="J33" s="1"/>
      <c r="K33" s="1"/>
      <c r="L33" s="1"/>
      <c r="N33" s="1"/>
      <c r="O33" s="1"/>
      <c r="P33" s="1"/>
      <c r="Q33" s="1"/>
      <c r="R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H33" s="1"/>
      <c r="AI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">
      <c r="A34" s="1"/>
      <c r="B34" s="9"/>
      <c r="C34" s="1"/>
      <c r="D34" s="1"/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Q34" s="1"/>
      <c r="R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H34" s="1"/>
      <c r="AI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">
      <c r="A35" s="1"/>
      <c r="B35" s="9"/>
      <c r="C35" s="1"/>
      <c r="D35" s="1"/>
      <c r="E35" s="1"/>
      <c r="F35" s="1"/>
      <c r="G35" s="1"/>
      <c r="H35" s="1"/>
      <c r="I35" s="1"/>
      <c r="J35" s="1"/>
      <c r="K35" s="1"/>
      <c r="L35" s="1"/>
      <c r="N35" s="1"/>
      <c r="O35" s="1"/>
      <c r="P35" s="1"/>
      <c r="Q35" s="1"/>
      <c r="R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H35" s="1"/>
      <c r="AI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">
      <c r="A36" s="1"/>
      <c r="B36" s="9"/>
      <c r="C36" s="1"/>
      <c r="D36" s="1"/>
      <c r="E36" s="1"/>
      <c r="F36" s="1"/>
      <c r="G36" s="1"/>
      <c r="H36" s="1"/>
      <c r="I36" s="1"/>
      <c r="J36" s="1"/>
      <c r="K36" s="1"/>
      <c r="L36" s="1"/>
      <c r="N36" s="1"/>
      <c r="O36" s="1"/>
      <c r="P36" s="1"/>
      <c r="Q36" s="1"/>
      <c r="R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H36" s="1"/>
      <c r="AI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">
      <c r="A37" s="1"/>
      <c r="B37" s="9"/>
      <c r="C37" s="1"/>
      <c r="D37" s="1"/>
      <c r="E37" s="1"/>
      <c r="F37" s="1"/>
      <c r="G37" s="1"/>
      <c r="H37" s="1"/>
      <c r="I37" s="1"/>
      <c r="J37" s="1"/>
      <c r="K37" s="1"/>
      <c r="L37" s="1"/>
      <c r="N37" s="1"/>
      <c r="O37" s="1"/>
      <c r="P37" s="1"/>
      <c r="Q37" s="1"/>
      <c r="R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H37" s="1"/>
      <c r="AI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">
      <c r="A38" s="1"/>
      <c r="B38" s="9"/>
      <c r="C38" s="1"/>
      <c r="D38" s="1"/>
      <c r="E38" s="1"/>
      <c r="F38" s="1"/>
      <c r="G38" s="1"/>
      <c r="H38" s="1"/>
      <c r="I38" s="1"/>
      <c r="J38" s="1"/>
      <c r="K38" s="1"/>
      <c r="L38" s="1"/>
      <c r="N38" s="1"/>
      <c r="O38" s="1"/>
      <c r="P38" s="1"/>
      <c r="Q38" s="1"/>
      <c r="R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H38" s="1"/>
      <c r="AI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">
      <c r="A39" s="1"/>
      <c r="B39" s="9"/>
      <c r="C39" s="1"/>
      <c r="D39" s="1"/>
      <c r="E39" s="1"/>
      <c r="F39" s="1"/>
      <c r="G39" s="1"/>
      <c r="H39" s="1"/>
      <c r="I39" s="1"/>
      <c r="J39" s="1"/>
      <c r="K39" s="1"/>
      <c r="L39" s="1"/>
      <c r="N39" s="1"/>
      <c r="O39" s="1"/>
      <c r="P39" s="1"/>
      <c r="Q39" s="1"/>
      <c r="R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H39" s="1"/>
      <c r="AI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">
      <c r="A40" s="1"/>
      <c r="B40" s="9"/>
      <c r="C40" s="1"/>
      <c r="D40" s="1"/>
      <c r="E40" s="1"/>
      <c r="F40" s="1"/>
      <c r="G40" s="1"/>
      <c r="H40" s="1"/>
      <c r="I40" s="1"/>
      <c r="J40" s="1"/>
      <c r="K40" s="1"/>
      <c r="L40" s="1"/>
      <c r="N40" s="1"/>
      <c r="O40" s="1"/>
      <c r="P40" s="1"/>
      <c r="Q40" s="1"/>
      <c r="R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H40" s="1"/>
      <c r="AI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">
      <c r="A41" s="1"/>
      <c r="B41" s="9"/>
      <c r="C41" s="1"/>
      <c r="D41" s="1"/>
      <c r="E41" s="1"/>
      <c r="F41" s="1"/>
      <c r="G41" s="1"/>
      <c r="H41" s="1"/>
      <c r="I41" s="1"/>
      <c r="J41" s="1"/>
      <c r="K41" s="1"/>
      <c r="L41" s="1"/>
      <c r="N41" s="1"/>
      <c r="O41" s="1"/>
      <c r="P41" s="1"/>
      <c r="Q41" s="1"/>
      <c r="R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H41" s="1"/>
      <c r="AI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">
      <c r="A42" s="1"/>
      <c r="B42" s="9"/>
      <c r="C42" s="1"/>
      <c r="D42" s="1"/>
      <c r="E42" s="1"/>
      <c r="F42" s="1"/>
      <c r="G42" s="1"/>
      <c r="H42" s="1"/>
      <c r="I42" s="1"/>
      <c r="J42" s="1"/>
      <c r="K42" s="1"/>
      <c r="L42" s="1"/>
      <c r="N42" s="1"/>
      <c r="O42" s="1"/>
      <c r="P42" s="1"/>
      <c r="Q42" s="1"/>
      <c r="R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H42" s="1"/>
      <c r="AI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">
      <c r="A43" s="1"/>
      <c r="B43" s="9"/>
      <c r="C43" s="1"/>
      <c r="D43" s="1"/>
      <c r="E43" s="1"/>
      <c r="F43" s="1"/>
      <c r="G43" s="1"/>
      <c r="H43" s="1"/>
      <c r="I43" s="1"/>
      <c r="J43" s="1"/>
      <c r="K43" s="1"/>
      <c r="L43" s="1"/>
      <c r="N43" s="1"/>
      <c r="O43" s="1"/>
      <c r="P43" s="1"/>
      <c r="Q43" s="1"/>
      <c r="R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H43" s="1"/>
      <c r="AI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">
      <c r="A44" s="1"/>
      <c r="B44" s="9"/>
      <c r="C44" s="1"/>
      <c r="D44" s="1"/>
      <c r="E44" s="1"/>
      <c r="F44" s="1"/>
      <c r="G44" s="1"/>
      <c r="H44" s="1"/>
      <c r="I44" s="1"/>
      <c r="J44" s="1"/>
      <c r="K44" s="1"/>
      <c r="L44" s="1"/>
      <c r="N44" s="1"/>
      <c r="O44" s="1"/>
      <c r="P44" s="1"/>
      <c r="Q44" s="1"/>
      <c r="R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H44" s="1"/>
      <c r="AI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">
      <c r="A45" s="1"/>
      <c r="B45" s="9"/>
      <c r="C45" s="1"/>
      <c r="D45" s="1"/>
      <c r="E45" s="1"/>
      <c r="F45" s="1"/>
      <c r="G45" s="1"/>
      <c r="H45" s="1"/>
      <c r="I45" s="1"/>
      <c r="J45" s="1"/>
      <c r="K45" s="1"/>
      <c r="L45" s="1"/>
      <c r="N45" s="1"/>
      <c r="O45" s="1"/>
      <c r="P45" s="1"/>
      <c r="Q45" s="1"/>
      <c r="R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H45" s="1"/>
      <c r="AI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">
      <c r="A46" s="1"/>
      <c r="B46" s="9"/>
      <c r="C46" s="1"/>
      <c r="D46" s="1"/>
      <c r="E46" s="1"/>
      <c r="F46" s="1"/>
      <c r="G46" s="1"/>
      <c r="H46" s="1"/>
      <c r="I46" s="1"/>
      <c r="J46" s="1"/>
      <c r="K46" s="1"/>
      <c r="L46" s="1"/>
      <c r="N46" s="1"/>
      <c r="O46" s="1"/>
      <c r="P46" s="1"/>
      <c r="Q46" s="1"/>
      <c r="R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H46" s="1"/>
      <c r="AI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">
      <c r="A47" s="1"/>
      <c r="B47" s="9"/>
      <c r="C47" s="1"/>
      <c r="D47" s="1"/>
      <c r="E47" s="1"/>
      <c r="F47" s="1"/>
      <c r="G47" s="1"/>
      <c r="H47" s="1"/>
      <c r="I47" s="1"/>
      <c r="J47" s="1"/>
      <c r="K47" s="1"/>
      <c r="L47" s="1"/>
      <c r="N47" s="1"/>
      <c r="O47" s="1"/>
      <c r="P47" s="1"/>
      <c r="Q47" s="1"/>
      <c r="R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H47" s="1"/>
      <c r="AI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">
      <c r="A48" s="1"/>
      <c r="B48" s="9"/>
      <c r="C48" s="1"/>
      <c r="D48" s="1"/>
      <c r="E48" s="1"/>
      <c r="F48" s="1"/>
      <c r="G48" s="1"/>
      <c r="H48" s="1"/>
      <c r="I48" s="1"/>
      <c r="J48" s="1"/>
      <c r="K48" s="1"/>
      <c r="L48" s="1"/>
      <c r="N48" s="1"/>
      <c r="O48" s="1"/>
      <c r="P48" s="1"/>
      <c r="Q48" s="1"/>
      <c r="R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H48" s="1"/>
      <c r="AI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">
      <c r="A49" s="1"/>
      <c r="B49" s="9"/>
      <c r="C49" s="1"/>
      <c r="D49" s="1"/>
      <c r="E49" s="1"/>
      <c r="F49" s="1"/>
      <c r="G49" s="1"/>
      <c r="H49" s="1"/>
      <c r="I49" s="1"/>
      <c r="J49" s="1"/>
      <c r="K49" s="1"/>
      <c r="L49" s="1"/>
      <c r="N49" s="1"/>
      <c r="O49" s="1"/>
      <c r="P49" s="1"/>
      <c r="Q49" s="1"/>
      <c r="R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H49" s="1"/>
      <c r="AI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">
      <c r="A50" s="1"/>
      <c r="B50" s="9"/>
      <c r="C50" s="1"/>
      <c r="D50" s="1"/>
      <c r="E50" s="1"/>
      <c r="F50" s="1"/>
      <c r="G50" s="1"/>
      <c r="H50" s="1"/>
      <c r="I50" s="1"/>
      <c r="J50" s="1"/>
      <c r="K50" s="1"/>
      <c r="L50" s="1"/>
      <c r="N50" s="1"/>
      <c r="O50" s="1"/>
      <c r="P50" s="1"/>
      <c r="Q50" s="1"/>
      <c r="R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H50" s="1"/>
      <c r="AI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">
      <c r="A51" s="1"/>
      <c r="B51" s="9"/>
      <c r="C51" s="1"/>
      <c r="D51" s="1"/>
      <c r="E51" s="1"/>
      <c r="F51" s="1"/>
      <c r="G51" s="1"/>
      <c r="H51" s="1"/>
      <c r="I51" s="1"/>
      <c r="J51" s="1"/>
      <c r="K51" s="1"/>
      <c r="L51" s="1"/>
      <c r="N51" s="1"/>
      <c r="O51" s="1"/>
      <c r="P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H51" s="1"/>
      <c r="AI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">
      <c r="A52" s="1"/>
      <c r="B52" s="9"/>
      <c r="C52" s="1"/>
      <c r="D52" s="1"/>
      <c r="E52" s="1"/>
      <c r="F52" s="1"/>
      <c r="G52" s="1"/>
      <c r="H52" s="1"/>
      <c r="I52" s="1"/>
      <c r="J52" s="1"/>
      <c r="K52" s="1"/>
      <c r="L52" s="1"/>
      <c r="N52" s="1"/>
      <c r="O52" s="1"/>
      <c r="P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H52" s="1"/>
      <c r="AI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">
      <c r="A53" s="1"/>
      <c r="B53" s="9"/>
      <c r="C53" s="1"/>
      <c r="D53" s="1"/>
      <c r="E53" s="1"/>
      <c r="F53" s="1"/>
      <c r="G53" s="1"/>
      <c r="H53" s="1"/>
      <c r="I53" s="1"/>
      <c r="J53" s="1"/>
      <c r="K53" s="1"/>
      <c r="L53" s="1"/>
      <c r="N53" s="1"/>
      <c r="O53" s="1"/>
      <c r="P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H53" s="1"/>
      <c r="AI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">
      <c r="A54" s="1"/>
      <c r="B54" s="9"/>
      <c r="C54" s="1"/>
      <c r="D54" s="1"/>
      <c r="E54" s="1"/>
      <c r="F54" s="1"/>
      <c r="G54" s="1"/>
      <c r="H54" s="1"/>
      <c r="I54" s="1"/>
      <c r="J54" s="1"/>
      <c r="K54" s="1"/>
      <c r="L54" s="1"/>
      <c r="N54" s="1"/>
      <c r="O54" s="1"/>
      <c r="P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H54" s="1"/>
      <c r="AI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">
      <c r="A55" s="1"/>
      <c r="B55" s="9"/>
      <c r="C55" s="1"/>
      <c r="D55" s="1"/>
      <c r="E55" s="1"/>
      <c r="F55" s="1"/>
      <c r="G55" s="1"/>
      <c r="H55" s="1"/>
      <c r="I55" s="1"/>
      <c r="J55" s="1"/>
      <c r="K55" s="1"/>
      <c r="L55" s="1"/>
      <c r="N55" s="1"/>
      <c r="O55" s="1"/>
      <c r="P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H55" s="1"/>
      <c r="AI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">
      <c r="A56" s="1"/>
      <c r="B56" s="9"/>
      <c r="C56" s="1"/>
      <c r="D56" s="1"/>
      <c r="E56" s="1"/>
      <c r="F56" s="1"/>
      <c r="G56" s="1"/>
      <c r="H56" s="1"/>
      <c r="I56" s="1"/>
      <c r="J56" s="1"/>
      <c r="K56" s="1"/>
      <c r="L56" s="1"/>
      <c r="N56" s="1"/>
      <c r="O56" s="1"/>
      <c r="P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H56" s="1"/>
      <c r="AI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">
      <c r="A57" s="1"/>
      <c r="B57" s="9"/>
      <c r="C57" s="1"/>
      <c r="D57" s="1"/>
      <c r="E57" s="1"/>
      <c r="F57" s="1"/>
      <c r="G57" s="1"/>
      <c r="H57" s="1"/>
      <c r="I57" s="1"/>
      <c r="J57" s="1"/>
      <c r="K57" s="1"/>
      <c r="L57" s="1"/>
      <c r="N57" s="1"/>
      <c r="O57" s="1"/>
      <c r="P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H57" s="1"/>
      <c r="AI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">
      <c r="A58" s="1"/>
      <c r="B58" s="9"/>
      <c r="C58" s="1"/>
      <c r="D58" s="1"/>
      <c r="E58" s="1"/>
      <c r="F58" s="1"/>
      <c r="G58" s="1"/>
      <c r="H58" s="1"/>
      <c r="I58" s="1"/>
      <c r="J58" s="1"/>
      <c r="K58" s="1"/>
      <c r="L58" s="1"/>
      <c r="N58" s="1"/>
      <c r="O58" s="1"/>
      <c r="P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H58" s="1"/>
      <c r="AI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">
      <c r="A59" s="1"/>
      <c r="B59" s="9"/>
      <c r="C59" s="1"/>
      <c r="D59" s="1"/>
      <c r="E59" s="1"/>
      <c r="F59" s="1"/>
      <c r="G59" s="1"/>
      <c r="H59" s="1"/>
      <c r="I59" s="1"/>
      <c r="J59" s="1"/>
      <c r="K59" s="1"/>
      <c r="L59" s="1"/>
      <c r="N59" s="1"/>
      <c r="O59" s="1"/>
      <c r="P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H59" s="1"/>
      <c r="AI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">
      <c r="A60" s="1"/>
      <c r="B60" s="9"/>
      <c r="C60" s="1"/>
      <c r="D60" s="1"/>
      <c r="E60" s="1"/>
      <c r="F60" s="1"/>
      <c r="G60" s="1"/>
      <c r="H60" s="1"/>
      <c r="I60" s="1"/>
      <c r="J60" s="1"/>
      <c r="K60" s="1"/>
      <c r="L60" s="1"/>
      <c r="N60" s="1"/>
      <c r="O60" s="1"/>
      <c r="P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H60" s="1"/>
      <c r="AI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">
      <c r="A61" s="1"/>
      <c r="B61" s="9"/>
      <c r="C61" s="1"/>
      <c r="D61" s="1"/>
      <c r="E61" s="1"/>
      <c r="F61" s="1"/>
      <c r="G61" s="1"/>
      <c r="H61" s="1"/>
      <c r="I61" s="1"/>
      <c r="J61" s="1"/>
      <c r="K61" s="1"/>
      <c r="L61" s="1"/>
      <c r="N61" s="1"/>
      <c r="O61" s="1"/>
      <c r="P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H61" s="1"/>
      <c r="AI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">
      <c r="A62" s="1"/>
      <c r="B62" s="9"/>
      <c r="C62" s="1"/>
      <c r="D62" s="1"/>
      <c r="E62" s="1"/>
      <c r="F62" s="1"/>
      <c r="G62" s="1"/>
      <c r="H62" s="1"/>
      <c r="I62" s="1"/>
      <c r="J62" s="1"/>
      <c r="K62" s="1"/>
      <c r="L62" s="1"/>
      <c r="N62" s="1"/>
      <c r="O62" s="1"/>
      <c r="P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H62" s="1"/>
      <c r="AI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">
      <c r="A63" s="1"/>
      <c r="B63" s="9"/>
      <c r="C63" s="1"/>
      <c r="D63" s="1"/>
      <c r="E63" s="1"/>
      <c r="F63" s="1"/>
      <c r="G63" s="1"/>
      <c r="H63" s="1"/>
      <c r="I63" s="1"/>
      <c r="J63" s="1"/>
      <c r="K63" s="1"/>
      <c r="L63" s="1"/>
      <c r="N63" s="1"/>
      <c r="O63" s="1"/>
      <c r="P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H63" s="1"/>
      <c r="AI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">
      <c r="A64" s="1"/>
      <c r="B64" s="9"/>
      <c r="C64" s="1"/>
      <c r="D64" s="1"/>
      <c r="E64" s="1"/>
      <c r="F64" s="1"/>
      <c r="G64" s="1"/>
      <c r="H64" s="1"/>
      <c r="I64" s="1"/>
      <c r="J64" s="1"/>
      <c r="K64" s="1"/>
      <c r="L64" s="1"/>
      <c r="N64" s="1"/>
      <c r="O64" s="1"/>
      <c r="P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H64" s="1"/>
      <c r="AI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">
      <c r="A65" s="1"/>
      <c r="B65" s="9"/>
      <c r="C65" s="1"/>
      <c r="D65" s="1"/>
      <c r="E65" s="1"/>
      <c r="F65" s="1"/>
      <c r="G65" s="1"/>
      <c r="H65" s="1"/>
      <c r="I65" s="1"/>
      <c r="J65" s="1"/>
      <c r="K65" s="1"/>
      <c r="L65" s="1"/>
      <c r="N65" s="1"/>
      <c r="O65" s="1"/>
      <c r="P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H65" s="1"/>
      <c r="AI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">
      <c r="A66" s="1"/>
      <c r="B66" s="9"/>
      <c r="C66" s="1"/>
      <c r="D66" s="1"/>
      <c r="E66" s="1"/>
      <c r="F66" s="1"/>
      <c r="G66" s="1"/>
      <c r="H66" s="1"/>
      <c r="I66" s="1"/>
      <c r="J66" s="1"/>
      <c r="K66" s="1"/>
      <c r="L66" s="1"/>
      <c r="N66" s="1"/>
      <c r="O66" s="1"/>
      <c r="P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H66" s="1"/>
      <c r="AI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">
      <c r="A67" s="1"/>
      <c r="B67" s="9"/>
      <c r="C67" s="1"/>
      <c r="D67" s="1"/>
      <c r="E67" s="1"/>
      <c r="F67" s="1"/>
      <c r="G67" s="1"/>
      <c r="H67" s="1"/>
      <c r="I67" s="1"/>
      <c r="J67" s="1"/>
      <c r="K67" s="1"/>
      <c r="L67" s="1"/>
      <c r="N67" s="1"/>
      <c r="O67" s="1"/>
      <c r="P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H67" s="1"/>
      <c r="AI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">
      <c r="A68" s="1"/>
      <c r="B68" s="9"/>
      <c r="C68" s="1"/>
      <c r="D68" s="1"/>
      <c r="E68" s="1"/>
      <c r="F68" s="1"/>
      <c r="G68" s="1"/>
      <c r="H68" s="1"/>
      <c r="I68" s="1"/>
      <c r="J68" s="1"/>
      <c r="K68" s="1"/>
      <c r="L68" s="1"/>
      <c r="N68" s="1"/>
      <c r="O68" s="1"/>
      <c r="P68" s="1"/>
      <c r="Q68" s="1"/>
      <c r="R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H68" s="1"/>
      <c r="AI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">
      <c r="A69" s="1"/>
      <c r="B69" s="9"/>
      <c r="C69" s="1"/>
      <c r="D69" s="1"/>
      <c r="E69" s="1"/>
      <c r="F69" s="1"/>
      <c r="G69" s="1"/>
      <c r="H69" s="1"/>
      <c r="I69" s="1"/>
      <c r="J69" s="1"/>
      <c r="K69" s="1"/>
      <c r="L69" s="1"/>
      <c r="N69" s="1"/>
      <c r="O69" s="1"/>
      <c r="P69" s="1"/>
      <c r="Q69" s="1"/>
      <c r="R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H69" s="1"/>
      <c r="AI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">
      <c r="A70" s="1"/>
      <c r="B70" s="9"/>
      <c r="C70" s="1"/>
      <c r="D70" s="1"/>
      <c r="E70" s="1"/>
      <c r="F70" s="1"/>
      <c r="G70" s="1"/>
      <c r="H70" s="1"/>
      <c r="I70" s="1"/>
      <c r="J70" s="1"/>
      <c r="K70" s="1"/>
      <c r="L70" s="1"/>
      <c r="N70" s="1"/>
      <c r="O70" s="1"/>
      <c r="P70" s="1"/>
      <c r="Q70" s="1"/>
      <c r="R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H70" s="1"/>
      <c r="AI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">
      <c r="A71" s="1"/>
      <c r="B71" s="9"/>
      <c r="C71" s="1"/>
      <c r="D71" s="1"/>
      <c r="E71" s="1"/>
      <c r="F71" s="1"/>
      <c r="G71" s="1"/>
      <c r="H71" s="1"/>
      <c r="I71" s="1"/>
      <c r="J71" s="1"/>
      <c r="K71" s="1"/>
      <c r="L71" s="1"/>
      <c r="N71" s="1"/>
      <c r="O71" s="1"/>
      <c r="P71" s="1"/>
      <c r="Q71" s="1"/>
      <c r="R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H71" s="1"/>
      <c r="AI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">
      <c r="A72" s="1"/>
      <c r="B72" s="9"/>
      <c r="C72" s="1"/>
      <c r="D72" s="1"/>
      <c r="E72" s="1"/>
      <c r="F72" s="1"/>
      <c r="G72" s="1"/>
      <c r="H72" s="1"/>
      <c r="I72" s="1"/>
      <c r="J72" s="1"/>
      <c r="K72" s="1"/>
      <c r="L72" s="1"/>
      <c r="N72" s="1"/>
      <c r="O72" s="1"/>
      <c r="P72" s="1"/>
      <c r="Q72" s="1"/>
      <c r="R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H72" s="1"/>
      <c r="AI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">
      <c r="A73" s="1"/>
      <c r="B73" s="9"/>
      <c r="C73" s="1"/>
      <c r="D73" s="1"/>
      <c r="E73" s="1"/>
      <c r="F73" s="1"/>
      <c r="G73" s="1"/>
      <c r="H73" s="1"/>
      <c r="I73" s="1"/>
      <c r="J73" s="1"/>
      <c r="K73" s="1"/>
      <c r="L73" s="1"/>
      <c r="N73" s="1"/>
      <c r="O73" s="1"/>
      <c r="P73" s="1"/>
      <c r="Q73" s="1"/>
      <c r="R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H73" s="1"/>
      <c r="AI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">
      <c r="A74" s="1"/>
      <c r="B74" s="9"/>
      <c r="C74" s="1"/>
      <c r="D74" s="1"/>
      <c r="E74" s="1"/>
      <c r="F74" s="1"/>
      <c r="G74" s="1"/>
      <c r="H74" s="1"/>
      <c r="I74" s="1"/>
      <c r="J74" s="1"/>
      <c r="K74" s="1"/>
      <c r="L74" s="1"/>
      <c r="N74" s="1"/>
      <c r="O74" s="1"/>
      <c r="P74" s="1"/>
      <c r="Q74" s="1"/>
      <c r="R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H74" s="1"/>
      <c r="AI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">
      <c r="A75" s="1"/>
      <c r="B75" s="9"/>
      <c r="C75" s="1"/>
      <c r="D75" s="1"/>
      <c r="E75" s="1"/>
      <c r="F75" s="1"/>
      <c r="G75" s="1"/>
      <c r="H75" s="1"/>
      <c r="I75" s="1"/>
      <c r="J75" s="1"/>
      <c r="K75" s="1"/>
      <c r="L75" s="1"/>
      <c r="N75" s="1"/>
      <c r="O75" s="1"/>
      <c r="P75" s="1"/>
      <c r="Q75" s="1"/>
      <c r="R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H75" s="1"/>
      <c r="AI75" s="1"/>
    </row>
    <row r="76" spans="1:48" x14ac:dyDescent="0.2">
      <c r="A76" s="1"/>
      <c r="B76" s="9"/>
      <c r="C76" s="1"/>
      <c r="D76" s="1"/>
      <c r="E76" s="1"/>
      <c r="F76" s="1"/>
      <c r="G76" s="1"/>
      <c r="H76" s="1"/>
      <c r="I76" s="1"/>
      <c r="J76" s="1"/>
      <c r="K76" s="1"/>
      <c r="L76" s="1"/>
      <c r="N76" s="1"/>
      <c r="O76" s="1"/>
      <c r="P76" s="1"/>
      <c r="Q76" s="1"/>
      <c r="R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H76" s="1"/>
      <c r="AI76" s="1"/>
    </row>
    <row r="77" spans="1:48" x14ac:dyDescent="0.2">
      <c r="A77" s="1"/>
      <c r="B77" s="9"/>
      <c r="C77" s="1"/>
      <c r="D77" s="1"/>
      <c r="E77" s="1"/>
      <c r="F77" s="1"/>
      <c r="G77" s="1"/>
      <c r="H77" s="1"/>
      <c r="I77" s="1"/>
      <c r="J77" s="1"/>
      <c r="K77" s="1"/>
      <c r="L77" s="1"/>
      <c r="N77" s="1"/>
      <c r="O77" s="1"/>
      <c r="P77" s="1"/>
      <c r="Q77" s="1"/>
      <c r="R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H77" s="1"/>
      <c r="AI77" s="1"/>
    </row>
    <row r="78" spans="1:48" x14ac:dyDescent="0.2">
      <c r="A78" s="1"/>
      <c r="B78" s="9"/>
      <c r="C78" s="1"/>
      <c r="D78" s="1"/>
      <c r="E78" s="1"/>
      <c r="F78" s="1"/>
      <c r="G78" s="1"/>
      <c r="H78" s="1"/>
      <c r="I78" s="1"/>
      <c r="J78" s="1"/>
      <c r="K78" s="1"/>
      <c r="L78" s="1"/>
      <c r="N78" s="1"/>
      <c r="O78" s="1"/>
      <c r="P78" s="1"/>
      <c r="Q78" s="1"/>
      <c r="R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H78" s="1"/>
      <c r="AI78" s="1"/>
    </row>
    <row r="79" spans="1:48" x14ac:dyDescent="0.2">
      <c r="A79" s="1"/>
      <c r="B79" s="9"/>
      <c r="C79" s="1"/>
      <c r="D79" s="1"/>
      <c r="E79" s="1"/>
      <c r="F79" s="1"/>
      <c r="G79" s="1"/>
      <c r="H79" s="1"/>
      <c r="I79" s="1"/>
      <c r="J79" s="1"/>
      <c r="K79" s="1"/>
      <c r="L79" s="1"/>
      <c r="N79" s="1"/>
      <c r="O79" s="1"/>
      <c r="P79" s="1"/>
      <c r="Q79" s="1"/>
      <c r="R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H79" s="1"/>
      <c r="AI79" s="1"/>
    </row>
    <row r="80" spans="1:48" x14ac:dyDescent="0.2">
      <c r="A80" s="1"/>
      <c r="B80" s="9"/>
      <c r="C80" s="1"/>
      <c r="D80" s="1"/>
      <c r="E80" s="1"/>
      <c r="F80" s="1"/>
      <c r="G80" s="1"/>
      <c r="H80" s="1"/>
      <c r="I80" s="1"/>
      <c r="J80" s="1"/>
      <c r="K80" s="1"/>
      <c r="L80" s="1"/>
      <c r="N80" s="1"/>
      <c r="O80" s="1"/>
      <c r="P80" s="1"/>
      <c r="Q80" s="1"/>
      <c r="R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H80" s="1"/>
      <c r="AI80" s="1"/>
    </row>
    <row r="81" spans="1:35" x14ac:dyDescent="0.2">
      <c r="A81" s="1"/>
      <c r="B81" s="9"/>
      <c r="C81" s="1"/>
      <c r="D81" s="1"/>
      <c r="E81" s="1"/>
      <c r="F81" s="1"/>
      <c r="G81" s="1"/>
      <c r="H81" s="1"/>
      <c r="I81" s="1"/>
      <c r="J81" s="1"/>
      <c r="K81" s="1"/>
      <c r="L81" s="1"/>
      <c r="N81" s="1"/>
      <c r="O81" s="1"/>
      <c r="P81" s="1"/>
      <c r="Q81" s="1"/>
      <c r="R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H81" s="1"/>
      <c r="AI81" s="1"/>
    </row>
    <row r="82" spans="1:35" x14ac:dyDescent="0.2">
      <c r="A82" s="1"/>
      <c r="B82" s="9"/>
      <c r="C82" s="1"/>
      <c r="D82" s="1"/>
      <c r="E82" s="1"/>
      <c r="F82" s="1"/>
      <c r="G82" s="1"/>
      <c r="H82" s="1"/>
      <c r="I82" s="1"/>
      <c r="J82" s="1"/>
      <c r="K82" s="1"/>
      <c r="L82" s="1"/>
      <c r="N82" s="1"/>
      <c r="O82" s="1"/>
      <c r="P82" s="1"/>
      <c r="Q82" s="1"/>
      <c r="R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H82" s="1"/>
      <c r="AI82" s="1"/>
    </row>
    <row r="83" spans="1:35" x14ac:dyDescent="0.2">
      <c r="A83" s="1"/>
      <c r="B83" s="9"/>
      <c r="C83" s="1"/>
      <c r="D83" s="1"/>
      <c r="E83" s="1"/>
      <c r="F83" s="1"/>
      <c r="G83" s="1"/>
      <c r="H83" s="1"/>
      <c r="I83" s="1"/>
      <c r="J83" s="1"/>
      <c r="K83" s="1"/>
      <c r="L83" s="1"/>
      <c r="N83" s="1"/>
      <c r="O83" s="1"/>
      <c r="P83" s="1"/>
      <c r="Q83" s="1"/>
      <c r="R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H83" s="1"/>
      <c r="AI83" s="1"/>
    </row>
    <row r="84" spans="1:35" x14ac:dyDescent="0.2">
      <c r="A84" s="1"/>
      <c r="B84" s="9"/>
      <c r="C84" s="1"/>
      <c r="D84" s="1"/>
      <c r="E84" s="1"/>
      <c r="F84" s="1"/>
      <c r="G84" s="1"/>
      <c r="H84" s="1"/>
      <c r="I84" s="1"/>
      <c r="J84" s="1"/>
      <c r="K84" s="1"/>
      <c r="L84" s="1"/>
      <c r="N84" s="1"/>
      <c r="O84" s="1"/>
      <c r="P84" s="1"/>
      <c r="Q84" s="1"/>
      <c r="R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H84" s="1"/>
      <c r="AI84" s="1"/>
    </row>
    <row r="85" spans="1:35" x14ac:dyDescent="0.2">
      <c r="A85" s="1"/>
      <c r="B85" s="9"/>
      <c r="C85" s="1"/>
      <c r="D85" s="1"/>
      <c r="E85" s="1"/>
      <c r="F85" s="1"/>
      <c r="G85" s="1"/>
      <c r="H85" s="1"/>
      <c r="I85" s="1"/>
      <c r="J85" s="1"/>
      <c r="K85" s="1"/>
      <c r="L85" s="1"/>
      <c r="N85" s="1"/>
      <c r="O85" s="1"/>
      <c r="P85" s="1"/>
      <c r="Q85" s="1"/>
      <c r="R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H85" s="1"/>
      <c r="AI85" s="1"/>
    </row>
    <row r="86" spans="1:35" x14ac:dyDescent="0.2">
      <c r="A86" s="1"/>
      <c r="B86" s="9"/>
      <c r="C86" s="1"/>
      <c r="D86" s="1"/>
      <c r="E86" s="1"/>
      <c r="F86" s="1"/>
      <c r="G86" s="1"/>
      <c r="H86" s="1"/>
      <c r="I86" s="1"/>
      <c r="J86" s="1"/>
      <c r="K86" s="1"/>
      <c r="L86" s="1"/>
      <c r="N86" s="1"/>
      <c r="O86" s="1"/>
      <c r="P86" s="1"/>
      <c r="Q86" s="1"/>
      <c r="R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H86" s="1"/>
      <c r="AI86" s="1"/>
    </row>
  </sheetData>
  <mergeCells count="5">
    <mergeCell ref="B1:L1"/>
    <mergeCell ref="N1:R1"/>
    <mergeCell ref="T1:AD1"/>
    <mergeCell ref="AK1:AV1"/>
    <mergeCell ref="AH1:AI1"/>
  </mergeCells>
  <phoneticPr fontId="14" type="noConversion"/>
  <dataValidations count="1">
    <dataValidation allowBlank="1" showInputMessage="1" showErrorMessage="1" error="Probabilidad debe ser entre 0 y 100" sqref="I2:J2" xr:uid="{456CB381-B88E-4DE5-AEBF-0384065B48F7}"/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37EF-F263-4FF0-AF1D-05DC8585FA28}">
  <dimension ref="A3:J15"/>
  <sheetViews>
    <sheetView workbookViewId="0">
      <selection activeCell="C21" sqref="C21"/>
    </sheetView>
  </sheetViews>
  <sheetFormatPr baseColWidth="10" defaultColWidth="11.5" defaultRowHeight="15" x14ac:dyDescent="0.2"/>
  <cols>
    <col min="1" max="1" width="19.33203125" bestFit="1" customWidth="1"/>
    <col min="2" max="2" width="20.33203125" bestFit="1" customWidth="1"/>
    <col min="3" max="3" width="19.5" bestFit="1" customWidth="1"/>
    <col min="4" max="4" width="22.1640625" bestFit="1" customWidth="1"/>
    <col min="5" max="5" width="8.5" bestFit="1" customWidth="1"/>
    <col min="6" max="6" width="12.33203125" bestFit="1" customWidth="1"/>
    <col min="7" max="7" width="4.33203125" bestFit="1" customWidth="1"/>
    <col min="8" max="8" width="17.1640625" bestFit="1" customWidth="1"/>
    <col min="9" max="9" width="11" bestFit="1" customWidth="1"/>
    <col min="10" max="10" width="11.1640625" bestFit="1" customWidth="1"/>
    <col min="11" max="11" width="12.1640625" bestFit="1" customWidth="1"/>
  </cols>
  <sheetData>
    <row r="3" spans="1:10" x14ac:dyDescent="0.2">
      <c r="A3" s="167" t="s">
        <v>653</v>
      </c>
      <c r="B3" s="167" t="s">
        <v>574</v>
      </c>
    </row>
    <row r="4" spans="1:10" x14ac:dyDescent="0.2">
      <c r="A4" s="167" t="s">
        <v>575</v>
      </c>
      <c r="B4" t="s">
        <v>481</v>
      </c>
      <c r="C4" t="s">
        <v>475</v>
      </c>
      <c r="D4" t="s">
        <v>479</v>
      </c>
      <c r="E4" t="s">
        <v>483</v>
      </c>
      <c r="F4" t="s">
        <v>356</v>
      </c>
      <c r="G4" t="s">
        <v>470</v>
      </c>
      <c r="H4" t="s">
        <v>480</v>
      </c>
      <c r="I4" t="s">
        <v>406</v>
      </c>
      <c r="J4" t="s">
        <v>58</v>
      </c>
    </row>
    <row r="5" spans="1:10" x14ac:dyDescent="0.2">
      <c r="A5" s="110" t="s">
        <v>51</v>
      </c>
      <c r="B5">
        <v>1</v>
      </c>
      <c r="C5">
        <v>4</v>
      </c>
      <c r="D5">
        <v>1</v>
      </c>
      <c r="E5">
        <v>10</v>
      </c>
      <c r="F5">
        <v>2</v>
      </c>
      <c r="I5">
        <v>4</v>
      </c>
      <c r="J5">
        <v>22</v>
      </c>
    </row>
    <row r="6" spans="1:10" x14ac:dyDescent="0.2">
      <c r="A6" s="110" t="s">
        <v>49</v>
      </c>
      <c r="B6">
        <v>4</v>
      </c>
      <c r="C6">
        <v>4</v>
      </c>
      <c r="D6">
        <v>6</v>
      </c>
      <c r="E6">
        <v>21</v>
      </c>
      <c r="F6">
        <v>2</v>
      </c>
      <c r="G6">
        <v>6</v>
      </c>
      <c r="H6">
        <v>1</v>
      </c>
      <c r="I6">
        <v>8</v>
      </c>
      <c r="J6">
        <v>52</v>
      </c>
    </row>
    <row r="7" spans="1:10" x14ac:dyDescent="0.2">
      <c r="A7" s="110" t="s">
        <v>54</v>
      </c>
      <c r="E7">
        <v>17</v>
      </c>
      <c r="G7">
        <v>1</v>
      </c>
      <c r="I7">
        <v>2</v>
      </c>
      <c r="J7">
        <v>20</v>
      </c>
    </row>
    <row r="8" spans="1:10" x14ac:dyDescent="0.2">
      <c r="A8" s="110" t="s">
        <v>56</v>
      </c>
      <c r="B8">
        <v>2</v>
      </c>
      <c r="C8">
        <v>1</v>
      </c>
      <c r="D8">
        <v>6</v>
      </c>
      <c r="E8">
        <v>7</v>
      </c>
      <c r="F8">
        <v>3</v>
      </c>
      <c r="G8">
        <v>3</v>
      </c>
      <c r="I8">
        <v>4</v>
      </c>
      <c r="J8">
        <v>26</v>
      </c>
    </row>
    <row r="9" spans="1:10" x14ac:dyDescent="0.2">
      <c r="A9" s="110" t="s">
        <v>58</v>
      </c>
      <c r="B9">
        <v>7</v>
      </c>
      <c r="C9">
        <v>9</v>
      </c>
      <c r="D9">
        <v>13</v>
      </c>
      <c r="E9">
        <v>55</v>
      </c>
      <c r="F9">
        <v>7</v>
      </c>
      <c r="G9">
        <v>10</v>
      </c>
      <c r="H9">
        <v>1</v>
      </c>
      <c r="I9">
        <v>18</v>
      </c>
      <c r="J9">
        <v>120</v>
      </c>
    </row>
    <row r="12" spans="1:10" ht="16" thickBot="1" x14ac:dyDescent="0.25"/>
    <row r="13" spans="1:10" ht="16" thickBot="1" x14ac:dyDescent="0.25">
      <c r="B13" s="262" t="s">
        <v>39</v>
      </c>
      <c r="C13" s="262" t="s">
        <v>483</v>
      </c>
      <c r="D13" s="262" t="s">
        <v>479</v>
      </c>
      <c r="E13" s="262" t="s">
        <v>475</v>
      </c>
      <c r="F13" s="262" t="s">
        <v>406</v>
      </c>
      <c r="G13" s="262" t="s">
        <v>469</v>
      </c>
      <c r="H13" s="262" t="s">
        <v>470</v>
      </c>
      <c r="I13" s="262" t="s">
        <v>654</v>
      </c>
    </row>
    <row r="14" spans="1:10" ht="16" x14ac:dyDescent="0.2">
      <c r="B14" s="258" t="s">
        <v>16</v>
      </c>
      <c r="C14" s="259">
        <f>+GETPIVOTDATA("Monto (USD)",$A$3,"Etapa","Iniciativa ")</f>
        <v>55</v>
      </c>
      <c r="D14" s="259">
        <f>+GETPIVOTDATA("Monto (USD)",$A$3,"Etapa","Contacto Inicial (Enganche)")</f>
        <v>13</v>
      </c>
      <c r="E14" s="259">
        <f>+GETPIVOTDATA("Monto (USD)",$A$3,"Etapa","Construcción Propuesta")</f>
        <v>9</v>
      </c>
      <c r="F14" s="259">
        <f>+GETPIVOTDATA("Monto (USD)",$A$3,"Etapa","Seguimiento")</f>
        <v>18</v>
      </c>
      <c r="G14" s="259">
        <f>+GETPIVOTDATA("Monto (USD)",$A$3,"Etapa","Cierre y Negociacón")</f>
        <v>7</v>
      </c>
      <c r="H14" s="259">
        <f>+GETPIVOTDATA("Monto (USD)",$A$3,"Etapa","ODS")</f>
        <v>10</v>
      </c>
      <c r="I14" s="260">
        <f>+SUM(C14:G14)</f>
        <v>102</v>
      </c>
    </row>
    <row r="15" spans="1:10" ht="16" x14ac:dyDescent="0.2">
      <c r="B15" s="261" t="s">
        <v>655</v>
      </c>
      <c r="C15" s="26">
        <v>-2</v>
      </c>
      <c r="D15" s="26">
        <v>1</v>
      </c>
      <c r="E15" s="26">
        <v>-2</v>
      </c>
      <c r="F15" s="26">
        <v>-5</v>
      </c>
      <c r="G15" s="26"/>
      <c r="H15" s="26">
        <v>3</v>
      </c>
      <c r="I15" s="3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D956-A5C3-4601-914C-7D93F676F5A8}">
  <dimension ref="B1:U58"/>
  <sheetViews>
    <sheetView topLeftCell="A26" zoomScale="68" workbookViewId="0">
      <selection activeCell="C39" sqref="C39"/>
    </sheetView>
  </sheetViews>
  <sheetFormatPr baseColWidth="10" defaultColWidth="11.5" defaultRowHeight="15" x14ac:dyDescent="0.2"/>
  <cols>
    <col min="2" max="2" width="18" bestFit="1" customWidth="1"/>
    <col min="3" max="3" width="20" bestFit="1" customWidth="1"/>
    <col min="4" max="5" width="10.33203125" bestFit="1" customWidth="1"/>
    <col min="6" max="6" width="22.33203125" bestFit="1" customWidth="1"/>
    <col min="7" max="7" width="20.83203125" bestFit="1" customWidth="1"/>
    <col min="8" max="8" width="11.5" customWidth="1"/>
    <col min="9" max="9" width="18.6640625" bestFit="1" customWidth="1"/>
    <col min="11" max="11" width="10.5" bestFit="1" customWidth="1"/>
    <col min="12" max="12" width="16.6640625" customWidth="1"/>
  </cols>
  <sheetData>
    <row r="1" spans="2:21" x14ac:dyDescent="0.2">
      <c r="B1" s="167" t="s">
        <v>478</v>
      </c>
      <c r="C1" t="s">
        <v>679</v>
      </c>
    </row>
    <row r="3" spans="2:21" x14ac:dyDescent="0.2">
      <c r="B3" s="167" t="s">
        <v>575</v>
      </c>
      <c r="C3" t="s">
        <v>586</v>
      </c>
    </row>
    <row r="4" spans="2:21" x14ac:dyDescent="0.2">
      <c r="B4" s="110" t="s">
        <v>50</v>
      </c>
      <c r="C4">
        <v>1756000</v>
      </c>
      <c r="S4" s="14" t="s">
        <v>602</v>
      </c>
      <c r="T4" s="14"/>
      <c r="U4" s="14" t="s">
        <v>410</v>
      </c>
    </row>
    <row r="5" spans="2:21" ht="32" x14ac:dyDescent="0.2">
      <c r="B5" s="110" t="s">
        <v>52</v>
      </c>
      <c r="C5">
        <v>380000</v>
      </c>
      <c r="M5" s="268" t="s">
        <v>39</v>
      </c>
      <c r="N5" s="269" t="s">
        <v>677</v>
      </c>
      <c r="O5" s="269" t="s">
        <v>678</v>
      </c>
      <c r="P5" s="269" t="s">
        <v>699</v>
      </c>
      <c r="Q5" s="269" t="s">
        <v>698</v>
      </c>
      <c r="R5" s="269" t="s">
        <v>680</v>
      </c>
      <c r="S5" s="269" t="s">
        <v>681</v>
      </c>
    </row>
    <row r="6" spans="2:21" x14ac:dyDescent="0.2">
      <c r="B6" s="110" t="s">
        <v>53</v>
      </c>
      <c r="C6">
        <v>556000</v>
      </c>
      <c r="M6" s="42" t="s">
        <v>51</v>
      </c>
      <c r="N6" s="17">
        <v>0</v>
      </c>
      <c r="O6" s="17">
        <v>0</v>
      </c>
      <c r="P6" s="17">
        <f>+SUM(R6:S6)</f>
        <v>474400</v>
      </c>
      <c r="Q6" s="17">
        <v>630000</v>
      </c>
      <c r="R6" s="17">
        <v>380000</v>
      </c>
      <c r="S6" s="17">
        <v>94400</v>
      </c>
    </row>
    <row r="7" spans="2:21" x14ac:dyDescent="0.2">
      <c r="B7" s="110" t="s">
        <v>58</v>
      </c>
      <c r="C7">
        <v>2692000</v>
      </c>
      <c r="M7" s="42" t="s">
        <v>49</v>
      </c>
      <c r="N7" s="17">
        <v>450000</v>
      </c>
      <c r="O7" s="17">
        <v>211000</v>
      </c>
      <c r="P7" s="17">
        <f>+SUM(R7:S7)</f>
        <v>310000</v>
      </c>
      <c r="Q7" s="17">
        <v>1560000</v>
      </c>
      <c r="R7" s="17">
        <v>30000</v>
      </c>
      <c r="S7" s="17">
        <v>280000</v>
      </c>
    </row>
    <row r="8" spans="2:21" x14ac:dyDescent="0.2">
      <c r="J8" t="s">
        <v>697</v>
      </c>
      <c r="M8" s="42" t="s">
        <v>54</v>
      </c>
      <c r="N8" s="17">
        <v>116000</v>
      </c>
      <c r="O8">
        <v>0</v>
      </c>
      <c r="P8" s="17">
        <f>+SUM(R8:S8)</f>
        <v>0</v>
      </c>
      <c r="Q8" s="17">
        <v>0</v>
      </c>
      <c r="R8" s="17">
        <v>0</v>
      </c>
      <c r="S8" s="17">
        <v>0</v>
      </c>
    </row>
    <row r="9" spans="2:21" x14ac:dyDescent="0.2">
      <c r="M9" s="42" t="s">
        <v>56</v>
      </c>
      <c r="N9" s="17">
        <v>490000</v>
      </c>
      <c r="O9" s="17">
        <v>1035000</v>
      </c>
      <c r="P9" s="17">
        <f>+SUM(R9:S9)</f>
        <v>108000</v>
      </c>
      <c r="Q9" s="17">
        <v>0</v>
      </c>
      <c r="R9" s="17">
        <v>20000</v>
      </c>
      <c r="S9" s="17">
        <v>88000</v>
      </c>
    </row>
    <row r="10" spans="2:21" x14ac:dyDescent="0.2">
      <c r="M10" s="270" t="s">
        <v>34</v>
      </c>
      <c r="N10" s="29">
        <f t="shared" ref="N10:S10" si="0">+SUM(N6:N9)</f>
        <v>1056000</v>
      </c>
      <c r="O10" s="29">
        <f t="shared" si="0"/>
        <v>1246000</v>
      </c>
      <c r="P10" s="29">
        <f t="shared" si="0"/>
        <v>892400</v>
      </c>
      <c r="Q10" s="29">
        <f t="shared" si="0"/>
        <v>2190000</v>
      </c>
      <c r="R10" s="29">
        <f t="shared" si="0"/>
        <v>430000</v>
      </c>
      <c r="S10" s="29">
        <f t="shared" si="0"/>
        <v>462400</v>
      </c>
    </row>
    <row r="12" spans="2:21" x14ac:dyDescent="0.2">
      <c r="M12" s="52" t="s">
        <v>682</v>
      </c>
    </row>
    <row r="13" spans="2:21" ht="16" thickBot="1" x14ac:dyDescent="0.25"/>
    <row r="14" spans="2:21" ht="16" thickBot="1" x14ac:dyDescent="0.25">
      <c r="L14" s="271" t="s">
        <v>683</v>
      </c>
      <c r="M14" s="271" t="s">
        <v>3</v>
      </c>
      <c r="N14" s="272">
        <v>45658</v>
      </c>
      <c r="O14" s="272">
        <v>45689</v>
      </c>
      <c r="P14" s="272"/>
      <c r="Q14" s="272"/>
      <c r="R14" s="271" t="s">
        <v>684</v>
      </c>
      <c r="S14" s="273" t="s">
        <v>685</v>
      </c>
      <c r="T14" s="285"/>
    </row>
    <row r="15" spans="2:21" x14ac:dyDescent="0.2">
      <c r="L15" s="348" t="s">
        <v>686</v>
      </c>
      <c r="M15" s="274" t="s">
        <v>687</v>
      </c>
      <c r="N15" s="275">
        <v>8</v>
      </c>
      <c r="O15" s="275">
        <v>10</v>
      </c>
      <c r="P15" s="275"/>
      <c r="Q15" s="275"/>
      <c r="R15" s="275">
        <v>5</v>
      </c>
      <c r="S15" s="276" t="s">
        <v>688</v>
      </c>
      <c r="T15" s="286"/>
    </row>
    <row r="16" spans="2:21" ht="16" thickBot="1" x14ac:dyDescent="0.25">
      <c r="L16" s="349"/>
      <c r="M16" s="277" t="s">
        <v>689</v>
      </c>
      <c r="N16" s="278" t="s">
        <v>690</v>
      </c>
      <c r="O16" s="278" t="s">
        <v>691</v>
      </c>
      <c r="P16" s="278"/>
      <c r="Q16" s="278"/>
      <c r="R16" s="278">
        <v>0.56999999999999995</v>
      </c>
      <c r="S16" s="279"/>
      <c r="T16" s="286"/>
    </row>
    <row r="17" spans="6:20" x14ac:dyDescent="0.2">
      <c r="L17" s="348" t="s">
        <v>692</v>
      </c>
      <c r="M17" s="274" t="s">
        <v>687</v>
      </c>
      <c r="N17" s="275">
        <v>8</v>
      </c>
      <c r="O17" s="275">
        <v>7</v>
      </c>
      <c r="P17" s="275"/>
      <c r="Q17" s="275"/>
      <c r="R17" s="275">
        <v>0</v>
      </c>
      <c r="S17" s="276" t="s">
        <v>693</v>
      </c>
      <c r="T17" s="286"/>
    </row>
    <row r="18" spans="6:20" ht="17" thickBot="1" x14ac:dyDescent="0.25">
      <c r="F18" s="269" t="s">
        <v>575</v>
      </c>
      <c r="G18" s="269" t="s">
        <v>586</v>
      </c>
      <c r="H18" s="269" t="s">
        <v>10</v>
      </c>
      <c r="L18" s="349"/>
      <c r="M18" s="277" t="s">
        <v>694</v>
      </c>
      <c r="N18" s="278" t="s">
        <v>695</v>
      </c>
      <c r="O18" s="278" t="s">
        <v>696</v>
      </c>
      <c r="P18" s="278"/>
      <c r="Q18" s="278"/>
      <c r="R18" s="278">
        <v>0.4</v>
      </c>
      <c r="S18" s="279"/>
      <c r="T18" s="286"/>
    </row>
    <row r="19" spans="6:20" x14ac:dyDescent="0.2">
      <c r="F19" s="110" t="s">
        <v>161</v>
      </c>
      <c r="G19" s="17">
        <v>1125000</v>
      </c>
      <c r="H19" s="108">
        <f>+G19/$G$29</f>
        <v>0.41178623718887264</v>
      </c>
    </row>
    <row r="20" spans="6:20" x14ac:dyDescent="0.2">
      <c r="F20" s="110" t="s">
        <v>202</v>
      </c>
      <c r="G20" s="17">
        <v>380000</v>
      </c>
      <c r="H20" s="108">
        <f t="shared" ref="H20:H29" si="1">+G20/$G$29</f>
        <v>0.13909224011713031</v>
      </c>
    </row>
    <row r="21" spans="6:20" x14ac:dyDescent="0.2">
      <c r="F21" s="110" t="s">
        <v>352</v>
      </c>
      <c r="G21" s="17">
        <v>240000</v>
      </c>
      <c r="H21" s="108">
        <f t="shared" si="1"/>
        <v>8.7847730600292828E-2</v>
      </c>
      <c r="N21" t="s">
        <v>49</v>
      </c>
      <c r="O21" s="168">
        <f>0.66/2.4</f>
        <v>0.27500000000000002</v>
      </c>
    </row>
    <row r="22" spans="6:20" x14ac:dyDescent="0.2">
      <c r="F22" s="110" t="s">
        <v>110</v>
      </c>
      <c r="G22" s="17">
        <v>236000</v>
      </c>
      <c r="H22" s="108">
        <f t="shared" si="1"/>
        <v>8.6383601756954614E-2</v>
      </c>
      <c r="N22" t="s">
        <v>0</v>
      </c>
      <c r="O22" s="168">
        <f>1.5/2.4</f>
        <v>0.625</v>
      </c>
    </row>
    <row r="23" spans="6:20" x14ac:dyDescent="0.2">
      <c r="F23" s="110" t="s">
        <v>502</v>
      </c>
      <c r="G23" s="17">
        <v>200000</v>
      </c>
      <c r="H23" s="108">
        <f t="shared" si="1"/>
        <v>7.320644216691069E-2</v>
      </c>
    </row>
    <row r="24" spans="6:20" x14ac:dyDescent="0.2">
      <c r="F24" s="110" t="s">
        <v>366</v>
      </c>
      <c r="G24" s="17">
        <v>180000</v>
      </c>
      <c r="H24" s="108">
        <f t="shared" si="1"/>
        <v>6.5885797950219621E-2</v>
      </c>
    </row>
    <row r="25" spans="6:20" x14ac:dyDescent="0.2">
      <c r="F25" s="110" t="s">
        <v>68</v>
      </c>
      <c r="G25" s="17">
        <v>120000</v>
      </c>
      <c r="H25" s="108">
        <f t="shared" si="1"/>
        <v>4.3923865300146414E-2</v>
      </c>
    </row>
    <row r="26" spans="6:20" x14ac:dyDescent="0.2">
      <c r="F26" s="110" t="s">
        <v>106</v>
      </c>
      <c r="G26" s="17">
        <v>120000</v>
      </c>
      <c r="H26" s="108">
        <f t="shared" si="1"/>
        <v>4.3923865300146414E-2</v>
      </c>
    </row>
    <row r="27" spans="6:20" x14ac:dyDescent="0.2">
      <c r="F27" s="110" t="s">
        <v>292</v>
      </c>
      <c r="G27" s="17">
        <v>116000</v>
      </c>
      <c r="H27" s="108">
        <f t="shared" si="1"/>
        <v>4.24597364568082E-2</v>
      </c>
    </row>
    <row r="28" spans="6:20" x14ac:dyDescent="0.2">
      <c r="F28" s="110" t="s">
        <v>81</v>
      </c>
      <c r="G28" s="17">
        <v>15000</v>
      </c>
      <c r="H28" s="108">
        <f t="shared" si="1"/>
        <v>5.4904831625183018E-3</v>
      </c>
    </row>
    <row r="29" spans="6:20" x14ac:dyDescent="0.2">
      <c r="F29" s="287" t="s">
        <v>58</v>
      </c>
      <c r="G29" s="17">
        <v>2732000</v>
      </c>
      <c r="H29" s="108">
        <f t="shared" si="1"/>
        <v>1</v>
      </c>
    </row>
    <row r="45" spans="12:14" x14ac:dyDescent="0.2">
      <c r="L45" s="267" t="s">
        <v>575</v>
      </c>
      <c r="M45" s="267" t="s">
        <v>586</v>
      </c>
    </row>
    <row r="46" spans="12:14" x14ac:dyDescent="0.2">
      <c r="L46" s="110" t="s">
        <v>393</v>
      </c>
      <c r="M46">
        <v>56000</v>
      </c>
      <c r="N46" s="168">
        <f>+M46/$M$50</f>
        <v>2.0497803806734993E-2</v>
      </c>
    </row>
    <row r="47" spans="12:14" x14ac:dyDescent="0.2">
      <c r="L47" s="110" t="s">
        <v>486</v>
      </c>
      <c r="M47">
        <v>2071000</v>
      </c>
      <c r="N47" s="168">
        <f t="shared" ref="N47:N49" si="2">+M47/$M$50</f>
        <v>0.75805270863836016</v>
      </c>
    </row>
    <row r="48" spans="12:14" x14ac:dyDescent="0.2">
      <c r="L48" s="110" t="s">
        <v>390</v>
      </c>
      <c r="M48">
        <v>395000</v>
      </c>
      <c r="N48" s="168">
        <f t="shared" si="2"/>
        <v>0.14458272327964861</v>
      </c>
    </row>
    <row r="49" spans="12:14" x14ac:dyDescent="0.2">
      <c r="L49" s="110" t="s">
        <v>391</v>
      </c>
      <c r="M49">
        <v>210000</v>
      </c>
      <c r="N49" s="168">
        <f t="shared" si="2"/>
        <v>7.6866764275256225E-2</v>
      </c>
    </row>
    <row r="50" spans="12:14" x14ac:dyDescent="0.2">
      <c r="M50">
        <f>+SUM(M46:M49)</f>
        <v>2732000</v>
      </c>
    </row>
    <row r="55" spans="12:14" x14ac:dyDescent="0.2">
      <c r="L55" s="110" t="s">
        <v>50</v>
      </c>
      <c r="M55">
        <v>921000</v>
      </c>
      <c r="N55" s="168">
        <f>+M55/$M$58</f>
        <v>0.33711566617862371</v>
      </c>
    </row>
    <row r="56" spans="12:14" x14ac:dyDescent="0.2">
      <c r="L56" s="110" t="s">
        <v>52</v>
      </c>
      <c r="M56">
        <v>380000</v>
      </c>
      <c r="N56" s="168">
        <f t="shared" ref="N56:N57" si="3">+M56/$M$58</f>
        <v>0.13909224011713031</v>
      </c>
    </row>
    <row r="57" spans="12:14" x14ac:dyDescent="0.2">
      <c r="L57" s="110" t="s">
        <v>53</v>
      </c>
      <c r="M57">
        <v>1431000</v>
      </c>
      <c r="N57" s="168">
        <f t="shared" si="3"/>
        <v>0.52379209370424595</v>
      </c>
    </row>
    <row r="58" spans="12:14" x14ac:dyDescent="0.2">
      <c r="M58">
        <f>+SUM(M55:M57)</f>
        <v>2732000</v>
      </c>
    </row>
  </sheetData>
  <mergeCells count="2">
    <mergeCell ref="L15:L16"/>
    <mergeCell ref="L17:L18"/>
  </mergeCell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3871-0EC3-491A-B672-854162AB0D28}">
  <dimension ref="A1:O17"/>
  <sheetViews>
    <sheetView workbookViewId="0">
      <selection activeCell="G26" sqref="G26"/>
    </sheetView>
  </sheetViews>
  <sheetFormatPr baseColWidth="10" defaultColWidth="11.5" defaultRowHeight="15" x14ac:dyDescent="0.2"/>
  <cols>
    <col min="3" max="3" width="53.83203125" customWidth="1"/>
    <col min="6" max="6" width="15.1640625" customWidth="1"/>
  </cols>
  <sheetData>
    <row r="1" spans="1:15" x14ac:dyDescent="0.2">
      <c r="A1" s="281" t="s">
        <v>59</v>
      </c>
      <c r="B1" s="281" t="s">
        <v>39</v>
      </c>
      <c r="C1" s="282" t="s">
        <v>66</v>
      </c>
      <c r="D1" s="281" t="s">
        <v>64</v>
      </c>
      <c r="E1" s="281" t="s">
        <v>65</v>
      </c>
      <c r="F1" s="281" t="s">
        <v>388</v>
      </c>
      <c r="G1" s="283" t="s">
        <v>67</v>
      </c>
      <c r="H1" s="283" t="s">
        <v>620</v>
      </c>
      <c r="I1" s="283" t="s">
        <v>67</v>
      </c>
      <c r="J1" s="283"/>
      <c r="K1" s="283"/>
      <c r="L1" s="145" t="s">
        <v>340</v>
      </c>
      <c r="M1" s="145" t="s">
        <v>397</v>
      </c>
      <c r="N1" s="145" t="s">
        <v>61</v>
      </c>
      <c r="O1" s="145" t="s">
        <v>484</v>
      </c>
    </row>
    <row r="2" spans="1:15" x14ac:dyDescent="0.2">
      <c r="A2" s="149">
        <v>1</v>
      </c>
      <c r="B2" s="150" t="s">
        <v>56</v>
      </c>
      <c r="C2" s="155" t="s">
        <v>656</v>
      </c>
      <c r="D2" s="150" t="s">
        <v>352</v>
      </c>
      <c r="E2" s="150" t="s">
        <v>136</v>
      </c>
      <c r="F2" s="150" t="s">
        <v>349</v>
      </c>
      <c r="G2" s="153">
        <v>110000</v>
      </c>
      <c r="H2" s="284">
        <v>0.8</v>
      </c>
      <c r="I2" s="153">
        <f>+H2*G2</f>
        <v>88000</v>
      </c>
      <c r="J2" s="153"/>
      <c r="K2" s="153"/>
      <c r="L2" s="150">
        <v>3</v>
      </c>
      <c r="M2" s="153">
        <v>53333.333333333336</v>
      </c>
      <c r="N2" s="150" t="s">
        <v>50</v>
      </c>
      <c r="O2" s="150" t="s">
        <v>12</v>
      </c>
    </row>
    <row r="3" spans="1:15" x14ac:dyDescent="0.2">
      <c r="A3" s="149">
        <v>2</v>
      </c>
      <c r="B3" s="152" t="s">
        <v>51</v>
      </c>
      <c r="C3" s="154" t="s">
        <v>663</v>
      </c>
      <c r="D3" s="152" t="s">
        <v>226</v>
      </c>
      <c r="E3" s="152"/>
      <c r="F3" s="152" t="s">
        <v>346</v>
      </c>
      <c r="G3" s="153">
        <v>118000</v>
      </c>
      <c r="H3" s="284">
        <v>0.8</v>
      </c>
      <c r="I3" s="153">
        <f t="shared" ref="I3:I5" si="0">+H3*G3</f>
        <v>94400</v>
      </c>
      <c r="J3" s="153"/>
      <c r="K3" s="153"/>
      <c r="L3" s="152">
        <v>3</v>
      </c>
      <c r="M3" s="153">
        <v>39333.333333333336</v>
      </c>
      <c r="N3" s="152" t="s">
        <v>53</v>
      </c>
      <c r="O3" s="152" t="s">
        <v>476</v>
      </c>
    </row>
    <row r="4" spans="1:15" x14ac:dyDescent="0.2">
      <c r="A4" s="149">
        <v>3</v>
      </c>
      <c r="B4" s="152" t="s">
        <v>49</v>
      </c>
      <c r="C4" s="154" t="s">
        <v>665</v>
      </c>
      <c r="D4" s="152" t="s">
        <v>106</v>
      </c>
      <c r="E4" s="152" t="s">
        <v>107</v>
      </c>
      <c r="F4" s="152" t="s">
        <v>341</v>
      </c>
      <c r="G4" s="153">
        <v>200000</v>
      </c>
      <c r="H4" s="284">
        <v>0.8</v>
      </c>
      <c r="I4" s="153">
        <f t="shared" si="0"/>
        <v>160000</v>
      </c>
      <c r="J4" s="153"/>
      <c r="K4" s="153"/>
      <c r="L4" s="152">
        <v>3</v>
      </c>
      <c r="M4" s="153">
        <v>66666.666666666672</v>
      </c>
      <c r="N4" s="152" t="s">
        <v>53</v>
      </c>
      <c r="O4" s="152" t="s">
        <v>476</v>
      </c>
    </row>
    <row r="5" spans="1:15" x14ac:dyDescent="0.2">
      <c r="A5" s="149">
        <v>4</v>
      </c>
      <c r="B5" s="150" t="s">
        <v>49</v>
      </c>
      <c r="C5" s="253" t="s">
        <v>657</v>
      </c>
      <c r="D5" s="150" t="s">
        <v>106</v>
      </c>
      <c r="E5" s="150" t="s">
        <v>383</v>
      </c>
      <c r="F5" s="150" t="s">
        <v>344</v>
      </c>
      <c r="G5" s="153">
        <v>240000</v>
      </c>
      <c r="H5" s="284">
        <v>0.5</v>
      </c>
      <c r="I5" s="153">
        <f t="shared" si="0"/>
        <v>120000</v>
      </c>
      <c r="J5" s="153"/>
      <c r="K5" s="153"/>
      <c r="L5" s="150">
        <v>5</v>
      </c>
      <c r="M5" s="153">
        <v>48000</v>
      </c>
      <c r="N5" s="150" t="s">
        <v>53</v>
      </c>
      <c r="O5" s="150" t="s">
        <v>12</v>
      </c>
    </row>
    <row r="6" spans="1:15" s="1" customFormat="1" ht="16" thickBot="1" x14ac:dyDescent="0.25"/>
    <row r="7" spans="1:15" x14ac:dyDescent="0.2">
      <c r="A7" s="350" t="s">
        <v>602</v>
      </c>
      <c r="B7" s="350"/>
      <c r="C7" s="350"/>
      <c r="D7" s="350"/>
      <c r="E7" s="350"/>
      <c r="F7" s="350"/>
      <c r="G7" s="280">
        <f>+SUM(G2:G5)</f>
        <v>668000</v>
      </c>
      <c r="H7" s="283" t="s">
        <v>620</v>
      </c>
      <c r="I7" s="280">
        <f>+SUM(I2:I5)</f>
        <v>462400</v>
      </c>
      <c r="J7" s="280"/>
      <c r="K7" s="280"/>
    </row>
    <row r="8" spans="1:15" x14ac:dyDescent="0.2">
      <c r="A8" s="149">
        <v>4</v>
      </c>
      <c r="B8" s="150" t="s">
        <v>49</v>
      </c>
      <c r="C8" s="264" t="s">
        <v>374</v>
      </c>
      <c r="D8" s="149" t="s">
        <v>81</v>
      </c>
      <c r="E8" s="151" t="s">
        <v>90</v>
      </c>
      <c r="F8" s="153" t="s">
        <v>348</v>
      </c>
      <c r="G8" s="153">
        <v>170000</v>
      </c>
      <c r="H8" s="284">
        <v>0.8</v>
      </c>
      <c r="I8" s="153">
        <f t="shared" ref="I8:I16" si="1">+H8*G8</f>
        <v>136000</v>
      </c>
      <c r="J8" s="153"/>
      <c r="K8" s="153"/>
      <c r="L8" s="149">
        <v>3</v>
      </c>
      <c r="M8" s="153">
        <v>56666.666666666664</v>
      </c>
      <c r="N8" s="149" t="s">
        <v>50</v>
      </c>
      <c r="O8" s="152" t="s">
        <v>343</v>
      </c>
    </row>
    <row r="9" spans="1:15" x14ac:dyDescent="0.2">
      <c r="A9" s="149">
        <v>17</v>
      </c>
      <c r="B9" s="152" t="s">
        <v>49</v>
      </c>
      <c r="C9" s="154" t="s">
        <v>387</v>
      </c>
      <c r="D9" s="152" t="s">
        <v>68</v>
      </c>
      <c r="E9" s="152" t="s">
        <v>69</v>
      </c>
      <c r="F9" s="152" t="s">
        <v>351</v>
      </c>
      <c r="G9" s="153">
        <v>1380000</v>
      </c>
      <c r="H9" s="284">
        <v>0.5</v>
      </c>
      <c r="I9" s="153">
        <f t="shared" si="1"/>
        <v>690000</v>
      </c>
      <c r="J9" s="153"/>
      <c r="K9" s="153"/>
      <c r="L9" s="152">
        <v>5</v>
      </c>
      <c r="M9" s="153">
        <v>276000</v>
      </c>
      <c r="N9" s="152" t="s">
        <v>50</v>
      </c>
      <c r="O9" s="152" t="s">
        <v>354</v>
      </c>
    </row>
    <row r="10" spans="1:15" x14ac:dyDescent="0.2">
      <c r="A10" s="149">
        <v>66</v>
      </c>
      <c r="B10" s="150" t="s">
        <v>49</v>
      </c>
      <c r="C10" s="253" t="s">
        <v>664</v>
      </c>
      <c r="D10" s="150" t="s">
        <v>68</v>
      </c>
      <c r="E10" s="150" t="s">
        <v>70</v>
      </c>
      <c r="F10" s="150" t="s">
        <v>344</v>
      </c>
      <c r="G10" s="153">
        <v>200000</v>
      </c>
      <c r="H10" s="284">
        <v>0.5</v>
      </c>
      <c r="I10" s="153">
        <f t="shared" si="1"/>
        <v>100000</v>
      </c>
      <c r="J10" s="153"/>
      <c r="K10" s="153"/>
      <c r="L10" s="150">
        <v>3</v>
      </c>
      <c r="M10" s="153">
        <v>66666.666666666672</v>
      </c>
      <c r="N10" s="150" t="s">
        <v>53</v>
      </c>
      <c r="O10" s="150" t="s">
        <v>12</v>
      </c>
    </row>
    <row r="11" spans="1:15" x14ac:dyDescent="0.2">
      <c r="A11" s="149">
        <v>83</v>
      </c>
      <c r="B11" s="152" t="s">
        <v>49</v>
      </c>
      <c r="C11" s="254" t="s">
        <v>563</v>
      </c>
      <c r="D11" s="152" t="s">
        <v>68</v>
      </c>
      <c r="E11" s="152" t="s">
        <v>69</v>
      </c>
      <c r="F11" s="152" t="s">
        <v>353</v>
      </c>
      <c r="G11" s="153">
        <v>390000</v>
      </c>
      <c r="H11" s="284">
        <v>0.8</v>
      </c>
      <c r="I11" s="153">
        <f t="shared" si="1"/>
        <v>312000</v>
      </c>
      <c r="J11" s="153"/>
      <c r="K11" s="153"/>
      <c r="L11" s="152">
        <v>3</v>
      </c>
      <c r="M11" s="153">
        <v>130000</v>
      </c>
      <c r="N11" s="150" t="s">
        <v>50</v>
      </c>
      <c r="O11" s="152"/>
    </row>
    <row r="12" spans="1:15" x14ac:dyDescent="0.2">
      <c r="A12" s="149">
        <v>87</v>
      </c>
      <c r="B12" s="152" t="s">
        <v>49</v>
      </c>
      <c r="C12" s="253" t="s">
        <v>571</v>
      </c>
      <c r="D12" s="152" t="s">
        <v>81</v>
      </c>
      <c r="E12" s="152" t="s">
        <v>82</v>
      </c>
      <c r="F12" s="152" t="s">
        <v>348</v>
      </c>
      <c r="G12" s="153">
        <v>646000</v>
      </c>
      <c r="H12" s="284">
        <v>0.5</v>
      </c>
      <c r="I12" s="153">
        <f t="shared" si="1"/>
        <v>323000</v>
      </c>
      <c r="J12" s="153"/>
      <c r="K12" s="153"/>
      <c r="L12" s="152">
        <v>18</v>
      </c>
      <c r="M12" s="153">
        <v>35888.888888888891</v>
      </c>
      <c r="N12" s="150" t="s">
        <v>50</v>
      </c>
      <c r="O12" s="152"/>
    </row>
    <row r="13" spans="1:15" x14ac:dyDescent="0.2">
      <c r="A13" s="149">
        <v>39</v>
      </c>
      <c r="B13" s="150" t="s">
        <v>51</v>
      </c>
      <c r="C13" s="155" t="s">
        <v>659</v>
      </c>
      <c r="D13" s="150" t="s">
        <v>207</v>
      </c>
      <c r="E13" s="151" t="s">
        <v>511</v>
      </c>
      <c r="F13" s="150" t="s">
        <v>346</v>
      </c>
      <c r="G13" s="153">
        <v>288000</v>
      </c>
      <c r="H13" s="284">
        <v>0.8</v>
      </c>
      <c r="I13" s="153">
        <f t="shared" si="1"/>
        <v>230400</v>
      </c>
      <c r="J13" s="153"/>
      <c r="K13" s="153"/>
      <c r="L13" s="150">
        <v>3</v>
      </c>
      <c r="M13" s="153">
        <v>96000</v>
      </c>
      <c r="N13" s="150" t="s">
        <v>53</v>
      </c>
      <c r="O13" s="150" t="s">
        <v>12</v>
      </c>
    </row>
    <row r="14" spans="1:15" x14ac:dyDescent="0.2">
      <c r="A14" s="149">
        <v>60</v>
      </c>
      <c r="B14" s="150" t="s">
        <v>51</v>
      </c>
      <c r="C14" s="265" t="s">
        <v>666</v>
      </c>
      <c r="D14" s="151" t="s">
        <v>207</v>
      </c>
      <c r="E14" s="151" t="s">
        <v>511</v>
      </c>
      <c r="F14" s="150" t="s">
        <v>496</v>
      </c>
      <c r="G14" s="153">
        <v>72000</v>
      </c>
      <c r="H14" s="284">
        <v>0.8</v>
      </c>
      <c r="I14" s="153">
        <f t="shared" si="1"/>
        <v>57600</v>
      </c>
      <c r="J14" s="153"/>
      <c r="K14" s="153"/>
      <c r="L14" s="150">
        <v>3</v>
      </c>
      <c r="M14" s="153">
        <v>24000</v>
      </c>
      <c r="N14" s="150" t="s">
        <v>53</v>
      </c>
      <c r="O14" s="150" t="s">
        <v>12</v>
      </c>
    </row>
    <row r="15" spans="1:15" x14ac:dyDescent="0.2">
      <c r="A15" s="149">
        <v>112</v>
      </c>
      <c r="B15" s="152" t="s">
        <v>51</v>
      </c>
      <c r="C15" s="154" t="s">
        <v>662</v>
      </c>
      <c r="D15" s="152" t="s">
        <v>202</v>
      </c>
      <c r="E15" s="152" t="s">
        <v>205</v>
      </c>
      <c r="F15" s="152" t="s">
        <v>346</v>
      </c>
      <c r="G15" s="153">
        <v>84000</v>
      </c>
      <c r="H15" s="284">
        <v>0.8</v>
      </c>
      <c r="I15" s="153">
        <f t="shared" si="1"/>
        <v>67200</v>
      </c>
      <c r="J15" s="153"/>
      <c r="K15" s="153"/>
      <c r="L15" s="152">
        <v>3</v>
      </c>
      <c r="M15" s="153">
        <v>28000</v>
      </c>
      <c r="N15" s="150" t="s">
        <v>50</v>
      </c>
      <c r="O15" s="152" t="s">
        <v>12</v>
      </c>
    </row>
    <row r="16" spans="1:15" x14ac:dyDescent="0.2">
      <c r="A16" s="149">
        <v>116</v>
      </c>
      <c r="B16" s="152" t="s">
        <v>51</v>
      </c>
      <c r="C16" s="154" t="s">
        <v>670</v>
      </c>
      <c r="D16" s="152" t="s">
        <v>671</v>
      </c>
      <c r="E16" s="152" t="s">
        <v>672</v>
      </c>
      <c r="F16" s="152" t="s">
        <v>346</v>
      </c>
      <c r="G16" s="153">
        <v>550000</v>
      </c>
      <c r="H16" s="284">
        <v>0.5</v>
      </c>
      <c r="I16" s="153">
        <f t="shared" si="1"/>
        <v>275000</v>
      </c>
      <c r="J16" s="153"/>
      <c r="K16" s="153"/>
      <c r="L16" s="152">
        <v>6</v>
      </c>
      <c r="M16" s="153">
        <v>91666.666666666672</v>
      </c>
      <c r="N16" s="152" t="s">
        <v>53</v>
      </c>
      <c r="O16" s="152" t="s">
        <v>476</v>
      </c>
    </row>
    <row r="17" spans="1:11" x14ac:dyDescent="0.2">
      <c r="A17" s="350" t="s">
        <v>410</v>
      </c>
      <c r="B17" s="350"/>
      <c r="C17" s="350"/>
      <c r="D17" s="350"/>
      <c r="E17" s="350"/>
      <c r="F17" s="350"/>
      <c r="G17" s="280">
        <f>+SUM(G8:G16)</f>
        <v>3780000</v>
      </c>
      <c r="H17" s="280"/>
      <c r="I17" s="280">
        <f>+SUM(I8:I16)</f>
        <v>2191200</v>
      </c>
      <c r="J17" s="280"/>
      <c r="K17" s="280"/>
    </row>
  </sheetData>
  <mergeCells count="2">
    <mergeCell ref="A7:F7"/>
    <mergeCell ref="A17:F17"/>
  </mergeCells>
  <dataValidations count="1">
    <dataValidation allowBlank="1" showInputMessage="1" showErrorMessage="1" error="Probabilidad debe ser entre 0 y 100" sqref="L1:N1" xr:uid="{035F90B3-AE7A-436E-9A5C-C26DCAABF677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B4C4408-36A6-4470-80B8-F0FAB2A1E2FD}">
          <x14:formula1>
            <xm:f>Categorias!$C$43:$C$48</xm:f>
          </x14:formula1>
          <xm:sqref>O2:O5 O8:O16</xm:sqref>
        </x14:dataValidation>
        <x14:dataValidation type="list" allowBlank="1" showInputMessage="1" showErrorMessage="1" xr:uid="{BC3FCDEA-CEC4-4321-9DBE-02983732955C}">
          <x14:formula1>
            <xm:f>Categorias!$C$32:$C$35</xm:f>
          </x14:formula1>
          <xm:sqref>N2:N5 N8:N16</xm:sqref>
        </x14:dataValidation>
        <x14:dataValidation type="list" allowBlank="1" showInputMessage="1" showErrorMessage="1" xr:uid="{BF4575D3-4C16-497B-AFCA-4450C6407407}">
          <x14:formula1>
            <xm:f>Categorias!$C$15:$C$29</xm:f>
          </x14:formula1>
          <xm:sqref>F2:F5 F8:F16</xm:sqref>
        </x14:dataValidation>
        <x14:dataValidation type="list" allowBlank="1" showInputMessage="1" showErrorMessage="1" xr:uid="{E328D9D5-DD5F-40D9-B5D5-F5D885543CF9}">
          <x14:formula1>
            <xm:f>Categorias!$C$2:$C$5</xm:f>
          </x14:formula1>
          <xm:sqref>B2:B5 B8:B16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F6FE-2E52-420A-8BF8-1905029DEA4D}">
  <dimension ref="A2:AN104"/>
  <sheetViews>
    <sheetView topLeftCell="P1" zoomScale="116" zoomScaleNormal="100" workbookViewId="0">
      <selection activeCell="Y100" sqref="Y100"/>
    </sheetView>
  </sheetViews>
  <sheetFormatPr baseColWidth="10" defaultColWidth="11.5" defaultRowHeight="15" x14ac:dyDescent="0.2"/>
  <cols>
    <col min="4" max="4" width="24.6640625" customWidth="1"/>
    <col min="5" max="5" width="17" bestFit="1" customWidth="1"/>
    <col min="7" max="7" width="16.33203125" customWidth="1"/>
    <col min="16" max="16" width="16.6640625" customWidth="1"/>
    <col min="23" max="23" width="13.5" customWidth="1"/>
    <col min="31" max="31" width="14.5" customWidth="1"/>
  </cols>
  <sheetData>
    <row r="2" spans="3:40" ht="16" thickBot="1" x14ac:dyDescent="0.25">
      <c r="C2" s="351" t="s">
        <v>628</v>
      </c>
      <c r="D2" s="351"/>
      <c r="E2" s="351"/>
      <c r="F2" s="351"/>
      <c r="G2" s="351"/>
      <c r="R2" s="351" t="s">
        <v>633</v>
      </c>
      <c r="S2" s="351"/>
      <c r="T2" s="351"/>
      <c r="U2" s="351"/>
      <c r="V2" s="351"/>
    </row>
    <row r="3" spans="3:40" ht="16" thickBot="1" x14ac:dyDescent="0.25">
      <c r="C3" s="237" t="s">
        <v>337</v>
      </c>
      <c r="D3" s="237">
        <v>45658</v>
      </c>
      <c r="E3" s="237">
        <v>45689</v>
      </c>
      <c r="F3" s="237">
        <v>45717</v>
      </c>
      <c r="G3" s="237">
        <v>45748</v>
      </c>
      <c r="H3" s="237">
        <v>45778</v>
      </c>
      <c r="I3" s="237">
        <v>45809</v>
      </c>
      <c r="J3" s="237">
        <v>45839</v>
      </c>
      <c r="K3" s="237">
        <v>45870</v>
      </c>
      <c r="L3" s="237">
        <v>45901</v>
      </c>
      <c r="M3" s="237">
        <v>45931</v>
      </c>
      <c r="N3" s="237">
        <v>45962</v>
      </c>
      <c r="O3" s="237">
        <v>45992</v>
      </c>
      <c r="P3" s="217" t="s">
        <v>34</v>
      </c>
      <c r="R3" s="237" t="s">
        <v>337</v>
      </c>
      <c r="S3" s="237">
        <v>45658</v>
      </c>
      <c r="T3" s="237">
        <v>45689</v>
      </c>
      <c r="U3" s="237">
        <v>45717</v>
      </c>
      <c r="V3" s="237">
        <v>45748</v>
      </c>
      <c r="W3" s="237">
        <v>45778</v>
      </c>
      <c r="X3" s="237">
        <v>45809</v>
      </c>
      <c r="Y3" s="237">
        <v>45839</v>
      </c>
      <c r="Z3" s="237">
        <v>45870</v>
      </c>
      <c r="AA3" s="237">
        <v>45901</v>
      </c>
      <c r="AB3" s="237">
        <v>45931</v>
      </c>
      <c r="AC3" s="237">
        <v>45962</v>
      </c>
      <c r="AD3" s="237">
        <v>45992</v>
      </c>
      <c r="AE3" s="217" t="s">
        <v>34</v>
      </c>
    </row>
    <row r="4" spans="3:40" ht="16" thickBot="1" x14ac:dyDescent="0.25">
      <c r="C4" s="235" t="s">
        <v>605</v>
      </c>
      <c r="D4" s="231">
        <v>753937</v>
      </c>
      <c r="E4" s="231">
        <v>565714</v>
      </c>
      <c r="F4" s="231">
        <v>326816</v>
      </c>
      <c r="G4" s="232">
        <v>326816</v>
      </c>
      <c r="H4" s="232">
        <v>191513</v>
      </c>
      <c r="I4" s="232">
        <v>191513</v>
      </c>
      <c r="J4" s="232">
        <v>161442</v>
      </c>
      <c r="K4" s="232">
        <v>19435</v>
      </c>
      <c r="L4" s="232">
        <v>19435</v>
      </c>
      <c r="M4" s="232">
        <v>19435</v>
      </c>
      <c r="N4" s="232">
        <v>19435</v>
      </c>
      <c r="O4" s="232">
        <v>19435</v>
      </c>
      <c r="P4" s="218">
        <f>+SUM(D4:O4)</f>
        <v>2614926</v>
      </c>
      <c r="R4" s="235" t="s">
        <v>605</v>
      </c>
      <c r="S4" s="231">
        <v>0</v>
      </c>
      <c r="T4" s="231">
        <v>0</v>
      </c>
      <c r="U4" s="231">
        <v>0</v>
      </c>
      <c r="V4" s="231">
        <v>0</v>
      </c>
      <c r="W4" s="231">
        <v>0</v>
      </c>
      <c r="X4" s="231">
        <v>0</v>
      </c>
      <c r="Y4" s="231">
        <v>0</v>
      </c>
      <c r="Z4" s="231">
        <v>0</v>
      </c>
      <c r="AA4" s="231">
        <v>0</v>
      </c>
      <c r="AB4" s="231">
        <v>0</v>
      </c>
      <c r="AC4" s="231">
        <v>0</v>
      </c>
      <c r="AD4" s="231">
        <v>0</v>
      </c>
      <c r="AE4" s="218">
        <f>+SUM(S4:AD4)</f>
        <v>0</v>
      </c>
    </row>
    <row r="5" spans="3:40" ht="16" thickBot="1" x14ac:dyDescent="0.25">
      <c r="C5" s="235" t="s">
        <v>603</v>
      </c>
      <c r="D5" s="234"/>
      <c r="E5" s="234">
        <f>+J21</f>
        <v>277666.66666666669</v>
      </c>
      <c r="F5" s="234">
        <f t="shared" ref="F5:O5" si="0">+K21</f>
        <v>327666.66666666669</v>
      </c>
      <c r="G5" s="234">
        <f t="shared" si="0"/>
        <v>252666.66666666669</v>
      </c>
      <c r="H5" s="234">
        <f t="shared" si="0"/>
        <v>36000</v>
      </c>
      <c r="I5" s="234">
        <f t="shared" si="0"/>
        <v>36000</v>
      </c>
      <c r="J5" s="234">
        <f t="shared" si="0"/>
        <v>0</v>
      </c>
      <c r="K5" s="234">
        <f t="shared" si="0"/>
        <v>0</v>
      </c>
      <c r="L5" s="234">
        <f t="shared" si="0"/>
        <v>0</v>
      </c>
      <c r="M5" s="234">
        <f t="shared" si="0"/>
        <v>0</v>
      </c>
      <c r="N5" s="234">
        <f t="shared" si="0"/>
        <v>0</v>
      </c>
      <c r="O5" s="234">
        <f t="shared" si="0"/>
        <v>0</v>
      </c>
      <c r="P5" s="218">
        <f>+SUM(D5:O5)</f>
        <v>930000</v>
      </c>
      <c r="R5" s="235" t="s">
        <v>603</v>
      </c>
      <c r="S5" s="234">
        <v>930000</v>
      </c>
      <c r="T5" s="231">
        <v>0</v>
      </c>
      <c r="U5" s="231">
        <v>0</v>
      </c>
      <c r="V5" s="231">
        <v>0</v>
      </c>
      <c r="W5" s="231">
        <v>0</v>
      </c>
      <c r="X5" s="231">
        <v>0</v>
      </c>
      <c r="Y5" s="231">
        <v>0</v>
      </c>
      <c r="Z5" s="231">
        <v>0</v>
      </c>
      <c r="AA5" s="231">
        <v>0</v>
      </c>
      <c r="AB5" s="231">
        <v>0</v>
      </c>
      <c r="AC5" s="231">
        <v>0</v>
      </c>
      <c r="AD5" s="231">
        <v>0</v>
      </c>
      <c r="AE5" s="218">
        <f>+SUM(S5:AD5)</f>
        <v>930000</v>
      </c>
    </row>
    <row r="6" spans="3:40" ht="16" thickBot="1" x14ac:dyDescent="0.25">
      <c r="C6" s="235" t="s">
        <v>604</v>
      </c>
      <c r="D6" s="234">
        <f>+J43</f>
        <v>0</v>
      </c>
      <c r="E6" s="234">
        <f t="shared" ref="E6:O6" si="1">+K43</f>
        <v>0</v>
      </c>
      <c r="F6" s="234">
        <f t="shared" si="1"/>
        <v>244561.66666666669</v>
      </c>
      <c r="G6" s="234">
        <f>+M43</f>
        <v>460753.33333333337</v>
      </c>
      <c r="H6" s="234">
        <f t="shared" si="1"/>
        <v>631753.33333333337</v>
      </c>
      <c r="I6" s="234">
        <f t="shared" si="1"/>
        <v>496866.66666666669</v>
      </c>
      <c r="J6" s="234">
        <f t="shared" si="1"/>
        <v>427960</v>
      </c>
      <c r="K6" s="234">
        <f t="shared" si="1"/>
        <v>342626.66666666663</v>
      </c>
      <c r="L6" s="234">
        <f t="shared" si="1"/>
        <v>342626.66666666663</v>
      </c>
      <c r="M6" s="234">
        <f t="shared" si="1"/>
        <v>310541.66666666663</v>
      </c>
      <c r="N6" s="234">
        <f t="shared" si="1"/>
        <v>134875</v>
      </c>
      <c r="O6" s="234">
        <f t="shared" si="1"/>
        <v>134875</v>
      </c>
      <c r="P6" s="218">
        <f>+SUM(D6:O6)</f>
        <v>3527439.9999999995</v>
      </c>
      <c r="R6" s="235" t="s">
        <v>604</v>
      </c>
      <c r="S6" s="234"/>
      <c r="T6" s="234">
        <v>1008000</v>
      </c>
      <c r="U6" s="234">
        <v>1590000</v>
      </c>
      <c r="V6" s="234">
        <v>1406000</v>
      </c>
      <c r="W6" s="231">
        <v>0</v>
      </c>
      <c r="X6" s="231">
        <v>0</v>
      </c>
      <c r="Y6" s="231">
        <v>0</v>
      </c>
      <c r="Z6" s="231">
        <v>0</v>
      </c>
      <c r="AA6" s="231">
        <v>0</v>
      </c>
      <c r="AB6" s="231">
        <v>0</v>
      </c>
      <c r="AC6" s="231">
        <v>0</v>
      </c>
      <c r="AD6" s="231">
        <v>0</v>
      </c>
      <c r="AE6" s="218">
        <f>+SUM(S6:AD6)</f>
        <v>4004000</v>
      </c>
    </row>
    <row r="7" spans="3:40" ht="16" thickBot="1" x14ac:dyDescent="0.25">
      <c r="C7" s="235" t="s">
        <v>426</v>
      </c>
      <c r="D7" s="234"/>
      <c r="E7" s="234"/>
      <c r="F7" s="234"/>
      <c r="G7" s="234"/>
      <c r="H7" s="234"/>
      <c r="I7" s="234"/>
      <c r="J7" s="234">
        <f>845000-SUM(J4:J6)</f>
        <v>255598</v>
      </c>
      <c r="K7" s="234">
        <f t="shared" ref="K7:N7" si="2">845000-SUM(K4:K6)</f>
        <v>482938.33333333337</v>
      </c>
      <c r="L7" s="234">
        <f t="shared" si="2"/>
        <v>482938.33333333337</v>
      </c>
      <c r="M7" s="234">
        <f t="shared" si="2"/>
        <v>515023.33333333337</v>
      </c>
      <c r="N7" s="234">
        <f t="shared" si="2"/>
        <v>690690</v>
      </c>
      <c r="O7" s="234">
        <f>+G100-SUM(J7:N7)</f>
        <v>502212</v>
      </c>
      <c r="P7" s="218">
        <f>+SUM(D7:O7)</f>
        <v>2929400</v>
      </c>
      <c r="R7" s="235" t="s">
        <v>426</v>
      </c>
      <c r="S7" s="231">
        <v>0</v>
      </c>
      <c r="T7" s="231">
        <v>0</v>
      </c>
      <c r="U7" s="231">
        <v>0</v>
      </c>
      <c r="V7" s="231">
        <v>0</v>
      </c>
      <c r="W7" s="234">
        <f>+G100/4</f>
        <v>732350</v>
      </c>
      <c r="X7" s="234">
        <f>+W7</f>
        <v>732350</v>
      </c>
      <c r="Y7" s="234">
        <f>+X7</f>
        <v>732350</v>
      </c>
      <c r="Z7" s="234">
        <f>+Y7</f>
        <v>732350</v>
      </c>
      <c r="AA7" s="231"/>
      <c r="AB7" s="231">
        <v>0</v>
      </c>
      <c r="AC7" s="231">
        <v>0</v>
      </c>
      <c r="AD7" s="231">
        <v>0</v>
      </c>
      <c r="AE7" s="218">
        <f>+SUM(S7:AD7)</f>
        <v>2929400</v>
      </c>
      <c r="AF7" s="63">
        <f>+AE7-G100</f>
        <v>0</v>
      </c>
      <c r="AG7" s="63">
        <f>+AF7/3</f>
        <v>0</v>
      </c>
      <c r="AJ7" s="237" t="s">
        <v>39</v>
      </c>
      <c r="AK7" s="237" t="s">
        <v>41</v>
      </c>
    </row>
    <row r="8" spans="3:40" x14ac:dyDescent="0.2">
      <c r="C8" s="236" t="s">
        <v>34</v>
      </c>
      <c r="D8" s="234">
        <f t="shared" ref="D8:P8" si="3">+SUM(D4:D7)</f>
        <v>753937</v>
      </c>
      <c r="E8" s="234">
        <f t="shared" si="3"/>
        <v>843380.66666666674</v>
      </c>
      <c r="F8" s="234">
        <f t="shared" si="3"/>
        <v>899044.33333333349</v>
      </c>
      <c r="G8" s="234">
        <f t="shared" si="3"/>
        <v>1040236.0000000001</v>
      </c>
      <c r="H8" s="234">
        <f t="shared" si="3"/>
        <v>859266.33333333337</v>
      </c>
      <c r="I8" s="234">
        <f t="shared" si="3"/>
        <v>724379.66666666674</v>
      </c>
      <c r="J8" s="234">
        <f t="shared" si="3"/>
        <v>845000</v>
      </c>
      <c r="K8" s="234">
        <f t="shared" si="3"/>
        <v>845000</v>
      </c>
      <c r="L8" s="234">
        <f t="shared" si="3"/>
        <v>845000</v>
      </c>
      <c r="M8" s="234">
        <f t="shared" si="3"/>
        <v>845000</v>
      </c>
      <c r="N8" s="234">
        <f t="shared" si="3"/>
        <v>845000</v>
      </c>
      <c r="O8" s="234">
        <f t="shared" si="3"/>
        <v>656522</v>
      </c>
      <c r="P8" s="218">
        <f t="shared" si="3"/>
        <v>10001766</v>
      </c>
      <c r="R8" s="235" t="s">
        <v>630</v>
      </c>
      <c r="S8" s="231">
        <v>0</v>
      </c>
      <c r="T8" s="231">
        <v>0</v>
      </c>
      <c r="U8" s="231">
        <v>0</v>
      </c>
      <c r="V8" s="231">
        <v>0</v>
      </c>
      <c r="W8" s="231">
        <v>0</v>
      </c>
      <c r="X8" s="231">
        <v>0</v>
      </c>
      <c r="Y8" s="231">
        <v>0</v>
      </c>
      <c r="Z8" s="234"/>
      <c r="AA8" s="234">
        <v>800000</v>
      </c>
      <c r="AB8" s="234">
        <v>800000</v>
      </c>
      <c r="AC8" s="234">
        <v>800000</v>
      </c>
      <c r="AD8" s="234">
        <f>+AE12-10263400</f>
        <v>536600</v>
      </c>
      <c r="AE8" s="218">
        <f>+SUM(S8:AD8)</f>
        <v>2936600</v>
      </c>
      <c r="AJ8" t="s">
        <v>56</v>
      </c>
      <c r="AK8" s="242">
        <f>+(A29+SUM(A32:A34)+SUM(A75:A86))/1000000</f>
        <v>1.0026200000000001</v>
      </c>
      <c r="AL8" s="168">
        <f>+AK8/$AK$14</f>
        <v>0.13825255891749827</v>
      </c>
      <c r="AN8" s="243">
        <f t="shared" ref="AN8:AN10" si="4">+AL8*$AN$13</f>
        <v>1.4931276363089814</v>
      </c>
    </row>
    <row r="9" spans="3:40" x14ac:dyDescent="0.2"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R9" s="241" t="s">
        <v>631</v>
      </c>
      <c r="S9" s="234">
        <f t="shared" ref="S9:AE9" si="5">+SUM(S4:S7)</f>
        <v>930000</v>
      </c>
      <c r="T9" s="234">
        <f t="shared" si="5"/>
        <v>1008000</v>
      </c>
      <c r="U9" s="234">
        <f t="shared" si="5"/>
        <v>1590000</v>
      </c>
      <c r="V9" s="234">
        <f t="shared" si="5"/>
        <v>1406000</v>
      </c>
      <c r="W9" s="234">
        <f t="shared" si="5"/>
        <v>732350</v>
      </c>
      <c r="X9" s="234">
        <f t="shared" si="5"/>
        <v>732350</v>
      </c>
      <c r="Y9" s="234">
        <f t="shared" si="5"/>
        <v>732350</v>
      </c>
      <c r="Z9" s="234">
        <f t="shared" si="5"/>
        <v>732350</v>
      </c>
      <c r="AA9" s="234">
        <f t="shared" si="5"/>
        <v>0</v>
      </c>
      <c r="AB9" s="234">
        <f t="shared" si="5"/>
        <v>0</v>
      </c>
      <c r="AC9" s="234">
        <f t="shared" si="5"/>
        <v>0</v>
      </c>
      <c r="AD9" s="234">
        <f t="shared" si="5"/>
        <v>0</v>
      </c>
      <c r="AE9" s="218">
        <f t="shared" si="5"/>
        <v>7863400</v>
      </c>
      <c r="AJ9" t="s">
        <v>49</v>
      </c>
      <c r="AK9" s="242">
        <f>(SUM(G17:G19)+SUM(A26:A28)+A30+SUM(A37:A39)+SUM(A87:A99))/1000000</f>
        <v>3.4525999999999999</v>
      </c>
      <c r="AL9" s="168">
        <f>+AK9/$AK$14</f>
        <v>0.47608344628927662</v>
      </c>
      <c r="AN9" s="243">
        <f t="shared" si="4"/>
        <v>5.1417012199241876</v>
      </c>
    </row>
    <row r="10" spans="3:40" x14ac:dyDescent="0.2"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R10" s="241" t="s">
        <v>34</v>
      </c>
      <c r="S10" s="63">
        <f>+SUM(S4:S8)</f>
        <v>930000</v>
      </c>
      <c r="T10" s="63">
        <f t="shared" ref="T10:AD10" si="6">+SUM(T4:T8)</f>
        <v>1008000</v>
      </c>
      <c r="U10" s="63">
        <f t="shared" si="6"/>
        <v>1590000</v>
      </c>
      <c r="V10" s="63">
        <f t="shared" si="6"/>
        <v>1406000</v>
      </c>
      <c r="W10" s="63">
        <f t="shared" si="6"/>
        <v>732350</v>
      </c>
      <c r="X10" s="63">
        <f t="shared" si="6"/>
        <v>732350</v>
      </c>
      <c r="Y10" s="63">
        <f t="shared" si="6"/>
        <v>732350</v>
      </c>
      <c r="Z10" s="63">
        <f t="shared" si="6"/>
        <v>732350</v>
      </c>
      <c r="AA10" s="63">
        <f t="shared" si="6"/>
        <v>800000</v>
      </c>
      <c r="AB10" s="63">
        <f t="shared" si="6"/>
        <v>800000</v>
      </c>
      <c r="AC10" s="63">
        <f t="shared" si="6"/>
        <v>800000</v>
      </c>
      <c r="AD10" s="63">
        <f t="shared" si="6"/>
        <v>536600</v>
      </c>
      <c r="AE10" s="218">
        <f>+SUM(AE5:AE8)</f>
        <v>10800000</v>
      </c>
      <c r="AJ10" t="s">
        <v>51</v>
      </c>
      <c r="AK10" s="242">
        <f>(SUM(A40:A42)+SUM(A65:A74))/1000000</f>
        <v>2.1751100000000001</v>
      </c>
      <c r="AL10" s="168">
        <f>+AK10/$AK$14</f>
        <v>0.29992871020629919</v>
      </c>
      <c r="AN10" s="243">
        <f t="shared" si="4"/>
        <v>3.2392300702280314</v>
      </c>
    </row>
    <row r="11" spans="3:40" x14ac:dyDescent="0.2">
      <c r="O11" s="63"/>
      <c r="AJ11" t="s">
        <v>54</v>
      </c>
      <c r="AK11" s="242">
        <f>(SUM(A35:A36)+A31+SUM(A49:A63))/1000000</f>
        <v>0.62175999999999998</v>
      </c>
      <c r="AL11" s="168">
        <f>+AK11/$AK$14</f>
        <v>8.5735284586925975E-2</v>
      </c>
      <c r="AN11" s="243">
        <f>+AL11*$AN$13</f>
        <v>0.92594107353880062</v>
      </c>
    </row>
    <row r="12" spans="3:40" x14ac:dyDescent="0.2">
      <c r="R12" s="240" t="s">
        <v>629</v>
      </c>
      <c r="S12" s="234">
        <f>10800000/12</f>
        <v>900000</v>
      </c>
      <c r="T12" s="234">
        <f t="shared" ref="T12:AD12" si="7">10800000/12</f>
        <v>900000</v>
      </c>
      <c r="U12" s="234">
        <f t="shared" si="7"/>
        <v>900000</v>
      </c>
      <c r="V12" s="234">
        <f t="shared" si="7"/>
        <v>900000</v>
      </c>
      <c r="W12" s="234">
        <f t="shared" si="7"/>
        <v>900000</v>
      </c>
      <c r="X12" s="234">
        <f t="shared" si="7"/>
        <v>900000</v>
      </c>
      <c r="Y12" s="234">
        <f t="shared" si="7"/>
        <v>900000</v>
      </c>
      <c r="Z12" s="234">
        <f t="shared" si="7"/>
        <v>900000</v>
      </c>
      <c r="AA12" s="234">
        <f t="shared" si="7"/>
        <v>900000</v>
      </c>
      <c r="AB12" s="234">
        <f t="shared" si="7"/>
        <v>900000</v>
      </c>
      <c r="AC12" s="234">
        <f t="shared" si="7"/>
        <v>900000</v>
      </c>
      <c r="AD12" s="234">
        <f t="shared" si="7"/>
        <v>900000</v>
      </c>
      <c r="AE12" s="218">
        <f>+SUM(S12:AD12)</f>
        <v>10800000</v>
      </c>
      <c r="AJ12" t="s">
        <v>420</v>
      </c>
      <c r="AK12" s="242">
        <f>(AE12/1000000-SUM(AK8:AK11))</f>
        <v>3.5479100000000008</v>
      </c>
    </row>
    <row r="13" spans="3:40" ht="16" thickBot="1" x14ac:dyDescent="0.25">
      <c r="C13" s="351" t="s">
        <v>603</v>
      </c>
      <c r="D13" s="351"/>
      <c r="E13" s="351"/>
      <c r="F13" s="351"/>
      <c r="G13" s="351"/>
      <c r="J13" t="s">
        <v>601</v>
      </c>
      <c r="K13" t="s">
        <v>602</v>
      </c>
      <c r="L13" t="s">
        <v>410</v>
      </c>
      <c r="M13" t="s">
        <v>411</v>
      </c>
      <c r="N13" t="s">
        <v>412</v>
      </c>
      <c r="AN13">
        <v>10.8</v>
      </c>
    </row>
    <row r="14" spans="3:40" x14ac:dyDescent="0.2">
      <c r="C14" s="144" t="s">
        <v>39</v>
      </c>
      <c r="D14" s="144" t="s">
        <v>66</v>
      </c>
      <c r="E14" s="144" t="s">
        <v>64</v>
      </c>
      <c r="F14" s="144" t="s">
        <v>65</v>
      </c>
      <c r="G14" s="146" t="s">
        <v>67</v>
      </c>
      <c r="H14" s="171" t="s">
        <v>432</v>
      </c>
      <c r="I14" s="171" t="s">
        <v>620</v>
      </c>
      <c r="J14" s="172" t="s">
        <v>607</v>
      </c>
      <c r="K14" s="172" t="s">
        <v>608</v>
      </c>
      <c r="L14" s="172" t="s">
        <v>609</v>
      </c>
      <c r="M14" s="172" t="s">
        <v>610</v>
      </c>
      <c r="N14" s="172" t="s">
        <v>611</v>
      </c>
      <c r="O14" s="172" t="s">
        <v>612</v>
      </c>
      <c r="P14" s="172" t="s">
        <v>613</v>
      </c>
      <c r="Q14" s="172" t="s">
        <v>614</v>
      </c>
      <c r="R14" s="172" t="s">
        <v>615</v>
      </c>
      <c r="S14" s="172" t="s">
        <v>616</v>
      </c>
      <c r="T14" s="172" t="s">
        <v>617</v>
      </c>
      <c r="U14" s="172" t="s">
        <v>618</v>
      </c>
      <c r="V14" s="172" t="s">
        <v>606</v>
      </c>
      <c r="AJ14" t="s">
        <v>632</v>
      </c>
      <c r="AK14" s="242">
        <f>+AK8+AK9+AK10+AK11</f>
        <v>7.2520899999999999</v>
      </c>
    </row>
    <row r="15" spans="3:40" x14ac:dyDescent="0.2">
      <c r="C15" s="150" t="s">
        <v>56</v>
      </c>
      <c r="D15" s="154" t="s">
        <v>368</v>
      </c>
      <c r="E15" s="149" t="s">
        <v>366</v>
      </c>
      <c r="F15" s="151" t="s">
        <v>367</v>
      </c>
      <c r="G15" s="153">
        <v>180000</v>
      </c>
      <c r="H15" s="8">
        <v>3</v>
      </c>
      <c r="I15" s="23">
        <v>0</v>
      </c>
      <c r="J15" s="176">
        <f>+G15/H15</f>
        <v>60000</v>
      </c>
      <c r="K15" s="176">
        <v>80000</v>
      </c>
      <c r="L15" s="176">
        <v>40000</v>
      </c>
      <c r="M15" s="176"/>
      <c r="N15" s="176"/>
      <c r="O15" s="176"/>
      <c r="P15" s="176"/>
      <c r="Q15" s="176"/>
      <c r="R15" s="176"/>
      <c r="S15" s="176"/>
      <c r="T15" s="176"/>
      <c r="U15" s="176"/>
      <c r="V15" s="170">
        <f>+G15-SUM(J15:U15)</f>
        <v>0</v>
      </c>
    </row>
    <row r="16" spans="3:40" x14ac:dyDescent="0.2">
      <c r="C16" s="152" t="s">
        <v>56</v>
      </c>
      <c r="D16" s="154" t="s">
        <v>380</v>
      </c>
      <c r="E16" s="149" t="s">
        <v>352</v>
      </c>
      <c r="F16" s="149" t="s">
        <v>136</v>
      </c>
      <c r="G16" s="153">
        <v>240000</v>
      </c>
      <c r="H16" s="8">
        <v>3</v>
      </c>
      <c r="I16" s="23">
        <v>0</v>
      </c>
      <c r="J16" s="176">
        <f t="shared" ref="J16:J20" si="8">+G16/H16</f>
        <v>80000</v>
      </c>
      <c r="K16" s="176">
        <f>+J16</f>
        <v>80000</v>
      </c>
      <c r="L16" s="176">
        <f>+K16</f>
        <v>80000</v>
      </c>
      <c r="M16" s="176"/>
      <c r="N16" s="176"/>
      <c r="O16" s="176"/>
      <c r="P16" s="176"/>
      <c r="Q16" s="176"/>
      <c r="R16" s="176"/>
      <c r="S16" s="176"/>
      <c r="T16" s="176"/>
      <c r="U16" s="176"/>
      <c r="V16" s="170">
        <f t="shared" ref="V16:V20" si="9">+G16-SUM(J16:U16)</f>
        <v>0</v>
      </c>
    </row>
    <row r="17" spans="1:27" x14ac:dyDescent="0.2">
      <c r="C17" s="152" t="s">
        <v>49</v>
      </c>
      <c r="D17" s="154" t="s">
        <v>581</v>
      </c>
      <c r="E17" s="149" t="s">
        <v>110</v>
      </c>
      <c r="F17" s="149" t="s">
        <v>103</v>
      </c>
      <c r="G17" s="153">
        <v>180000</v>
      </c>
      <c r="H17" s="8">
        <v>5</v>
      </c>
      <c r="I17" s="23">
        <v>0</v>
      </c>
      <c r="J17" s="176">
        <f>+G17/H17</f>
        <v>36000</v>
      </c>
      <c r="K17" s="176">
        <f>+J17</f>
        <v>36000</v>
      </c>
      <c r="L17" s="176">
        <v>36000</v>
      </c>
      <c r="M17" s="176">
        <v>36000</v>
      </c>
      <c r="N17" s="176">
        <f>+G17-SUM(J17:M17)</f>
        <v>36000</v>
      </c>
      <c r="O17" s="176"/>
      <c r="P17" s="176"/>
      <c r="Q17" s="176"/>
      <c r="R17" s="176"/>
      <c r="S17" s="176"/>
      <c r="T17" s="176"/>
      <c r="U17" s="176"/>
      <c r="V17" s="170">
        <f t="shared" si="9"/>
        <v>0</v>
      </c>
    </row>
    <row r="18" spans="1:27" x14ac:dyDescent="0.2">
      <c r="C18" s="152" t="s">
        <v>49</v>
      </c>
      <c r="D18" s="154" t="s">
        <v>578</v>
      </c>
      <c r="E18" s="149" t="s">
        <v>502</v>
      </c>
      <c r="F18" s="149" t="s">
        <v>503</v>
      </c>
      <c r="G18" s="153">
        <v>200000</v>
      </c>
      <c r="H18" s="8">
        <v>3</v>
      </c>
      <c r="I18" s="23">
        <v>0</v>
      </c>
      <c r="J18" s="176">
        <f>+G18/H18</f>
        <v>66666.666666666672</v>
      </c>
      <c r="K18" s="176">
        <f>+J18</f>
        <v>66666.666666666672</v>
      </c>
      <c r="L18" s="176">
        <f>+K18</f>
        <v>66666.666666666672</v>
      </c>
      <c r="M18" s="176"/>
      <c r="N18" s="176"/>
      <c r="O18" s="176"/>
      <c r="P18" s="176"/>
      <c r="Q18" s="176"/>
      <c r="R18" s="176"/>
      <c r="S18" s="176"/>
      <c r="T18" s="176"/>
      <c r="U18" s="176"/>
      <c r="V18" s="170">
        <f t="shared" si="9"/>
        <v>0</v>
      </c>
    </row>
    <row r="19" spans="1:27" x14ac:dyDescent="0.2">
      <c r="C19" s="150" t="s">
        <v>49</v>
      </c>
      <c r="D19" s="155" t="s">
        <v>583</v>
      </c>
      <c r="E19" s="150" t="s">
        <v>106</v>
      </c>
      <c r="F19" s="150" t="s">
        <v>108</v>
      </c>
      <c r="G19" s="153">
        <v>60000</v>
      </c>
      <c r="H19" s="8">
        <v>2</v>
      </c>
      <c r="I19" s="23">
        <v>0</v>
      </c>
      <c r="J19" s="176"/>
      <c r="K19" s="176">
        <f>+G19/H19</f>
        <v>30000</v>
      </c>
      <c r="L19" s="176">
        <f>+K19</f>
        <v>30000</v>
      </c>
      <c r="M19" s="176"/>
      <c r="N19" s="176"/>
      <c r="O19" s="176"/>
      <c r="P19" s="176"/>
      <c r="Q19" s="176"/>
      <c r="R19" s="176"/>
      <c r="S19" s="176"/>
      <c r="T19" s="176"/>
      <c r="U19" s="176"/>
      <c r="V19" s="170">
        <f t="shared" si="9"/>
        <v>0</v>
      </c>
    </row>
    <row r="20" spans="1:27" x14ac:dyDescent="0.2">
      <c r="C20" s="152" t="s">
        <v>56</v>
      </c>
      <c r="D20" s="154" t="s">
        <v>577</v>
      </c>
      <c r="E20" s="152" t="s">
        <v>161</v>
      </c>
      <c r="F20" s="152" t="s">
        <v>162</v>
      </c>
      <c r="G20" s="153">
        <v>70000</v>
      </c>
      <c r="H20" s="8">
        <v>2</v>
      </c>
      <c r="I20" s="23">
        <v>0</v>
      </c>
      <c r="J20" s="176">
        <f t="shared" si="8"/>
        <v>35000</v>
      </c>
      <c r="K20" s="176">
        <v>35000</v>
      </c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0">
        <f t="shared" si="9"/>
        <v>0</v>
      </c>
    </row>
    <row r="21" spans="1:27" x14ac:dyDescent="0.2">
      <c r="F21" s="173" t="s">
        <v>34</v>
      </c>
      <c r="G21" s="174">
        <f>+SUM(G15:G20)</f>
        <v>930000</v>
      </c>
      <c r="H21" s="175"/>
      <c r="I21" s="175"/>
      <c r="J21" s="174">
        <f t="shared" ref="J21:V21" si="10">+SUM(J15:J20)</f>
        <v>277666.66666666669</v>
      </c>
      <c r="K21" s="174">
        <f t="shared" si="10"/>
        <v>327666.66666666669</v>
      </c>
      <c r="L21" s="174">
        <f t="shared" si="10"/>
        <v>252666.66666666669</v>
      </c>
      <c r="M21" s="174">
        <f t="shared" si="10"/>
        <v>36000</v>
      </c>
      <c r="N21" s="174">
        <f t="shared" si="10"/>
        <v>36000</v>
      </c>
      <c r="O21" s="174">
        <f t="shared" si="10"/>
        <v>0</v>
      </c>
      <c r="P21" s="174">
        <f t="shared" si="10"/>
        <v>0</v>
      </c>
      <c r="Q21" s="174">
        <f t="shared" si="10"/>
        <v>0</v>
      </c>
      <c r="R21" s="174">
        <f t="shared" si="10"/>
        <v>0</v>
      </c>
      <c r="S21" s="174">
        <f t="shared" si="10"/>
        <v>0</v>
      </c>
      <c r="T21" s="174">
        <f t="shared" si="10"/>
        <v>0</v>
      </c>
      <c r="U21" s="174">
        <f t="shared" si="10"/>
        <v>0</v>
      </c>
      <c r="V21" s="174">
        <f t="shared" si="10"/>
        <v>0</v>
      </c>
    </row>
    <row r="24" spans="1:27" ht="16" thickBot="1" x14ac:dyDescent="0.25">
      <c r="B24" s="351" t="s">
        <v>619</v>
      </c>
      <c r="C24" s="351"/>
      <c r="D24" s="351"/>
      <c r="E24" s="351"/>
      <c r="F24" s="351"/>
      <c r="G24" s="351"/>
      <c r="J24" t="s">
        <v>579</v>
      </c>
      <c r="K24" t="s">
        <v>601</v>
      </c>
      <c r="L24" t="s">
        <v>602</v>
      </c>
      <c r="M24" t="s">
        <v>410</v>
      </c>
      <c r="N24" t="s">
        <v>411</v>
      </c>
      <c r="O24" t="s">
        <v>412</v>
      </c>
      <c r="P24" t="s">
        <v>413</v>
      </c>
      <c r="Q24" t="s">
        <v>414</v>
      </c>
      <c r="R24" t="s">
        <v>415</v>
      </c>
      <c r="S24" t="s">
        <v>416</v>
      </c>
      <c r="T24" t="s">
        <v>417</v>
      </c>
      <c r="U24" t="s">
        <v>418</v>
      </c>
    </row>
    <row r="25" spans="1:27" ht="16" thickBot="1" x14ac:dyDescent="0.25">
      <c r="B25" s="144" t="s">
        <v>61</v>
      </c>
      <c r="C25" s="144" t="s">
        <v>39</v>
      </c>
      <c r="D25" s="144" t="s">
        <v>66</v>
      </c>
      <c r="E25" s="144" t="s">
        <v>64</v>
      </c>
      <c r="F25" s="144" t="s">
        <v>65</v>
      </c>
      <c r="G25" s="146" t="s">
        <v>67</v>
      </c>
      <c r="H25" s="171" t="s">
        <v>432</v>
      </c>
      <c r="I25" s="171" t="s">
        <v>620</v>
      </c>
      <c r="J25" s="172" t="s">
        <v>607</v>
      </c>
      <c r="K25" s="172" t="s">
        <v>608</v>
      </c>
      <c r="L25" s="172" t="s">
        <v>609</v>
      </c>
      <c r="M25" s="172" t="s">
        <v>610</v>
      </c>
      <c r="N25" s="172" t="s">
        <v>611</v>
      </c>
      <c r="O25" s="172" t="s">
        <v>612</v>
      </c>
      <c r="P25" s="172" t="s">
        <v>613</v>
      </c>
      <c r="Q25" s="172" t="s">
        <v>614</v>
      </c>
      <c r="R25" s="172" t="s">
        <v>615</v>
      </c>
      <c r="S25" s="172" t="s">
        <v>616</v>
      </c>
      <c r="T25" s="172" t="s">
        <v>617</v>
      </c>
      <c r="U25" s="172" t="s">
        <v>618</v>
      </c>
      <c r="V25" s="172" t="s">
        <v>606</v>
      </c>
    </row>
    <row r="26" spans="1:27" x14ac:dyDescent="0.2">
      <c r="A26" s="153">
        <f>+G26*I26</f>
        <v>136000</v>
      </c>
      <c r="B26" s="185" t="s">
        <v>50</v>
      </c>
      <c r="C26" s="186" t="s">
        <v>49</v>
      </c>
      <c r="D26" s="187" t="s">
        <v>374</v>
      </c>
      <c r="E26" s="188" t="s">
        <v>81</v>
      </c>
      <c r="F26" s="189" t="s">
        <v>90</v>
      </c>
      <c r="G26" s="190">
        <v>170000</v>
      </c>
      <c r="H26" s="119">
        <v>3</v>
      </c>
      <c r="I26" s="210">
        <v>0.8</v>
      </c>
      <c r="J26" s="191"/>
      <c r="K26" s="191"/>
      <c r="L26" s="191"/>
      <c r="M26" s="191"/>
      <c r="N26" s="191">
        <v>45333.333333333336</v>
      </c>
      <c r="O26" s="191">
        <v>45333.333333333336</v>
      </c>
      <c r="P26" s="191">
        <v>45333.333333333336</v>
      </c>
      <c r="Q26" s="191"/>
      <c r="R26" s="191"/>
      <c r="S26" s="191"/>
      <c r="T26" s="191"/>
      <c r="U26" s="191"/>
      <c r="V26" s="192">
        <f t="shared" ref="V26:V31" si="11">0.8*G26-SUM(J26:U26)</f>
        <v>0</v>
      </c>
      <c r="W26" s="244">
        <f>+G26*I26</f>
        <v>136000</v>
      </c>
    </row>
    <row r="27" spans="1:27" x14ac:dyDescent="0.2">
      <c r="A27" s="153">
        <f t="shared" ref="A27:A42" si="12">+G27*I27</f>
        <v>720000</v>
      </c>
      <c r="B27" s="193" t="s">
        <v>50</v>
      </c>
      <c r="C27" s="150" t="s">
        <v>49</v>
      </c>
      <c r="D27" s="154" t="s">
        <v>386</v>
      </c>
      <c r="E27" s="149" t="s">
        <v>71</v>
      </c>
      <c r="F27" s="151" t="s">
        <v>169</v>
      </c>
      <c r="G27" s="153">
        <v>900000</v>
      </c>
      <c r="H27" s="8">
        <v>12</v>
      </c>
      <c r="I27" s="23">
        <v>0.8</v>
      </c>
      <c r="J27" s="176"/>
      <c r="K27" s="176"/>
      <c r="L27" s="176"/>
      <c r="M27" s="176"/>
      <c r="N27" s="176"/>
      <c r="O27" s="176">
        <v>60000</v>
      </c>
      <c r="P27" s="176">
        <v>60000</v>
      </c>
      <c r="Q27" s="176">
        <v>60000</v>
      </c>
      <c r="R27" s="176">
        <v>60000</v>
      </c>
      <c r="S27" s="176">
        <v>60000</v>
      </c>
      <c r="T27" s="176">
        <v>60000</v>
      </c>
      <c r="U27" s="176">
        <v>60000</v>
      </c>
      <c r="V27" s="194">
        <f t="shared" si="11"/>
        <v>300000</v>
      </c>
      <c r="W27" s="244">
        <f t="shared" ref="W27:W42" si="13">+G27*I27</f>
        <v>720000</v>
      </c>
      <c r="AA27" s="233">
        <f>15*12*150000*0.4</f>
        <v>10800000</v>
      </c>
    </row>
    <row r="28" spans="1:27" x14ac:dyDescent="0.2">
      <c r="A28" s="153">
        <f t="shared" si="12"/>
        <v>1104000</v>
      </c>
      <c r="B28" s="193" t="s">
        <v>50</v>
      </c>
      <c r="C28" s="150" t="s">
        <v>49</v>
      </c>
      <c r="D28" s="154" t="s">
        <v>387</v>
      </c>
      <c r="E28" s="149" t="s">
        <v>68</v>
      </c>
      <c r="F28" s="151" t="s">
        <v>69</v>
      </c>
      <c r="G28" s="153">
        <v>1380000</v>
      </c>
      <c r="H28" s="8">
        <v>5</v>
      </c>
      <c r="I28" s="23">
        <v>0.8</v>
      </c>
      <c r="J28" s="176"/>
      <c r="K28" s="176"/>
      <c r="L28" s="176"/>
      <c r="M28" s="176">
        <v>50000</v>
      </c>
      <c r="N28" s="176">
        <f>+((G28*I28)-50000)/6</f>
        <v>175666.66666666666</v>
      </c>
      <c r="O28" s="176">
        <f>+N28</f>
        <v>175666.66666666666</v>
      </c>
      <c r="P28" s="176">
        <f>+O28</f>
        <v>175666.66666666666</v>
      </c>
      <c r="Q28" s="176">
        <f>+O28</f>
        <v>175666.66666666666</v>
      </c>
      <c r="R28" s="176">
        <f>+Q28</f>
        <v>175666.66666666666</v>
      </c>
      <c r="S28" s="176">
        <f>+R28</f>
        <v>175666.66666666666</v>
      </c>
      <c r="T28" s="176"/>
      <c r="U28" s="176"/>
      <c r="V28" s="194">
        <f t="shared" si="11"/>
        <v>0</v>
      </c>
      <c r="W28" s="239">
        <f t="shared" si="13"/>
        <v>1104000</v>
      </c>
    </row>
    <row r="29" spans="1:27" x14ac:dyDescent="0.2">
      <c r="A29" s="153">
        <f t="shared" si="12"/>
        <v>120000</v>
      </c>
      <c r="B29" s="193" t="s">
        <v>50</v>
      </c>
      <c r="C29" s="150" t="s">
        <v>56</v>
      </c>
      <c r="D29" s="154" t="s">
        <v>591</v>
      </c>
      <c r="E29" s="149" t="s">
        <v>352</v>
      </c>
      <c r="F29" s="151" t="s">
        <v>136</v>
      </c>
      <c r="G29" s="153">
        <v>150000</v>
      </c>
      <c r="H29" s="8">
        <v>3</v>
      </c>
      <c r="I29" s="23">
        <v>0.8</v>
      </c>
      <c r="J29" s="176"/>
      <c r="K29" s="176"/>
      <c r="L29" s="176">
        <f t="shared" ref="L29:L31" si="14">+(G29/H29)*0.8</f>
        <v>40000</v>
      </c>
      <c r="M29" s="176">
        <v>40000</v>
      </c>
      <c r="N29" s="176">
        <v>40000</v>
      </c>
      <c r="O29" s="176"/>
      <c r="P29" s="176"/>
      <c r="Q29" s="176"/>
      <c r="R29" s="176"/>
      <c r="S29" s="176"/>
      <c r="T29" s="176"/>
      <c r="U29" s="176"/>
      <c r="V29" s="194">
        <f t="shared" si="11"/>
        <v>0</v>
      </c>
      <c r="W29" s="238">
        <f t="shared" si="13"/>
        <v>120000</v>
      </c>
      <c r="AA29">
        <v>7.9</v>
      </c>
    </row>
    <row r="30" spans="1:27" x14ac:dyDescent="0.2">
      <c r="A30" s="153">
        <f t="shared" si="12"/>
        <v>120000</v>
      </c>
      <c r="B30" s="193" t="s">
        <v>50</v>
      </c>
      <c r="C30" s="152" t="s">
        <v>49</v>
      </c>
      <c r="D30" s="154" t="s">
        <v>563</v>
      </c>
      <c r="E30" s="149" t="s">
        <v>68</v>
      </c>
      <c r="F30" s="149" t="s">
        <v>69</v>
      </c>
      <c r="G30" s="153">
        <v>150000</v>
      </c>
      <c r="H30" s="8">
        <v>3</v>
      </c>
      <c r="I30" s="23">
        <v>0.8</v>
      </c>
      <c r="J30" s="176"/>
      <c r="K30" s="176"/>
      <c r="L30" s="176">
        <f t="shared" si="14"/>
        <v>40000</v>
      </c>
      <c r="M30" s="176">
        <v>40000</v>
      </c>
      <c r="N30" s="176">
        <v>40000</v>
      </c>
      <c r="O30" s="176"/>
      <c r="P30" s="176"/>
      <c r="Q30" s="176"/>
      <c r="R30" s="176"/>
      <c r="S30" s="176"/>
      <c r="T30" s="176"/>
      <c r="U30" s="176"/>
      <c r="V30" s="194">
        <f t="shared" si="11"/>
        <v>0</v>
      </c>
      <c r="W30" s="238">
        <f t="shared" si="13"/>
        <v>120000</v>
      </c>
      <c r="AA30">
        <f>2.9+AA29</f>
        <v>10.8</v>
      </c>
    </row>
    <row r="31" spans="1:27" ht="16" thickBot="1" x14ac:dyDescent="0.25">
      <c r="A31" s="153">
        <f t="shared" si="12"/>
        <v>140000</v>
      </c>
      <c r="B31" s="202" t="s">
        <v>50</v>
      </c>
      <c r="C31" s="203" t="s">
        <v>54</v>
      </c>
      <c r="D31" s="204" t="s">
        <v>584</v>
      </c>
      <c r="E31" s="214" t="s">
        <v>292</v>
      </c>
      <c r="F31" s="214" t="s">
        <v>585</v>
      </c>
      <c r="G31" s="205">
        <v>175000</v>
      </c>
      <c r="H31" s="206">
        <v>3</v>
      </c>
      <c r="I31" s="212">
        <v>0.8</v>
      </c>
      <c r="J31" s="207"/>
      <c r="K31" s="207"/>
      <c r="L31" s="207">
        <f t="shared" si="14"/>
        <v>46666.666666666672</v>
      </c>
      <c r="M31" s="207">
        <v>46666.666666666672</v>
      </c>
      <c r="N31" s="207">
        <v>46666.666666666672</v>
      </c>
      <c r="O31" s="207"/>
      <c r="P31" s="207"/>
      <c r="Q31" s="207"/>
      <c r="R31" s="207"/>
      <c r="S31" s="207"/>
      <c r="T31" s="207"/>
      <c r="U31" s="207"/>
      <c r="V31" s="194">
        <f t="shared" si="11"/>
        <v>0</v>
      </c>
      <c r="W31" s="238">
        <f t="shared" si="13"/>
        <v>140000</v>
      </c>
    </row>
    <row r="32" spans="1:27" x14ac:dyDescent="0.2">
      <c r="A32" s="153">
        <f t="shared" si="12"/>
        <v>550000</v>
      </c>
      <c r="B32" s="185" t="s">
        <v>420</v>
      </c>
      <c r="C32" s="201" t="s">
        <v>56</v>
      </c>
      <c r="D32" s="187" t="s">
        <v>370</v>
      </c>
      <c r="E32" s="188" t="s">
        <v>161</v>
      </c>
      <c r="F32" s="188" t="s">
        <v>162</v>
      </c>
      <c r="G32" s="190">
        <v>1100000</v>
      </c>
      <c r="H32" s="119">
        <v>13</v>
      </c>
      <c r="I32" s="213">
        <v>0.5</v>
      </c>
      <c r="J32" s="191"/>
      <c r="K32" s="191"/>
      <c r="L32" s="191"/>
      <c r="M32" s="191">
        <v>40000</v>
      </c>
      <c r="N32" s="191">
        <f>+M32</f>
        <v>40000</v>
      </c>
      <c r="O32" s="191">
        <v>80000</v>
      </c>
      <c r="P32" s="191">
        <v>80000</v>
      </c>
      <c r="Q32" s="191">
        <v>40000</v>
      </c>
      <c r="R32" s="191">
        <f t="shared" ref="R32:U32" si="15">+Q32</f>
        <v>40000</v>
      </c>
      <c r="S32" s="191">
        <f t="shared" si="15"/>
        <v>40000</v>
      </c>
      <c r="T32" s="191">
        <f t="shared" si="15"/>
        <v>40000</v>
      </c>
      <c r="U32" s="191">
        <f t="shared" si="15"/>
        <v>40000</v>
      </c>
      <c r="V32" s="208">
        <f>I32*G32-SUM(J32:U32)</f>
        <v>110000</v>
      </c>
      <c r="W32" s="244">
        <f t="shared" si="13"/>
        <v>550000</v>
      </c>
    </row>
    <row r="33" spans="1:35" x14ac:dyDescent="0.2">
      <c r="A33" s="153">
        <f t="shared" si="12"/>
        <v>63799.999999999993</v>
      </c>
      <c r="B33" s="193" t="s">
        <v>420</v>
      </c>
      <c r="C33" s="152" t="s">
        <v>56</v>
      </c>
      <c r="D33" s="154" t="s">
        <v>381</v>
      </c>
      <c r="E33" s="149" t="s">
        <v>362</v>
      </c>
      <c r="F33" s="149"/>
      <c r="G33" s="153">
        <v>220000</v>
      </c>
      <c r="H33" s="8">
        <v>3</v>
      </c>
      <c r="I33" s="23">
        <v>0.28999999999999998</v>
      </c>
      <c r="J33" s="176"/>
      <c r="K33" s="176"/>
      <c r="L33" s="176"/>
      <c r="M33" s="176">
        <v>21266.666666666664</v>
      </c>
      <c r="N33" s="176">
        <v>21266.666666666664</v>
      </c>
      <c r="O33" s="176">
        <f>+N33</f>
        <v>21266.666666666664</v>
      </c>
      <c r="P33" s="176"/>
      <c r="Q33" s="176"/>
      <c r="R33" s="176"/>
      <c r="S33" s="176"/>
      <c r="T33" s="176"/>
      <c r="U33" s="176"/>
      <c r="V33" s="209">
        <f t="shared" ref="V33:V42" si="16">I33*G33-SUM(J33:U33)</f>
        <v>0</v>
      </c>
      <c r="W33" s="244">
        <f t="shared" si="13"/>
        <v>63799.999999999993</v>
      </c>
    </row>
    <row r="34" spans="1:35" ht="16" thickBot="1" x14ac:dyDescent="0.25">
      <c r="A34" s="153">
        <f t="shared" si="12"/>
        <v>31319.999999999996</v>
      </c>
      <c r="B34" s="195" t="s">
        <v>420</v>
      </c>
      <c r="C34" s="196" t="s">
        <v>56</v>
      </c>
      <c r="D34" s="197" t="s">
        <v>548</v>
      </c>
      <c r="E34" s="198" t="s">
        <v>311</v>
      </c>
      <c r="F34" s="198" t="s">
        <v>311</v>
      </c>
      <c r="G34" s="199">
        <v>108000</v>
      </c>
      <c r="H34" s="96">
        <v>3</v>
      </c>
      <c r="I34" s="211">
        <v>0.28999999999999998</v>
      </c>
      <c r="J34" s="178"/>
      <c r="K34" s="178"/>
      <c r="L34" s="178"/>
      <c r="M34" s="178">
        <v>10439.999999999998</v>
      </c>
      <c r="N34" s="178">
        <v>10439.999999999998</v>
      </c>
      <c r="O34" s="178">
        <v>10439.999999999998</v>
      </c>
      <c r="P34" s="178"/>
      <c r="Q34" s="178"/>
      <c r="R34" s="178"/>
      <c r="S34" s="178"/>
      <c r="T34" s="178"/>
      <c r="U34" s="178"/>
      <c r="V34" s="177">
        <f t="shared" si="16"/>
        <v>0</v>
      </c>
      <c r="W34" s="244">
        <f t="shared" si="13"/>
        <v>31319.999999999996</v>
      </c>
    </row>
    <row r="35" spans="1:35" x14ac:dyDescent="0.2">
      <c r="A35" s="153">
        <f t="shared" si="12"/>
        <v>118860</v>
      </c>
      <c r="B35" s="215" t="s">
        <v>420</v>
      </c>
      <c r="C35" s="179" t="s">
        <v>54</v>
      </c>
      <c r="D35" s="180" t="s">
        <v>376</v>
      </c>
      <c r="E35" s="181" t="s">
        <v>234</v>
      </c>
      <c r="F35" s="181" t="s">
        <v>375</v>
      </c>
      <c r="G35" s="182">
        <v>566000</v>
      </c>
      <c r="H35" s="183">
        <v>3</v>
      </c>
      <c r="I35" s="216">
        <v>0.21</v>
      </c>
      <c r="J35" s="184"/>
      <c r="K35" s="184"/>
      <c r="L35" s="184">
        <f>+I35*G35/H35</f>
        <v>39620</v>
      </c>
      <c r="M35" s="184">
        <f>+L35</f>
        <v>39620</v>
      </c>
      <c r="N35" s="184">
        <f>+M35</f>
        <v>39620</v>
      </c>
      <c r="O35" s="184"/>
      <c r="P35" s="184"/>
      <c r="Q35" s="184"/>
      <c r="R35" s="184"/>
      <c r="S35" s="184"/>
      <c r="T35" s="184"/>
      <c r="U35" s="184"/>
      <c r="V35" s="194">
        <f t="shared" si="16"/>
        <v>0</v>
      </c>
      <c r="W35" s="238">
        <f t="shared" si="13"/>
        <v>118860</v>
      </c>
    </row>
    <row r="36" spans="1:35" ht="16" thickBot="1" x14ac:dyDescent="0.25">
      <c r="A36" s="153">
        <f t="shared" si="12"/>
        <v>71400</v>
      </c>
      <c r="B36" s="195" t="s">
        <v>420</v>
      </c>
      <c r="C36" s="196" t="s">
        <v>54</v>
      </c>
      <c r="D36" s="197" t="s">
        <v>379</v>
      </c>
      <c r="E36" s="198" t="s">
        <v>357</v>
      </c>
      <c r="F36" s="198" t="s">
        <v>378</v>
      </c>
      <c r="G36" s="199">
        <v>340000</v>
      </c>
      <c r="H36" s="96">
        <v>3</v>
      </c>
      <c r="I36" s="211">
        <v>0.21</v>
      </c>
      <c r="J36" s="178"/>
      <c r="K36" s="178"/>
      <c r="L36" s="184">
        <f>+I36*G36/H36</f>
        <v>23800</v>
      </c>
      <c r="M36" s="184">
        <f>+L36</f>
        <v>23800</v>
      </c>
      <c r="N36" s="184">
        <f>+M36</f>
        <v>23800</v>
      </c>
      <c r="O36" s="178"/>
      <c r="P36" s="178"/>
      <c r="Q36" s="178"/>
      <c r="R36" s="178"/>
      <c r="S36" s="178"/>
      <c r="T36" s="178"/>
      <c r="U36" s="178"/>
      <c r="V36" s="200">
        <f t="shared" si="16"/>
        <v>0</v>
      </c>
      <c r="W36" s="238">
        <f t="shared" si="13"/>
        <v>71400</v>
      </c>
    </row>
    <row r="37" spans="1:35" x14ac:dyDescent="0.2">
      <c r="A37" s="153">
        <f t="shared" si="12"/>
        <v>33600</v>
      </c>
      <c r="B37" s="185" t="s">
        <v>420</v>
      </c>
      <c r="C37" s="201" t="s">
        <v>49</v>
      </c>
      <c r="D37" s="187" t="s">
        <v>504</v>
      </c>
      <c r="E37" s="188" t="s">
        <v>111</v>
      </c>
      <c r="F37" s="188" t="s">
        <v>363</v>
      </c>
      <c r="G37" s="190">
        <v>60000</v>
      </c>
      <c r="H37" s="119">
        <v>2</v>
      </c>
      <c r="I37" s="210">
        <v>0.56000000000000005</v>
      </c>
      <c r="J37" s="191"/>
      <c r="K37" s="191"/>
      <c r="L37" s="191"/>
      <c r="M37" s="191">
        <f>+G37*I37/H37</f>
        <v>16800</v>
      </c>
      <c r="N37" s="191">
        <f>+M37</f>
        <v>16800</v>
      </c>
      <c r="O37" s="191"/>
      <c r="P37" s="191"/>
      <c r="Q37" s="191"/>
      <c r="R37" s="191"/>
      <c r="S37" s="191"/>
      <c r="T37" s="191"/>
      <c r="U37" s="191"/>
      <c r="V37" s="192">
        <f t="shared" si="16"/>
        <v>0</v>
      </c>
      <c r="W37" s="244">
        <f t="shared" si="13"/>
        <v>33600</v>
      </c>
    </row>
    <row r="38" spans="1:35" x14ac:dyDescent="0.2">
      <c r="A38" s="153">
        <f t="shared" si="12"/>
        <v>56000.000000000007</v>
      </c>
      <c r="B38" s="193" t="s">
        <v>420</v>
      </c>
      <c r="C38" s="150" t="s">
        <v>49</v>
      </c>
      <c r="D38" s="155" t="s">
        <v>505</v>
      </c>
      <c r="E38" s="150" t="s">
        <v>110</v>
      </c>
      <c r="F38" s="150" t="s">
        <v>103</v>
      </c>
      <c r="G38" s="153">
        <v>100000</v>
      </c>
      <c r="H38" s="8">
        <v>2</v>
      </c>
      <c r="I38" s="23">
        <v>0.56000000000000005</v>
      </c>
      <c r="J38" s="176"/>
      <c r="K38" s="176"/>
      <c r="L38" s="176"/>
      <c r="M38" s="176">
        <v>28000.000000000004</v>
      </c>
      <c r="N38" s="176">
        <v>28000.000000000004</v>
      </c>
      <c r="O38" s="176"/>
      <c r="P38" s="176"/>
      <c r="Q38" s="176"/>
      <c r="R38" s="176"/>
      <c r="S38" s="176"/>
      <c r="T38" s="176"/>
      <c r="U38" s="176"/>
      <c r="V38" s="194">
        <f t="shared" si="16"/>
        <v>0</v>
      </c>
      <c r="W38" s="244">
        <f t="shared" si="13"/>
        <v>56000.000000000007</v>
      </c>
    </row>
    <row r="39" spans="1:35" ht="16" thickBot="1" x14ac:dyDescent="0.25">
      <c r="A39" s="153">
        <f t="shared" si="12"/>
        <v>19600.000000000004</v>
      </c>
      <c r="B39" s="202" t="s">
        <v>420</v>
      </c>
      <c r="C39" s="203" t="s">
        <v>49</v>
      </c>
      <c r="D39" s="204" t="s">
        <v>506</v>
      </c>
      <c r="E39" s="203" t="s">
        <v>106</v>
      </c>
      <c r="F39" s="203" t="s">
        <v>108</v>
      </c>
      <c r="G39" s="205">
        <v>35000</v>
      </c>
      <c r="H39" s="206">
        <v>1</v>
      </c>
      <c r="I39" s="212">
        <v>0.56000000000000005</v>
      </c>
      <c r="J39" s="207"/>
      <c r="K39" s="207"/>
      <c r="L39" s="207">
        <f>+G39*I39</f>
        <v>19600.000000000004</v>
      </c>
      <c r="M39" s="207"/>
      <c r="N39" s="207"/>
      <c r="O39" s="207"/>
      <c r="P39" s="207"/>
      <c r="Q39" s="207"/>
      <c r="R39" s="207"/>
      <c r="S39" s="207"/>
      <c r="T39" s="207"/>
      <c r="U39" s="207"/>
      <c r="V39" s="194">
        <f t="shared" si="16"/>
        <v>0</v>
      </c>
      <c r="W39" s="238">
        <f t="shared" si="13"/>
        <v>19600.000000000004</v>
      </c>
    </row>
    <row r="40" spans="1:35" x14ac:dyDescent="0.2">
      <c r="A40" s="153">
        <f t="shared" si="12"/>
        <v>418500</v>
      </c>
      <c r="B40" s="185" t="s">
        <v>420</v>
      </c>
      <c r="C40" s="201" t="s">
        <v>51</v>
      </c>
      <c r="D40" s="187" t="s">
        <v>377</v>
      </c>
      <c r="E40" s="201" t="s">
        <v>213</v>
      </c>
      <c r="F40" s="201"/>
      <c r="G40" s="190">
        <v>450000</v>
      </c>
      <c r="H40" s="119">
        <v>12</v>
      </c>
      <c r="I40" s="210">
        <v>0.93</v>
      </c>
      <c r="J40" s="191"/>
      <c r="K40" s="191"/>
      <c r="L40" s="191">
        <f>+G40*I40/H40</f>
        <v>34875</v>
      </c>
      <c r="M40" s="191">
        <f>+L40</f>
        <v>34875</v>
      </c>
      <c r="N40" s="191">
        <f t="shared" ref="N40:U41" si="17">+M40</f>
        <v>34875</v>
      </c>
      <c r="O40" s="191">
        <f t="shared" si="17"/>
        <v>34875</v>
      </c>
      <c r="P40" s="191">
        <f t="shared" si="17"/>
        <v>34875</v>
      </c>
      <c r="Q40" s="191">
        <f t="shared" si="17"/>
        <v>34875</v>
      </c>
      <c r="R40" s="191">
        <f t="shared" si="17"/>
        <v>34875</v>
      </c>
      <c r="S40" s="191">
        <f t="shared" si="17"/>
        <v>34875</v>
      </c>
      <c r="T40" s="191">
        <f t="shared" si="17"/>
        <v>34875</v>
      </c>
      <c r="U40" s="191">
        <f t="shared" si="17"/>
        <v>34875</v>
      </c>
      <c r="V40" s="208">
        <f t="shared" si="16"/>
        <v>69750</v>
      </c>
      <c r="W40" s="238">
        <f>+G40*I40</f>
        <v>418500</v>
      </c>
    </row>
    <row r="41" spans="1:35" x14ac:dyDescent="0.2">
      <c r="A41" s="153">
        <f t="shared" si="12"/>
        <v>192510</v>
      </c>
      <c r="B41" s="193" t="s">
        <v>420</v>
      </c>
      <c r="C41" s="152" t="s">
        <v>51</v>
      </c>
      <c r="D41" s="154" t="s">
        <v>513</v>
      </c>
      <c r="E41" s="152" t="s">
        <v>217</v>
      </c>
      <c r="F41" s="152"/>
      <c r="G41" s="153">
        <v>207000</v>
      </c>
      <c r="H41" s="8">
        <v>6</v>
      </c>
      <c r="I41" s="23">
        <v>0.93</v>
      </c>
      <c r="J41" s="176"/>
      <c r="K41" s="176"/>
      <c r="L41" s="176"/>
      <c r="M41" s="176">
        <f>+G41*I41/H41</f>
        <v>32085</v>
      </c>
      <c r="N41" s="176">
        <f>+M41</f>
        <v>32085</v>
      </c>
      <c r="O41" s="176">
        <f t="shared" si="17"/>
        <v>32085</v>
      </c>
      <c r="P41" s="176">
        <f t="shared" si="17"/>
        <v>32085</v>
      </c>
      <c r="Q41" s="176">
        <f t="shared" si="17"/>
        <v>32085</v>
      </c>
      <c r="R41" s="176">
        <f>+Q41</f>
        <v>32085</v>
      </c>
      <c r="S41" s="176"/>
      <c r="T41" s="176"/>
      <c r="U41" s="176"/>
      <c r="V41" s="209">
        <f t="shared" si="16"/>
        <v>0</v>
      </c>
      <c r="W41" s="239">
        <f t="shared" si="13"/>
        <v>192510</v>
      </c>
    </row>
    <row r="42" spans="1:35" ht="16" thickBot="1" x14ac:dyDescent="0.25">
      <c r="A42" s="153">
        <f t="shared" si="12"/>
        <v>111600</v>
      </c>
      <c r="B42" s="195" t="s">
        <v>420</v>
      </c>
      <c r="C42" s="196" t="s">
        <v>51</v>
      </c>
      <c r="D42" s="197" t="s">
        <v>512</v>
      </c>
      <c r="E42" s="196" t="s">
        <v>207</v>
      </c>
      <c r="F42" s="196" t="s">
        <v>511</v>
      </c>
      <c r="G42" s="199">
        <v>120000</v>
      </c>
      <c r="H42" s="96">
        <v>3</v>
      </c>
      <c r="I42" s="211">
        <v>0.93</v>
      </c>
      <c r="J42" s="178"/>
      <c r="K42" s="178"/>
      <c r="L42" s="178"/>
      <c r="M42" s="178">
        <f>+G42*I42/H42</f>
        <v>37200</v>
      </c>
      <c r="N42" s="178">
        <f>+M42</f>
        <v>37200</v>
      </c>
      <c r="O42" s="178">
        <f>+N42</f>
        <v>37200</v>
      </c>
      <c r="P42" s="178"/>
      <c r="Q42" s="178"/>
      <c r="R42" s="178"/>
      <c r="S42" s="178"/>
      <c r="T42" s="178"/>
      <c r="U42" s="178"/>
      <c r="V42" s="177">
        <f t="shared" si="16"/>
        <v>0</v>
      </c>
      <c r="W42" s="239">
        <f t="shared" si="13"/>
        <v>111600</v>
      </c>
    </row>
    <row r="43" spans="1:35" x14ac:dyDescent="0.2">
      <c r="F43" s="173" t="s">
        <v>34</v>
      </c>
      <c r="G43" s="174">
        <f>+SUMPRODUCT(G26:G42,I26:I42)</f>
        <v>4007190</v>
      </c>
      <c r="H43" s="175"/>
      <c r="I43" s="175"/>
      <c r="J43" s="174">
        <f>+SUM(J26:J42)</f>
        <v>0</v>
      </c>
      <c r="K43" s="174">
        <f t="shared" ref="K43:V43" si="18">+SUM(K26:K42)</f>
        <v>0</v>
      </c>
      <c r="L43" s="174">
        <f>+SUM(L26:L42)</f>
        <v>244561.66666666669</v>
      </c>
      <c r="M43" s="174">
        <f t="shared" si="18"/>
        <v>460753.33333333337</v>
      </c>
      <c r="N43" s="174">
        <f t="shared" si="18"/>
        <v>631753.33333333337</v>
      </c>
      <c r="O43" s="174">
        <f t="shared" si="18"/>
        <v>496866.66666666669</v>
      </c>
      <c r="P43" s="174">
        <f t="shared" si="18"/>
        <v>427960</v>
      </c>
      <c r="Q43" s="174">
        <f t="shared" si="18"/>
        <v>342626.66666666663</v>
      </c>
      <c r="R43" s="174">
        <f t="shared" si="18"/>
        <v>342626.66666666663</v>
      </c>
      <c r="S43" s="174">
        <f t="shared" si="18"/>
        <v>310541.66666666663</v>
      </c>
      <c r="T43" s="174">
        <f t="shared" si="18"/>
        <v>134875</v>
      </c>
      <c r="U43" s="174">
        <f t="shared" si="18"/>
        <v>134875</v>
      </c>
      <c r="V43" s="174">
        <f t="shared" si="18"/>
        <v>479750</v>
      </c>
      <c r="W43" s="174">
        <f>+SUM(W26:W42)</f>
        <v>4007190</v>
      </c>
    </row>
    <row r="44" spans="1:35" x14ac:dyDescent="0.2">
      <c r="X44" t="s">
        <v>579</v>
      </c>
      <c r="Y44" t="s">
        <v>601</v>
      </c>
      <c r="Z44" t="s">
        <v>602</v>
      </c>
      <c r="AA44" t="s">
        <v>410</v>
      </c>
      <c r="AB44" t="s">
        <v>411</v>
      </c>
      <c r="AC44" t="s">
        <v>412</v>
      </c>
      <c r="AD44" t="s">
        <v>413</v>
      </c>
      <c r="AE44" t="s">
        <v>414</v>
      </c>
      <c r="AF44" t="s">
        <v>415</v>
      </c>
      <c r="AG44" t="s">
        <v>416</v>
      </c>
      <c r="AH44" t="s">
        <v>417</v>
      </c>
      <c r="AI44" t="s">
        <v>418</v>
      </c>
    </row>
    <row r="45" spans="1:35" x14ac:dyDescent="0.2">
      <c r="X45" s="63">
        <v>845000</v>
      </c>
      <c r="Y45" s="63">
        <v>845000</v>
      </c>
      <c r="Z45" s="63">
        <v>845000</v>
      </c>
      <c r="AA45" s="63">
        <v>845000</v>
      </c>
      <c r="AB45" s="63">
        <v>845000</v>
      </c>
      <c r="AC45" s="63">
        <v>845000</v>
      </c>
      <c r="AD45" s="63">
        <v>845000</v>
      </c>
      <c r="AE45" s="63">
        <v>845000</v>
      </c>
      <c r="AF45" s="63">
        <v>845000</v>
      </c>
      <c r="AG45" s="63">
        <v>845000</v>
      </c>
      <c r="AH45" s="63">
        <v>845000</v>
      </c>
      <c r="AI45" s="63">
        <v>845000</v>
      </c>
    </row>
    <row r="47" spans="1:35" ht="16" thickBot="1" x14ac:dyDescent="0.25">
      <c r="B47" s="351" t="s">
        <v>426</v>
      </c>
      <c r="C47" s="351"/>
      <c r="D47" s="351"/>
      <c r="E47" s="351"/>
      <c r="F47" s="351"/>
      <c r="G47" s="351"/>
      <c r="J47" t="s">
        <v>579</v>
      </c>
      <c r="K47" t="s">
        <v>601</v>
      </c>
      <c r="L47" t="s">
        <v>602</v>
      </c>
      <c r="M47" t="s">
        <v>410</v>
      </c>
      <c r="N47" t="s">
        <v>411</v>
      </c>
      <c r="O47" t="s">
        <v>412</v>
      </c>
      <c r="P47" t="s">
        <v>413</v>
      </c>
      <c r="Q47" t="s">
        <v>414</v>
      </c>
      <c r="R47" t="s">
        <v>415</v>
      </c>
      <c r="S47" t="s">
        <v>416</v>
      </c>
      <c r="T47" t="s">
        <v>417</v>
      </c>
      <c r="U47" t="s">
        <v>418</v>
      </c>
    </row>
    <row r="48" spans="1:35" ht="16" thickBot="1" x14ac:dyDescent="0.25">
      <c r="B48" s="144" t="s">
        <v>61</v>
      </c>
      <c r="C48" s="144" t="s">
        <v>39</v>
      </c>
      <c r="D48" s="144" t="s">
        <v>66</v>
      </c>
      <c r="E48" s="144" t="s">
        <v>64</v>
      </c>
      <c r="F48" s="144" t="s">
        <v>65</v>
      </c>
      <c r="G48" s="146" t="s">
        <v>67</v>
      </c>
      <c r="H48" s="171" t="s">
        <v>432</v>
      </c>
      <c r="I48" s="171" t="s">
        <v>620</v>
      </c>
      <c r="J48" s="172" t="s">
        <v>607</v>
      </c>
      <c r="K48" s="172" t="s">
        <v>608</v>
      </c>
      <c r="L48" s="172" t="s">
        <v>609</v>
      </c>
      <c r="M48" s="172" t="s">
        <v>610</v>
      </c>
      <c r="N48" s="172" t="s">
        <v>611</v>
      </c>
      <c r="O48" s="172" t="s">
        <v>612</v>
      </c>
      <c r="P48" s="172" t="s">
        <v>613</v>
      </c>
      <c r="Q48" s="172" t="s">
        <v>614</v>
      </c>
      <c r="R48" s="172" t="s">
        <v>615</v>
      </c>
      <c r="S48" s="172" t="s">
        <v>616</v>
      </c>
      <c r="T48" s="172" t="s">
        <v>617</v>
      </c>
      <c r="U48" s="172" t="s">
        <v>618</v>
      </c>
      <c r="V48" s="172" t="s">
        <v>606</v>
      </c>
    </row>
    <row r="49" spans="1:25" x14ac:dyDescent="0.2">
      <c r="A49" s="153">
        <f t="shared" ref="A49:A99" si="19">+G49*I49</f>
        <v>33000</v>
      </c>
      <c r="B49" s="185" t="s">
        <v>420</v>
      </c>
      <c r="C49" s="186" t="s">
        <v>54</v>
      </c>
      <c r="D49" s="187" t="s">
        <v>301</v>
      </c>
      <c r="E49" s="188" t="s">
        <v>300</v>
      </c>
      <c r="F49" s="189"/>
      <c r="G49" s="190">
        <v>300000</v>
      </c>
      <c r="H49" s="119">
        <v>3</v>
      </c>
      <c r="I49" s="210">
        <v>0.11</v>
      </c>
      <c r="J49" s="191"/>
      <c r="K49" s="191"/>
      <c r="L49" s="191"/>
      <c r="M49" s="191"/>
      <c r="N49" s="191"/>
      <c r="O49" s="191">
        <f>+I49*G49/H49</f>
        <v>11000</v>
      </c>
      <c r="P49" s="191">
        <f>+O49</f>
        <v>11000</v>
      </c>
      <c r="Q49" s="191">
        <f>+P49</f>
        <v>11000</v>
      </c>
      <c r="R49" s="191"/>
      <c r="S49" s="191"/>
      <c r="T49" s="191"/>
      <c r="U49" s="191"/>
      <c r="V49" s="208"/>
      <c r="X49" s="219" t="s">
        <v>54</v>
      </c>
      <c r="Y49" s="168">
        <v>0.21</v>
      </c>
    </row>
    <row r="50" spans="1:25" x14ac:dyDescent="0.2">
      <c r="A50" s="153">
        <f t="shared" si="19"/>
        <v>11000</v>
      </c>
      <c r="B50" s="193" t="s">
        <v>420</v>
      </c>
      <c r="C50" s="150" t="s">
        <v>54</v>
      </c>
      <c r="D50" s="154" t="s">
        <v>304</v>
      </c>
      <c r="E50" s="149" t="s">
        <v>302</v>
      </c>
      <c r="F50" s="151" t="s">
        <v>303</v>
      </c>
      <c r="G50" s="153">
        <v>100000</v>
      </c>
      <c r="H50" s="8">
        <v>3</v>
      </c>
      <c r="I50" s="23">
        <v>0.11</v>
      </c>
      <c r="J50" s="176"/>
      <c r="K50" s="176"/>
      <c r="L50" s="176"/>
      <c r="M50" s="176"/>
      <c r="N50" s="176"/>
      <c r="O50" s="176">
        <f t="shared" ref="O50:O99" si="20">+I50*G50/H50</f>
        <v>3666.6666666666665</v>
      </c>
      <c r="P50" s="176">
        <f t="shared" ref="P50:Q50" si="21">+O50</f>
        <v>3666.6666666666665</v>
      </c>
      <c r="Q50" s="176">
        <f t="shared" si="21"/>
        <v>3666.6666666666665</v>
      </c>
      <c r="R50" s="176"/>
      <c r="S50" s="176"/>
      <c r="T50" s="176"/>
      <c r="U50" s="176"/>
      <c r="V50" s="209"/>
      <c r="X50" s="219" t="s">
        <v>49</v>
      </c>
      <c r="Y50" s="168">
        <v>0.05</v>
      </c>
    </row>
    <row r="51" spans="1:25" x14ac:dyDescent="0.2">
      <c r="A51" s="153">
        <f t="shared" si="19"/>
        <v>22000</v>
      </c>
      <c r="B51" s="193" t="s">
        <v>420</v>
      </c>
      <c r="C51" s="150" t="s">
        <v>54</v>
      </c>
      <c r="D51" s="154" t="s">
        <v>309</v>
      </c>
      <c r="E51" s="149" t="s">
        <v>106</v>
      </c>
      <c r="F51" s="151" t="s">
        <v>308</v>
      </c>
      <c r="G51" s="153">
        <v>200000</v>
      </c>
      <c r="H51" s="8">
        <v>3</v>
      </c>
      <c r="I51" s="23">
        <v>0.11</v>
      </c>
      <c r="J51" s="176"/>
      <c r="K51" s="176"/>
      <c r="L51" s="176"/>
      <c r="M51" s="176"/>
      <c r="N51" s="176"/>
      <c r="O51" s="176">
        <f t="shared" si="20"/>
        <v>7333.333333333333</v>
      </c>
      <c r="P51" s="176">
        <f t="shared" ref="P51:Q51" si="22">+O51</f>
        <v>7333.333333333333</v>
      </c>
      <c r="Q51" s="176">
        <f t="shared" si="22"/>
        <v>7333.333333333333</v>
      </c>
      <c r="R51" s="176"/>
      <c r="S51" s="176"/>
      <c r="T51" s="176"/>
      <c r="U51" s="176"/>
      <c r="V51" s="209"/>
      <c r="X51" s="219" t="s">
        <v>56</v>
      </c>
      <c r="Y51" s="168">
        <v>0.28999999999999998</v>
      </c>
    </row>
    <row r="52" spans="1:25" x14ac:dyDescent="0.2">
      <c r="A52" s="153">
        <f t="shared" si="19"/>
        <v>33000</v>
      </c>
      <c r="B52" s="193" t="s">
        <v>420</v>
      </c>
      <c r="C52" s="150" t="s">
        <v>54</v>
      </c>
      <c r="D52" s="154" t="s">
        <v>310</v>
      </c>
      <c r="E52" s="149" t="s">
        <v>106</v>
      </c>
      <c r="F52" s="151" t="s">
        <v>308</v>
      </c>
      <c r="G52" s="153">
        <v>300000</v>
      </c>
      <c r="H52" s="8">
        <v>3</v>
      </c>
      <c r="I52" s="23">
        <v>0.11</v>
      </c>
      <c r="J52" s="176"/>
      <c r="K52" s="176"/>
      <c r="L52" s="176"/>
      <c r="M52" s="176"/>
      <c r="N52" s="176"/>
      <c r="O52" s="176">
        <f t="shared" si="20"/>
        <v>11000</v>
      </c>
      <c r="P52" s="176">
        <f t="shared" ref="P52:Q52" si="23">+O52</f>
        <v>11000</v>
      </c>
      <c r="Q52" s="176">
        <f t="shared" si="23"/>
        <v>11000</v>
      </c>
      <c r="R52" s="176"/>
      <c r="S52" s="176"/>
      <c r="T52" s="176"/>
      <c r="U52" s="176"/>
      <c r="V52" s="209"/>
    </row>
    <row r="53" spans="1:25" x14ac:dyDescent="0.2">
      <c r="A53" s="153">
        <f t="shared" si="19"/>
        <v>16500</v>
      </c>
      <c r="B53" s="193" t="s">
        <v>420</v>
      </c>
      <c r="C53" s="150" t="s">
        <v>54</v>
      </c>
      <c r="D53" s="154" t="s">
        <v>310</v>
      </c>
      <c r="E53" s="149" t="s">
        <v>106</v>
      </c>
      <c r="F53" s="151" t="s">
        <v>311</v>
      </c>
      <c r="G53" s="153">
        <v>150000</v>
      </c>
      <c r="H53" s="8">
        <v>3</v>
      </c>
      <c r="I53" s="23">
        <v>0.11</v>
      </c>
      <c r="J53" s="176"/>
      <c r="K53" s="176"/>
      <c r="L53" s="176"/>
      <c r="M53" s="176"/>
      <c r="N53" s="176"/>
      <c r="O53" s="176">
        <f t="shared" si="20"/>
        <v>5500</v>
      </c>
      <c r="P53" s="176">
        <f t="shared" ref="P53:Q53" si="24">+O53</f>
        <v>5500</v>
      </c>
      <c r="Q53" s="176">
        <f t="shared" si="24"/>
        <v>5500</v>
      </c>
      <c r="R53" s="176"/>
      <c r="S53" s="176"/>
      <c r="T53" s="176"/>
      <c r="U53" s="176"/>
      <c r="V53" s="209"/>
    </row>
    <row r="54" spans="1:25" x14ac:dyDescent="0.2">
      <c r="A54" s="153">
        <f t="shared" si="19"/>
        <v>22000</v>
      </c>
      <c r="B54" s="193" t="s">
        <v>420</v>
      </c>
      <c r="C54" s="150" t="s">
        <v>54</v>
      </c>
      <c r="D54" s="154" t="s">
        <v>310</v>
      </c>
      <c r="E54" s="149" t="s">
        <v>106</v>
      </c>
      <c r="F54" s="151" t="s">
        <v>312</v>
      </c>
      <c r="G54" s="153">
        <v>200000</v>
      </c>
      <c r="H54" s="8">
        <v>3</v>
      </c>
      <c r="I54" s="23">
        <v>0.11</v>
      </c>
      <c r="J54" s="176"/>
      <c r="K54" s="176"/>
      <c r="L54" s="176"/>
      <c r="M54" s="176"/>
      <c r="N54" s="176"/>
      <c r="O54" s="176">
        <f t="shared" si="20"/>
        <v>7333.333333333333</v>
      </c>
      <c r="P54" s="176">
        <f t="shared" ref="P54:Q54" si="25">+O54</f>
        <v>7333.333333333333</v>
      </c>
      <c r="Q54" s="176">
        <f t="shared" si="25"/>
        <v>7333.333333333333</v>
      </c>
      <c r="R54" s="176"/>
      <c r="S54" s="176"/>
      <c r="T54" s="176"/>
      <c r="U54" s="176"/>
      <c r="V54" s="209"/>
    </row>
    <row r="55" spans="1:25" x14ac:dyDescent="0.2">
      <c r="A55" s="153">
        <f t="shared" si="19"/>
        <v>16500</v>
      </c>
      <c r="B55" s="193" t="s">
        <v>420</v>
      </c>
      <c r="C55" s="150" t="s">
        <v>54</v>
      </c>
      <c r="D55" s="154" t="s">
        <v>314</v>
      </c>
      <c r="E55" s="149" t="s">
        <v>124</v>
      </c>
      <c r="F55" s="151" t="s">
        <v>313</v>
      </c>
      <c r="G55" s="153">
        <v>150000</v>
      </c>
      <c r="H55" s="8">
        <v>3</v>
      </c>
      <c r="I55" s="23">
        <v>0.11</v>
      </c>
      <c r="J55" s="176"/>
      <c r="K55" s="176"/>
      <c r="L55" s="176"/>
      <c r="M55" s="176"/>
      <c r="N55" s="176"/>
      <c r="O55" s="176">
        <f t="shared" si="20"/>
        <v>5500</v>
      </c>
      <c r="P55" s="176">
        <f t="shared" ref="P55:Q55" si="26">+O55</f>
        <v>5500</v>
      </c>
      <c r="Q55" s="176">
        <f t="shared" si="26"/>
        <v>5500</v>
      </c>
      <c r="R55" s="176"/>
      <c r="S55" s="176"/>
      <c r="T55" s="176"/>
      <c r="U55" s="176"/>
      <c r="V55" s="209"/>
    </row>
    <row r="56" spans="1:25" x14ac:dyDescent="0.2">
      <c r="A56" s="153">
        <f t="shared" si="19"/>
        <v>22000</v>
      </c>
      <c r="B56" s="193" t="s">
        <v>420</v>
      </c>
      <c r="C56" s="150" t="s">
        <v>54</v>
      </c>
      <c r="D56" s="154" t="s">
        <v>315</v>
      </c>
      <c r="E56" s="149" t="s">
        <v>124</v>
      </c>
      <c r="F56" s="151" t="s">
        <v>313</v>
      </c>
      <c r="G56" s="153">
        <v>200000</v>
      </c>
      <c r="H56" s="8">
        <v>3</v>
      </c>
      <c r="I56" s="23">
        <v>0.11</v>
      </c>
      <c r="J56" s="176"/>
      <c r="K56" s="176"/>
      <c r="L56" s="176"/>
      <c r="M56" s="176"/>
      <c r="N56" s="176"/>
      <c r="O56" s="176">
        <f t="shared" si="20"/>
        <v>7333.333333333333</v>
      </c>
      <c r="P56" s="176">
        <f t="shared" ref="P56:Q56" si="27">+O56</f>
        <v>7333.333333333333</v>
      </c>
      <c r="Q56" s="176">
        <f t="shared" si="27"/>
        <v>7333.333333333333</v>
      </c>
      <c r="R56" s="176"/>
      <c r="S56" s="176"/>
      <c r="T56" s="176"/>
      <c r="U56" s="176"/>
      <c r="V56" s="209"/>
    </row>
    <row r="57" spans="1:25" x14ac:dyDescent="0.2">
      <c r="A57" s="153">
        <f t="shared" si="19"/>
        <v>22000</v>
      </c>
      <c r="B57" s="193" t="s">
        <v>420</v>
      </c>
      <c r="C57" s="150" t="s">
        <v>54</v>
      </c>
      <c r="D57" s="154" t="s">
        <v>315</v>
      </c>
      <c r="E57" s="149" t="s">
        <v>316</v>
      </c>
      <c r="F57" s="151"/>
      <c r="G57" s="153">
        <v>200000</v>
      </c>
      <c r="H57" s="8">
        <v>3</v>
      </c>
      <c r="I57" s="23">
        <v>0.11</v>
      </c>
      <c r="J57" s="176"/>
      <c r="K57" s="176"/>
      <c r="L57" s="176"/>
      <c r="M57" s="176"/>
      <c r="N57" s="176"/>
      <c r="O57" s="176">
        <f t="shared" si="20"/>
        <v>7333.333333333333</v>
      </c>
      <c r="P57" s="176">
        <f t="shared" ref="P57:Q57" si="28">+O57</f>
        <v>7333.333333333333</v>
      </c>
      <c r="Q57" s="176">
        <f t="shared" si="28"/>
        <v>7333.333333333333</v>
      </c>
      <c r="R57" s="176"/>
      <c r="S57" s="176"/>
      <c r="T57" s="176"/>
      <c r="U57" s="176"/>
      <c r="V57" s="209"/>
    </row>
    <row r="58" spans="1:25" x14ac:dyDescent="0.2">
      <c r="A58" s="153">
        <f t="shared" si="19"/>
        <v>22000</v>
      </c>
      <c r="B58" s="193" t="s">
        <v>420</v>
      </c>
      <c r="C58" s="150" t="s">
        <v>54</v>
      </c>
      <c r="D58" s="154" t="s">
        <v>315</v>
      </c>
      <c r="E58" s="149" t="s">
        <v>317</v>
      </c>
      <c r="F58" s="151"/>
      <c r="G58" s="153">
        <v>200000</v>
      </c>
      <c r="H58" s="8">
        <v>3</v>
      </c>
      <c r="I58" s="23">
        <v>0.11</v>
      </c>
      <c r="J58" s="176"/>
      <c r="K58" s="176"/>
      <c r="L58" s="176"/>
      <c r="M58" s="176"/>
      <c r="N58" s="176"/>
      <c r="O58" s="176">
        <f t="shared" si="20"/>
        <v>7333.333333333333</v>
      </c>
      <c r="P58" s="176">
        <f t="shared" ref="P58:Q58" si="29">+O58</f>
        <v>7333.333333333333</v>
      </c>
      <c r="Q58" s="176">
        <f t="shared" si="29"/>
        <v>7333.333333333333</v>
      </c>
      <c r="R58" s="176"/>
      <c r="S58" s="176"/>
      <c r="T58" s="176"/>
      <c r="U58" s="176"/>
      <c r="V58" s="209"/>
    </row>
    <row r="59" spans="1:25" x14ac:dyDescent="0.2">
      <c r="A59" s="153">
        <f t="shared" si="19"/>
        <v>16500</v>
      </c>
      <c r="B59" s="193" t="s">
        <v>420</v>
      </c>
      <c r="C59" s="150" t="s">
        <v>54</v>
      </c>
      <c r="D59" s="154" t="s">
        <v>315</v>
      </c>
      <c r="E59" s="149" t="s">
        <v>213</v>
      </c>
      <c r="F59" s="151"/>
      <c r="G59" s="153">
        <v>150000</v>
      </c>
      <c r="H59" s="8">
        <v>3</v>
      </c>
      <c r="I59" s="23">
        <v>0.11</v>
      </c>
      <c r="J59" s="176"/>
      <c r="K59" s="176"/>
      <c r="L59" s="176"/>
      <c r="M59" s="176"/>
      <c r="N59" s="176"/>
      <c r="O59" s="176">
        <f t="shared" si="20"/>
        <v>5500</v>
      </c>
      <c r="P59" s="176">
        <f t="shared" ref="P59:Q59" si="30">+O59</f>
        <v>5500</v>
      </c>
      <c r="Q59" s="176">
        <f t="shared" si="30"/>
        <v>5500</v>
      </c>
      <c r="R59" s="176"/>
      <c r="S59" s="176"/>
      <c r="T59" s="176"/>
      <c r="U59" s="176"/>
      <c r="V59" s="209"/>
    </row>
    <row r="60" spans="1:25" x14ac:dyDescent="0.2">
      <c r="A60" s="153">
        <f t="shared" si="19"/>
        <v>11000</v>
      </c>
      <c r="B60" s="193" t="s">
        <v>420</v>
      </c>
      <c r="C60" s="150" t="s">
        <v>54</v>
      </c>
      <c r="D60" s="154" t="s">
        <v>315</v>
      </c>
      <c r="E60" s="149" t="s">
        <v>318</v>
      </c>
      <c r="F60" s="151"/>
      <c r="G60" s="153">
        <v>100000</v>
      </c>
      <c r="H60" s="8">
        <v>3</v>
      </c>
      <c r="I60" s="23">
        <v>0.11</v>
      </c>
      <c r="J60" s="176"/>
      <c r="K60" s="176"/>
      <c r="L60" s="176"/>
      <c r="M60" s="176"/>
      <c r="N60" s="176"/>
      <c r="O60" s="176">
        <f t="shared" si="20"/>
        <v>3666.6666666666665</v>
      </c>
      <c r="P60" s="176">
        <f t="shared" ref="P60:Q60" si="31">+O60</f>
        <v>3666.6666666666665</v>
      </c>
      <c r="Q60" s="176">
        <f t="shared" si="31"/>
        <v>3666.6666666666665</v>
      </c>
      <c r="R60" s="176"/>
      <c r="S60" s="176"/>
      <c r="T60" s="176"/>
      <c r="U60" s="176"/>
      <c r="V60" s="209"/>
    </row>
    <row r="61" spans="1:25" x14ac:dyDescent="0.2">
      <c r="A61" s="153">
        <f t="shared" si="19"/>
        <v>11000</v>
      </c>
      <c r="B61" s="193" t="s">
        <v>420</v>
      </c>
      <c r="C61" s="150" t="s">
        <v>54</v>
      </c>
      <c r="D61" s="154" t="s">
        <v>315</v>
      </c>
      <c r="E61" s="149" t="s">
        <v>319</v>
      </c>
      <c r="F61" s="151"/>
      <c r="G61" s="153">
        <v>100000</v>
      </c>
      <c r="H61" s="8">
        <v>3</v>
      </c>
      <c r="I61" s="23">
        <v>0.11</v>
      </c>
      <c r="J61" s="176"/>
      <c r="K61" s="176"/>
      <c r="L61" s="176"/>
      <c r="M61" s="176"/>
      <c r="N61" s="176"/>
      <c r="O61" s="176">
        <f t="shared" si="20"/>
        <v>3666.6666666666665</v>
      </c>
      <c r="P61" s="176">
        <f t="shared" ref="P61:Q61" si="32">+O61</f>
        <v>3666.6666666666665</v>
      </c>
      <c r="Q61" s="176">
        <f t="shared" si="32"/>
        <v>3666.6666666666665</v>
      </c>
      <c r="R61" s="176"/>
      <c r="S61" s="176"/>
      <c r="T61" s="176"/>
      <c r="U61" s="176"/>
      <c r="V61" s="209"/>
    </row>
    <row r="62" spans="1:25" x14ac:dyDescent="0.2">
      <c r="A62" s="153">
        <f t="shared" si="19"/>
        <v>11000</v>
      </c>
      <c r="B62" s="193" t="s">
        <v>420</v>
      </c>
      <c r="C62" s="150" t="s">
        <v>54</v>
      </c>
      <c r="D62" s="154" t="s">
        <v>315</v>
      </c>
      <c r="E62" s="149" t="s">
        <v>68</v>
      </c>
      <c r="F62" s="151" t="s">
        <v>320</v>
      </c>
      <c r="G62" s="153">
        <v>100000</v>
      </c>
      <c r="H62" s="8">
        <v>3</v>
      </c>
      <c r="I62" s="23">
        <v>0.11</v>
      </c>
      <c r="J62" s="176"/>
      <c r="K62" s="176"/>
      <c r="L62" s="176"/>
      <c r="M62" s="176"/>
      <c r="N62" s="176"/>
      <c r="O62" s="176">
        <f t="shared" si="20"/>
        <v>3666.6666666666665</v>
      </c>
      <c r="P62" s="176">
        <f t="shared" ref="P62:Q62" si="33">+O62</f>
        <v>3666.6666666666665</v>
      </c>
      <c r="Q62" s="176">
        <f t="shared" si="33"/>
        <v>3666.6666666666665</v>
      </c>
      <c r="R62" s="176"/>
      <c r="S62" s="176"/>
      <c r="T62" s="176"/>
      <c r="U62" s="176"/>
      <c r="V62" s="209"/>
    </row>
    <row r="63" spans="1:25" ht="16" thickBot="1" x14ac:dyDescent="0.25">
      <c r="A63" s="153">
        <f t="shared" si="19"/>
        <v>22000</v>
      </c>
      <c r="B63" s="195" t="s">
        <v>420</v>
      </c>
      <c r="C63" s="229" t="s">
        <v>54</v>
      </c>
      <c r="D63" s="197" t="s">
        <v>315</v>
      </c>
      <c r="E63" s="198" t="s">
        <v>321</v>
      </c>
      <c r="F63" s="230"/>
      <c r="G63" s="199">
        <v>200000</v>
      </c>
      <c r="H63" s="96">
        <v>3</v>
      </c>
      <c r="I63" s="211">
        <v>0.11</v>
      </c>
      <c r="J63" s="178"/>
      <c r="K63" s="178"/>
      <c r="L63" s="178"/>
      <c r="M63" s="178"/>
      <c r="N63" s="178"/>
      <c r="O63" s="178">
        <f t="shared" si="20"/>
        <v>7333.333333333333</v>
      </c>
      <c r="P63" s="178">
        <f t="shared" ref="P63:Q63" si="34">+O63</f>
        <v>7333.333333333333</v>
      </c>
      <c r="Q63" s="178">
        <f t="shared" si="34"/>
        <v>7333.333333333333</v>
      </c>
      <c r="R63" s="178"/>
      <c r="S63" s="178"/>
      <c r="T63" s="178"/>
      <c r="U63" s="178"/>
      <c r="V63" s="177"/>
    </row>
    <row r="64" spans="1:25" x14ac:dyDescent="0.2">
      <c r="A64" s="153">
        <f t="shared" si="19"/>
        <v>124500</v>
      </c>
      <c r="B64" s="185" t="s">
        <v>420</v>
      </c>
      <c r="C64" s="186" t="s">
        <v>51</v>
      </c>
      <c r="D64" s="187" t="s">
        <v>373</v>
      </c>
      <c r="E64" s="188" t="s">
        <v>213</v>
      </c>
      <c r="F64" s="189" t="s">
        <v>372</v>
      </c>
      <c r="G64" s="190">
        <v>150000</v>
      </c>
      <c r="H64" s="119">
        <v>3</v>
      </c>
      <c r="I64" s="210">
        <v>0.83</v>
      </c>
      <c r="J64" s="191"/>
      <c r="K64" s="191"/>
      <c r="L64" s="191"/>
      <c r="M64" s="191"/>
      <c r="N64" s="191"/>
      <c r="O64" s="191">
        <f t="shared" si="20"/>
        <v>41500</v>
      </c>
      <c r="P64" s="191">
        <f t="shared" ref="P64:Q64" si="35">+O64</f>
        <v>41500</v>
      </c>
      <c r="Q64" s="191">
        <f t="shared" si="35"/>
        <v>41500</v>
      </c>
      <c r="R64" s="191"/>
      <c r="S64" s="191"/>
      <c r="T64" s="191"/>
      <c r="U64" s="191"/>
      <c r="V64" s="192"/>
    </row>
    <row r="65" spans="1:22" x14ac:dyDescent="0.2">
      <c r="A65" s="153">
        <f t="shared" si="19"/>
        <v>190900</v>
      </c>
      <c r="B65" s="193" t="s">
        <v>420</v>
      </c>
      <c r="C65" s="150" t="s">
        <v>51</v>
      </c>
      <c r="D65" s="154" t="s">
        <v>208</v>
      </c>
      <c r="E65" s="149" t="s">
        <v>207</v>
      </c>
      <c r="F65" s="151"/>
      <c r="G65" s="153">
        <v>230000</v>
      </c>
      <c r="H65" s="8">
        <v>3</v>
      </c>
      <c r="I65" s="23">
        <v>0.83</v>
      </c>
      <c r="J65" s="176"/>
      <c r="K65" s="176"/>
      <c r="L65" s="176"/>
      <c r="M65" s="176"/>
      <c r="N65" s="176"/>
      <c r="O65" s="176">
        <f t="shared" si="20"/>
        <v>63633.333333333336</v>
      </c>
      <c r="P65" s="176">
        <f t="shared" ref="P65:Q65" si="36">+O65</f>
        <v>63633.333333333336</v>
      </c>
      <c r="Q65" s="176">
        <f t="shared" si="36"/>
        <v>63633.333333333336</v>
      </c>
      <c r="R65" s="176"/>
      <c r="S65" s="176"/>
      <c r="T65" s="176"/>
      <c r="U65" s="176"/>
      <c r="V65" s="194"/>
    </row>
    <row r="66" spans="1:22" x14ac:dyDescent="0.2">
      <c r="A66" s="153">
        <f t="shared" si="19"/>
        <v>182600</v>
      </c>
      <c r="B66" s="193" t="s">
        <v>420</v>
      </c>
      <c r="C66" s="150" t="s">
        <v>51</v>
      </c>
      <c r="D66" s="154" t="s">
        <v>209</v>
      </c>
      <c r="E66" s="149" t="s">
        <v>207</v>
      </c>
      <c r="F66" s="151"/>
      <c r="G66" s="153">
        <v>220000</v>
      </c>
      <c r="H66" s="8">
        <v>3</v>
      </c>
      <c r="I66" s="23">
        <v>0.83</v>
      </c>
      <c r="J66" s="176"/>
      <c r="K66" s="176"/>
      <c r="L66" s="176"/>
      <c r="M66" s="176"/>
      <c r="N66" s="176"/>
      <c r="O66" s="176">
        <f t="shared" si="20"/>
        <v>60866.666666666664</v>
      </c>
      <c r="P66" s="176">
        <f t="shared" ref="P66:Q66" si="37">+O66</f>
        <v>60866.666666666664</v>
      </c>
      <c r="Q66" s="176">
        <f t="shared" si="37"/>
        <v>60866.666666666664</v>
      </c>
      <c r="R66" s="176"/>
      <c r="S66" s="176"/>
      <c r="T66" s="176"/>
      <c r="U66" s="176"/>
      <c r="V66" s="194"/>
    </row>
    <row r="67" spans="1:22" x14ac:dyDescent="0.2">
      <c r="A67" s="153">
        <f t="shared" si="19"/>
        <v>124500</v>
      </c>
      <c r="B67" s="193" t="s">
        <v>420</v>
      </c>
      <c r="C67" s="150" t="s">
        <v>51</v>
      </c>
      <c r="D67" s="154" t="s">
        <v>212</v>
      </c>
      <c r="E67" s="149" t="s">
        <v>210</v>
      </c>
      <c r="F67" s="151" t="s">
        <v>211</v>
      </c>
      <c r="G67" s="153">
        <v>150000</v>
      </c>
      <c r="H67" s="8">
        <v>3</v>
      </c>
      <c r="I67" s="23">
        <v>0.83</v>
      </c>
      <c r="J67" s="176"/>
      <c r="K67" s="176"/>
      <c r="L67" s="176"/>
      <c r="M67" s="176"/>
      <c r="N67" s="176"/>
      <c r="O67" s="176">
        <f t="shared" si="20"/>
        <v>41500</v>
      </c>
      <c r="P67" s="176">
        <f t="shared" ref="P67:Q67" si="38">+O67</f>
        <v>41500</v>
      </c>
      <c r="Q67" s="176">
        <f t="shared" si="38"/>
        <v>41500</v>
      </c>
      <c r="R67" s="176"/>
      <c r="S67" s="176"/>
      <c r="T67" s="176"/>
      <c r="U67" s="176"/>
      <c r="V67" s="194"/>
    </row>
    <row r="68" spans="1:22" x14ac:dyDescent="0.2">
      <c r="A68" s="153">
        <f t="shared" si="19"/>
        <v>182600</v>
      </c>
      <c r="B68" s="193" t="s">
        <v>420</v>
      </c>
      <c r="C68" s="150" t="s">
        <v>51</v>
      </c>
      <c r="D68" s="154" t="s">
        <v>214</v>
      </c>
      <c r="E68" s="149" t="s">
        <v>213</v>
      </c>
      <c r="F68" s="151"/>
      <c r="G68" s="153">
        <v>220000</v>
      </c>
      <c r="H68" s="8">
        <v>3</v>
      </c>
      <c r="I68" s="23">
        <v>0.83</v>
      </c>
      <c r="J68" s="176"/>
      <c r="K68" s="176"/>
      <c r="L68" s="176"/>
      <c r="M68" s="176"/>
      <c r="N68" s="176"/>
      <c r="O68" s="176">
        <f t="shared" si="20"/>
        <v>60866.666666666664</v>
      </c>
      <c r="P68" s="176">
        <f t="shared" ref="P68:Q68" si="39">+O68</f>
        <v>60866.666666666664</v>
      </c>
      <c r="Q68" s="176">
        <f t="shared" si="39"/>
        <v>60866.666666666664</v>
      </c>
      <c r="R68" s="176"/>
      <c r="S68" s="176"/>
      <c r="T68" s="176"/>
      <c r="U68" s="176"/>
      <c r="V68" s="194"/>
    </row>
    <row r="69" spans="1:22" x14ac:dyDescent="0.2">
      <c r="A69" s="153">
        <f t="shared" si="19"/>
        <v>107900</v>
      </c>
      <c r="B69" s="193" t="s">
        <v>420</v>
      </c>
      <c r="C69" s="150" t="s">
        <v>51</v>
      </c>
      <c r="D69" s="154" t="s">
        <v>315</v>
      </c>
      <c r="E69" s="149" t="s">
        <v>216</v>
      </c>
      <c r="F69" s="151"/>
      <c r="G69" s="153">
        <v>130000</v>
      </c>
      <c r="H69" s="8">
        <v>3</v>
      </c>
      <c r="I69" s="23">
        <v>0.83</v>
      </c>
      <c r="J69" s="176"/>
      <c r="K69" s="176"/>
      <c r="L69" s="176"/>
      <c r="M69" s="176"/>
      <c r="N69" s="176"/>
      <c r="O69" s="176">
        <f t="shared" si="20"/>
        <v>35966.666666666664</v>
      </c>
      <c r="P69" s="176">
        <f t="shared" ref="P69:Q69" si="40">+O69</f>
        <v>35966.666666666664</v>
      </c>
      <c r="Q69" s="176">
        <f t="shared" si="40"/>
        <v>35966.666666666664</v>
      </c>
      <c r="R69" s="176"/>
      <c r="S69" s="176"/>
      <c r="T69" s="176"/>
      <c r="U69" s="176"/>
      <c r="V69" s="194"/>
    </row>
    <row r="70" spans="1:22" x14ac:dyDescent="0.2">
      <c r="A70" s="153">
        <f t="shared" si="19"/>
        <v>124500</v>
      </c>
      <c r="B70" s="193" t="s">
        <v>420</v>
      </c>
      <c r="C70" s="150" t="s">
        <v>51</v>
      </c>
      <c r="D70" s="154" t="s">
        <v>315</v>
      </c>
      <c r="E70" s="149" t="s">
        <v>217</v>
      </c>
      <c r="F70" s="151"/>
      <c r="G70" s="153">
        <v>150000</v>
      </c>
      <c r="H70" s="8">
        <v>3</v>
      </c>
      <c r="I70" s="23">
        <v>0.83</v>
      </c>
      <c r="J70" s="176"/>
      <c r="K70" s="176"/>
      <c r="L70" s="176"/>
      <c r="M70" s="176"/>
      <c r="N70" s="176"/>
      <c r="O70" s="176">
        <f t="shared" si="20"/>
        <v>41500</v>
      </c>
      <c r="P70" s="176">
        <f t="shared" ref="P70:Q70" si="41">+O70</f>
        <v>41500</v>
      </c>
      <c r="Q70" s="176">
        <f t="shared" si="41"/>
        <v>41500</v>
      </c>
      <c r="R70" s="176"/>
      <c r="S70" s="176"/>
      <c r="T70" s="176"/>
      <c r="U70" s="176"/>
      <c r="V70" s="194"/>
    </row>
    <row r="71" spans="1:22" x14ac:dyDescent="0.2">
      <c r="A71" s="153">
        <f t="shared" si="19"/>
        <v>124500</v>
      </c>
      <c r="B71" s="193" t="s">
        <v>420</v>
      </c>
      <c r="C71" s="150" t="s">
        <v>51</v>
      </c>
      <c r="D71" s="154" t="s">
        <v>315</v>
      </c>
      <c r="E71" s="149" t="s">
        <v>218</v>
      </c>
      <c r="F71" s="151"/>
      <c r="G71" s="153">
        <v>150000</v>
      </c>
      <c r="H71" s="8">
        <v>3</v>
      </c>
      <c r="I71" s="23">
        <v>0.83</v>
      </c>
      <c r="J71" s="176"/>
      <c r="K71" s="176"/>
      <c r="L71" s="176"/>
      <c r="M71" s="176"/>
      <c r="N71" s="176"/>
      <c r="O71" s="176">
        <f t="shared" si="20"/>
        <v>41500</v>
      </c>
      <c r="P71" s="176">
        <f t="shared" ref="P71:Q71" si="42">+O71</f>
        <v>41500</v>
      </c>
      <c r="Q71" s="176">
        <f t="shared" si="42"/>
        <v>41500</v>
      </c>
      <c r="R71" s="176"/>
      <c r="S71" s="176"/>
      <c r="T71" s="176"/>
      <c r="U71" s="176"/>
      <c r="V71" s="194"/>
    </row>
    <row r="72" spans="1:22" x14ac:dyDescent="0.2">
      <c r="A72" s="153">
        <f t="shared" si="19"/>
        <v>124500</v>
      </c>
      <c r="B72" s="193" t="s">
        <v>420</v>
      </c>
      <c r="C72" s="150" t="s">
        <v>51</v>
      </c>
      <c r="D72" s="154" t="s">
        <v>221</v>
      </c>
      <c r="E72" s="149" t="s">
        <v>220</v>
      </c>
      <c r="F72" s="151"/>
      <c r="G72" s="153">
        <v>150000</v>
      </c>
      <c r="H72" s="8">
        <v>4</v>
      </c>
      <c r="I72" s="23">
        <v>0.83</v>
      </c>
      <c r="J72" s="176"/>
      <c r="K72" s="176"/>
      <c r="L72" s="176"/>
      <c r="M72" s="176"/>
      <c r="N72" s="176"/>
      <c r="O72" s="176">
        <f t="shared" si="20"/>
        <v>31125</v>
      </c>
      <c r="P72" s="176">
        <f t="shared" ref="P72:Q72" si="43">+O72</f>
        <v>31125</v>
      </c>
      <c r="Q72" s="176">
        <f t="shared" si="43"/>
        <v>31125</v>
      </c>
      <c r="R72" s="176">
        <f t="shared" ref="R72" si="44">+Q72</f>
        <v>31125</v>
      </c>
      <c r="S72" s="184"/>
      <c r="T72" s="176"/>
      <c r="U72" s="176"/>
      <c r="V72" s="194"/>
    </row>
    <row r="73" spans="1:22" x14ac:dyDescent="0.2">
      <c r="A73" s="153">
        <f t="shared" si="19"/>
        <v>166000</v>
      </c>
      <c r="B73" s="193" t="s">
        <v>420</v>
      </c>
      <c r="C73" s="150" t="s">
        <v>51</v>
      </c>
      <c r="D73" s="154" t="s">
        <v>315</v>
      </c>
      <c r="E73" s="149" t="s">
        <v>110</v>
      </c>
      <c r="F73" s="151"/>
      <c r="G73" s="153">
        <v>200000</v>
      </c>
      <c r="H73" s="8">
        <v>6</v>
      </c>
      <c r="I73" s="23">
        <v>0.83</v>
      </c>
      <c r="J73" s="176"/>
      <c r="K73" s="176"/>
      <c r="L73" s="176"/>
      <c r="M73" s="176"/>
      <c r="N73" s="176"/>
      <c r="O73" s="176">
        <f t="shared" si="20"/>
        <v>27666.666666666668</v>
      </c>
      <c r="P73" s="176">
        <f t="shared" ref="P73:Q73" si="45">+O73</f>
        <v>27666.666666666668</v>
      </c>
      <c r="Q73" s="176">
        <f t="shared" si="45"/>
        <v>27666.666666666668</v>
      </c>
      <c r="R73" s="176">
        <f t="shared" ref="R73:T73" si="46">+Q73</f>
        <v>27666.666666666668</v>
      </c>
      <c r="S73" s="184">
        <f t="shared" si="46"/>
        <v>27666.666666666668</v>
      </c>
      <c r="T73" s="184">
        <f t="shared" si="46"/>
        <v>27666.666666666668</v>
      </c>
      <c r="U73" s="184"/>
      <c r="V73" s="194"/>
    </row>
    <row r="74" spans="1:22" ht="16" thickBot="1" x14ac:dyDescent="0.25">
      <c r="A74" s="153">
        <f t="shared" si="19"/>
        <v>124500</v>
      </c>
      <c r="B74" s="195" t="s">
        <v>420</v>
      </c>
      <c r="C74" s="229" t="s">
        <v>51</v>
      </c>
      <c r="D74" s="197" t="s">
        <v>315</v>
      </c>
      <c r="E74" s="198" t="s">
        <v>223</v>
      </c>
      <c r="F74" s="230" t="s">
        <v>224</v>
      </c>
      <c r="G74" s="199">
        <v>150000</v>
      </c>
      <c r="H74" s="96">
        <v>3</v>
      </c>
      <c r="I74" s="211">
        <v>0.83</v>
      </c>
      <c r="J74" s="178"/>
      <c r="K74" s="178"/>
      <c r="L74" s="178"/>
      <c r="M74" s="178"/>
      <c r="N74" s="178"/>
      <c r="O74" s="178">
        <f t="shared" si="20"/>
        <v>41500</v>
      </c>
      <c r="P74" s="178">
        <f t="shared" ref="P74:Q74" si="47">+O74</f>
        <v>41500</v>
      </c>
      <c r="Q74" s="178">
        <f t="shared" si="47"/>
        <v>41500</v>
      </c>
      <c r="R74" s="178"/>
      <c r="S74" s="178"/>
      <c r="T74" s="178"/>
      <c r="U74" s="178"/>
      <c r="V74" s="200"/>
    </row>
    <row r="75" spans="1:22" x14ac:dyDescent="0.2">
      <c r="A75" s="153">
        <f t="shared" si="19"/>
        <v>19000</v>
      </c>
      <c r="B75" s="185" t="s">
        <v>420</v>
      </c>
      <c r="C75" s="186" t="s">
        <v>56</v>
      </c>
      <c r="D75" s="187" t="s">
        <v>143</v>
      </c>
      <c r="E75" s="188" t="s">
        <v>352</v>
      </c>
      <c r="F75" s="189"/>
      <c r="G75" s="190">
        <v>100000</v>
      </c>
      <c r="H75" s="119">
        <v>4</v>
      </c>
      <c r="I75" s="210">
        <v>0.19</v>
      </c>
      <c r="J75" s="191"/>
      <c r="K75" s="191"/>
      <c r="L75" s="191"/>
      <c r="M75" s="191"/>
      <c r="N75" s="191"/>
      <c r="O75" s="191">
        <f t="shared" si="20"/>
        <v>4750</v>
      </c>
      <c r="P75" s="191">
        <f t="shared" ref="P75:Q75" si="48">+O75</f>
        <v>4750</v>
      </c>
      <c r="Q75" s="191">
        <f t="shared" si="48"/>
        <v>4750</v>
      </c>
      <c r="R75" s="191">
        <f t="shared" ref="R75" si="49">+Q75</f>
        <v>4750</v>
      </c>
      <c r="S75" s="184"/>
      <c r="T75" s="191"/>
      <c r="U75" s="191"/>
      <c r="V75" s="192"/>
    </row>
    <row r="76" spans="1:22" x14ac:dyDescent="0.2">
      <c r="A76" s="153">
        <f t="shared" si="19"/>
        <v>9500</v>
      </c>
      <c r="B76" s="193" t="s">
        <v>420</v>
      </c>
      <c r="C76" s="150" t="s">
        <v>56</v>
      </c>
      <c r="D76" s="154" t="s">
        <v>146</v>
      </c>
      <c r="E76" s="149" t="s">
        <v>510</v>
      </c>
      <c r="F76" s="151" t="s">
        <v>145</v>
      </c>
      <c r="G76" s="153">
        <v>50000</v>
      </c>
      <c r="H76" s="8">
        <v>3</v>
      </c>
      <c r="I76" s="23">
        <v>0.19</v>
      </c>
      <c r="J76" s="176"/>
      <c r="K76" s="176"/>
      <c r="L76" s="176"/>
      <c r="M76" s="176"/>
      <c r="N76" s="176"/>
      <c r="O76" s="176">
        <f t="shared" si="20"/>
        <v>3166.6666666666665</v>
      </c>
      <c r="P76" s="176">
        <f t="shared" ref="P76:Q76" si="50">+O76</f>
        <v>3166.6666666666665</v>
      </c>
      <c r="Q76" s="176">
        <f t="shared" si="50"/>
        <v>3166.6666666666665</v>
      </c>
      <c r="R76" s="176"/>
      <c r="S76" s="176"/>
      <c r="T76" s="176"/>
      <c r="U76" s="176"/>
      <c r="V76" s="194"/>
    </row>
    <row r="77" spans="1:22" x14ac:dyDescent="0.2">
      <c r="A77" s="153">
        <f t="shared" si="19"/>
        <v>19000</v>
      </c>
      <c r="B77" s="193" t="s">
        <v>420</v>
      </c>
      <c r="C77" s="150" t="s">
        <v>56</v>
      </c>
      <c r="D77" s="154" t="s">
        <v>151</v>
      </c>
      <c r="E77" s="149" t="s">
        <v>149</v>
      </c>
      <c r="F77" s="151" t="s">
        <v>150</v>
      </c>
      <c r="G77" s="153">
        <v>100000</v>
      </c>
      <c r="H77" s="8">
        <v>3</v>
      </c>
      <c r="I77" s="23">
        <v>0.19</v>
      </c>
      <c r="J77" s="176"/>
      <c r="K77" s="176"/>
      <c r="L77" s="176"/>
      <c r="M77" s="176"/>
      <c r="N77" s="176"/>
      <c r="O77" s="176">
        <f t="shared" si="20"/>
        <v>6333.333333333333</v>
      </c>
      <c r="P77" s="176">
        <f t="shared" ref="P77:Q77" si="51">+O77</f>
        <v>6333.333333333333</v>
      </c>
      <c r="Q77" s="176">
        <f t="shared" si="51"/>
        <v>6333.333333333333</v>
      </c>
      <c r="R77" s="176"/>
      <c r="S77" s="176"/>
      <c r="T77" s="176"/>
      <c r="U77" s="176"/>
      <c r="V77" s="194"/>
    </row>
    <row r="78" spans="1:22" x14ac:dyDescent="0.2">
      <c r="A78" s="153">
        <f t="shared" si="19"/>
        <v>19000</v>
      </c>
      <c r="B78" s="193" t="s">
        <v>420</v>
      </c>
      <c r="C78" s="150" t="s">
        <v>56</v>
      </c>
      <c r="D78" s="154" t="s">
        <v>152</v>
      </c>
      <c r="E78" s="149" t="s">
        <v>510</v>
      </c>
      <c r="F78" s="151" t="s">
        <v>145</v>
      </c>
      <c r="G78" s="153">
        <v>100000</v>
      </c>
      <c r="H78" s="8">
        <v>3</v>
      </c>
      <c r="I78" s="23">
        <v>0.19</v>
      </c>
      <c r="J78" s="176"/>
      <c r="K78" s="176"/>
      <c r="L78" s="176"/>
      <c r="M78" s="176"/>
      <c r="N78" s="176"/>
      <c r="O78" s="176">
        <f t="shared" si="20"/>
        <v>6333.333333333333</v>
      </c>
      <c r="P78" s="176">
        <f t="shared" ref="P78:Q78" si="52">+O78</f>
        <v>6333.333333333333</v>
      </c>
      <c r="Q78" s="176">
        <f t="shared" si="52"/>
        <v>6333.333333333333</v>
      </c>
      <c r="R78" s="176"/>
      <c r="S78" s="176"/>
      <c r="T78" s="176"/>
      <c r="U78" s="176"/>
      <c r="V78" s="194"/>
    </row>
    <row r="79" spans="1:22" x14ac:dyDescent="0.2">
      <c r="A79" s="153">
        <f t="shared" si="19"/>
        <v>19000</v>
      </c>
      <c r="B79" s="193" t="s">
        <v>420</v>
      </c>
      <c r="C79" s="150" t="s">
        <v>56</v>
      </c>
      <c r="D79" s="154" t="s">
        <v>155</v>
      </c>
      <c r="E79" s="149" t="s">
        <v>153</v>
      </c>
      <c r="F79" s="151" t="s">
        <v>154</v>
      </c>
      <c r="G79" s="153">
        <v>100000</v>
      </c>
      <c r="H79" s="8">
        <v>3</v>
      </c>
      <c r="I79" s="23">
        <v>0.19</v>
      </c>
      <c r="J79" s="176"/>
      <c r="K79" s="176"/>
      <c r="L79" s="176"/>
      <c r="M79" s="176"/>
      <c r="N79" s="176"/>
      <c r="O79" s="176">
        <f t="shared" si="20"/>
        <v>6333.333333333333</v>
      </c>
      <c r="P79" s="176">
        <f t="shared" ref="P79:Q79" si="53">+O79</f>
        <v>6333.333333333333</v>
      </c>
      <c r="Q79" s="176">
        <f t="shared" si="53"/>
        <v>6333.333333333333</v>
      </c>
      <c r="R79" s="176"/>
      <c r="S79" s="176"/>
      <c r="T79" s="176"/>
      <c r="U79" s="176"/>
      <c r="V79" s="194"/>
    </row>
    <row r="80" spans="1:22" x14ac:dyDescent="0.2">
      <c r="A80" s="153">
        <f t="shared" si="19"/>
        <v>28500</v>
      </c>
      <c r="B80" s="193" t="s">
        <v>420</v>
      </c>
      <c r="C80" s="150" t="s">
        <v>56</v>
      </c>
      <c r="D80" s="154" t="s">
        <v>531</v>
      </c>
      <c r="E80" s="149" t="s">
        <v>365</v>
      </c>
      <c r="F80" s="151" t="s">
        <v>165</v>
      </c>
      <c r="G80" s="153">
        <v>150000</v>
      </c>
      <c r="H80" s="8">
        <v>3</v>
      </c>
      <c r="I80" s="23">
        <v>0.19</v>
      </c>
      <c r="J80" s="176"/>
      <c r="K80" s="176"/>
      <c r="L80" s="176"/>
      <c r="M80" s="176"/>
      <c r="N80" s="176"/>
      <c r="O80" s="176">
        <f t="shared" si="20"/>
        <v>9500</v>
      </c>
      <c r="P80" s="176">
        <f t="shared" ref="P80:Q80" si="54">+O80</f>
        <v>9500</v>
      </c>
      <c r="Q80" s="176">
        <f t="shared" si="54"/>
        <v>9500</v>
      </c>
      <c r="R80" s="176"/>
      <c r="S80" s="176"/>
      <c r="T80" s="176"/>
      <c r="U80" s="176"/>
      <c r="V80" s="194"/>
    </row>
    <row r="81" spans="1:22" x14ac:dyDescent="0.2">
      <c r="A81" s="153">
        <f t="shared" si="19"/>
        <v>15200</v>
      </c>
      <c r="B81" s="193" t="s">
        <v>420</v>
      </c>
      <c r="C81" s="219" t="s">
        <v>56</v>
      </c>
      <c r="D81" s="180" t="s">
        <v>172</v>
      </c>
      <c r="E81" s="181" t="s">
        <v>362</v>
      </c>
      <c r="F81" s="220" t="s">
        <v>171</v>
      </c>
      <c r="G81" s="182">
        <v>80000</v>
      </c>
      <c r="H81" s="183">
        <v>3</v>
      </c>
      <c r="I81" s="216">
        <v>0.19</v>
      </c>
      <c r="J81" s="184"/>
      <c r="K81" s="184"/>
      <c r="L81" s="184"/>
      <c r="M81" s="184"/>
      <c r="N81" s="184"/>
      <c r="O81" s="184">
        <f t="shared" si="20"/>
        <v>5066.666666666667</v>
      </c>
      <c r="P81" s="184">
        <f t="shared" ref="P81:Q81" si="55">+O81</f>
        <v>5066.666666666667</v>
      </c>
      <c r="Q81" s="184">
        <f t="shared" si="55"/>
        <v>5066.666666666667</v>
      </c>
      <c r="R81" s="184"/>
      <c r="S81" s="184"/>
      <c r="T81" s="184"/>
      <c r="U81" s="184"/>
      <c r="V81" s="194"/>
    </row>
    <row r="82" spans="1:22" x14ac:dyDescent="0.2">
      <c r="A82" s="153">
        <f t="shared" si="19"/>
        <v>19000</v>
      </c>
      <c r="B82" s="193" t="s">
        <v>420</v>
      </c>
      <c r="C82" s="219" t="s">
        <v>56</v>
      </c>
      <c r="D82" s="180" t="s">
        <v>553</v>
      </c>
      <c r="E82" s="181" t="s">
        <v>362</v>
      </c>
      <c r="F82" s="220" t="s">
        <v>175</v>
      </c>
      <c r="G82" s="182">
        <v>100000</v>
      </c>
      <c r="H82" s="183">
        <v>3</v>
      </c>
      <c r="I82" s="216">
        <v>0.19</v>
      </c>
      <c r="J82" s="184"/>
      <c r="K82" s="184"/>
      <c r="L82" s="184"/>
      <c r="M82" s="184"/>
      <c r="N82" s="184"/>
      <c r="O82" s="184">
        <f t="shared" si="20"/>
        <v>6333.333333333333</v>
      </c>
      <c r="P82" s="184">
        <f t="shared" ref="P82:Q82" si="56">+O82</f>
        <v>6333.333333333333</v>
      </c>
      <c r="Q82" s="184">
        <f t="shared" si="56"/>
        <v>6333.333333333333</v>
      </c>
      <c r="R82" s="184"/>
      <c r="S82" s="184"/>
      <c r="T82" s="184"/>
      <c r="U82" s="184"/>
      <c r="V82" s="194"/>
    </row>
    <row r="83" spans="1:22" x14ac:dyDescent="0.2">
      <c r="A83" s="153">
        <f t="shared" si="19"/>
        <v>28500</v>
      </c>
      <c r="B83" s="193" t="s">
        <v>420</v>
      </c>
      <c r="C83" s="219" t="s">
        <v>56</v>
      </c>
      <c r="D83" s="180" t="s">
        <v>137</v>
      </c>
      <c r="E83" s="181" t="s">
        <v>177</v>
      </c>
      <c r="F83" s="220"/>
      <c r="G83" s="182">
        <v>150000</v>
      </c>
      <c r="H83" s="183">
        <v>3</v>
      </c>
      <c r="I83" s="216">
        <v>0.19</v>
      </c>
      <c r="J83" s="184"/>
      <c r="K83" s="184"/>
      <c r="L83" s="184"/>
      <c r="M83" s="184"/>
      <c r="N83" s="184"/>
      <c r="O83" s="184">
        <f t="shared" si="20"/>
        <v>9500</v>
      </c>
      <c r="P83" s="184">
        <f t="shared" ref="P83:Q83" si="57">+O83</f>
        <v>9500</v>
      </c>
      <c r="Q83" s="184">
        <f t="shared" si="57"/>
        <v>9500</v>
      </c>
      <c r="R83" s="184"/>
      <c r="S83" s="184"/>
      <c r="T83" s="184"/>
      <c r="U83" s="184"/>
      <c r="V83" s="194"/>
    </row>
    <row r="84" spans="1:22" x14ac:dyDescent="0.2">
      <c r="A84" s="153">
        <f t="shared" si="19"/>
        <v>13300</v>
      </c>
      <c r="B84" s="193" t="s">
        <v>420</v>
      </c>
      <c r="C84" s="219" t="s">
        <v>56</v>
      </c>
      <c r="D84" s="180" t="s">
        <v>554</v>
      </c>
      <c r="E84" s="181" t="s">
        <v>223</v>
      </c>
      <c r="F84" s="220" t="s">
        <v>555</v>
      </c>
      <c r="G84" s="182">
        <v>70000</v>
      </c>
      <c r="H84" s="183">
        <v>3</v>
      </c>
      <c r="I84" s="216">
        <v>0.19</v>
      </c>
      <c r="J84" s="184"/>
      <c r="K84" s="184"/>
      <c r="L84" s="184"/>
      <c r="M84" s="184"/>
      <c r="N84" s="184"/>
      <c r="O84" s="184">
        <f t="shared" si="20"/>
        <v>4433.333333333333</v>
      </c>
      <c r="P84" s="184">
        <f t="shared" ref="P84:Q84" si="58">+O84</f>
        <v>4433.333333333333</v>
      </c>
      <c r="Q84" s="184">
        <f t="shared" si="58"/>
        <v>4433.333333333333</v>
      </c>
      <c r="R84" s="184"/>
      <c r="S84" s="184"/>
      <c r="T84" s="184"/>
      <c r="U84" s="184"/>
      <c r="V84" s="194"/>
    </row>
    <row r="85" spans="1:22" x14ac:dyDescent="0.2">
      <c r="A85" s="153">
        <f t="shared" si="19"/>
        <v>28500</v>
      </c>
      <c r="B85" s="193" t="s">
        <v>420</v>
      </c>
      <c r="C85" s="219" t="s">
        <v>56</v>
      </c>
      <c r="D85" s="180" t="s">
        <v>626</v>
      </c>
      <c r="E85" s="181" t="s">
        <v>362</v>
      </c>
      <c r="F85" s="220" t="s">
        <v>175</v>
      </c>
      <c r="G85" s="182">
        <v>150000</v>
      </c>
      <c r="H85" s="183">
        <v>4</v>
      </c>
      <c r="I85" s="216">
        <v>0.19</v>
      </c>
      <c r="J85" s="184"/>
      <c r="K85" s="184"/>
      <c r="L85" s="184"/>
      <c r="M85" s="184"/>
      <c r="N85" s="184"/>
      <c r="O85" s="184">
        <f t="shared" si="20"/>
        <v>7125</v>
      </c>
      <c r="P85" s="184">
        <f t="shared" ref="P85:Q85" si="59">+O85</f>
        <v>7125</v>
      </c>
      <c r="Q85" s="184">
        <f t="shared" si="59"/>
        <v>7125</v>
      </c>
      <c r="R85" s="184">
        <f t="shared" ref="R85" si="60">+Q85</f>
        <v>7125</v>
      </c>
      <c r="S85" s="184"/>
      <c r="T85" s="184"/>
      <c r="U85" s="184"/>
      <c r="V85" s="194"/>
    </row>
    <row r="86" spans="1:22" ht="16" thickBot="1" x14ac:dyDescent="0.25">
      <c r="A86" s="153">
        <f t="shared" si="19"/>
        <v>19000</v>
      </c>
      <c r="B86" s="195" t="s">
        <v>420</v>
      </c>
      <c r="C86" s="221" t="s">
        <v>56</v>
      </c>
      <c r="D86" s="222" t="s">
        <v>544</v>
      </c>
      <c r="E86" s="223" t="s">
        <v>149</v>
      </c>
      <c r="F86" s="224" t="s">
        <v>150</v>
      </c>
      <c r="G86" s="225">
        <v>100000</v>
      </c>
      <c r="H86" s="226">
        <v>3</v>
      </c>
      <c r="I86" s="227">
        <v>0.19</v>
      </c>
      <c r="J86" s="228"/>
      <c r="K86" s="228"/>
      <c r="L86" s="228"/>
      <c r="M86" s="228"/>
      <c r="N86" s="228"/>
      <c r="O86" s="228">
        <f t="shared" si="20"/>
        <v>6333.333333333333</v>
      </c>
      <c r="P86" s="228">
        <f t="shared" ref="P86:Q86" si="61">+O86</f>
        <v>6333.333333333333</v>
      </c>
      <c r="Q86" s="228">
        <f t="shared" si="61"/>
        <v>6333.333333333333</v>
      </c>
      <c r="R86" s="228"/>
      <c r="S86" s="228"/>
      <c r="T86" s="228"/>
      <c r="U86" s="228"/>
      <c r="V86" s="200"/>
    </row>
    <row r="87" spans="1:22" x14ac:dyDescent="0.2">
      <c r="A87" s="153">
        <f t="shared" si="19"/>
        <v>69000</v>
      </c>
      <c r="B87" s="185" t="s">
        <v>420</v>
      </c>
      <c r="C87" s="186" t="s">
        <v>49</v>
      </c>
      <c r="D87" s="187" t="s">
        <v>537</v>
      </c>
      <c r="E87" s="188" t="s">
        <v>106</v>
      </c>
      <c r="F87" s="189" t="s">
        <v>383</v>
      </c>
      <c r="G87" s="190">
        <v>150000</v>
      </c>
      <c r="H87" s="119">
        <v>3</v>
      </c>
      <c r="I87" s="210">
        <v>0.46</v>
      </c>
      <c r="J87" s="191"/>
      <c r="K87" s="191"/>
      <c r="L87" s="191"/>
      <c r="M87" s="191"/>
      <c r="N87" s="191"/>
      <c r="O87" s="191">
        <f t="shared" si="20"/>
        <v>23000</v>
      </c>
      <c r="P87" s="191">
        <f t="shared" ref="P87:Q87" si="62">+O87</f>
        <v>23000</v>
      </c>
      <c r="Q87" s="191">
        <f t="shared" si="62"/>
        <v>23000</v>
      </c>
      <c r="R87" s="191"/>
      <c r="S87" s="191"/>
      <c r="T87" s="191"/>
      <c r="U87" s="191"/>
      <c r="V87" s="192"/>
    </row>
    <row r="88" spans="1:22" x14ac:dyDescent="0.2">
      <c r="A88" s="153">
        <f t="shared" si="19"/>
        <v>69000</v>
      </c>
      <c r="B88" s="193" t="s">
        <v>420</v>
      </c>
      <c r="C88" s="219" t="s">
        <v>49</v>
      </c>
      <c r="D88" s="180" t="s">
        <v>514</v>
      </c>
      <c r="E88" s="181" t="s">
        <v>68</v>
      </c>
      <c r="F88" s="220" t="s">
        <v>70</v>
      </c>
      <c r="G88" s="182">
        <v>150000</v>
      </c>
      <c r="H88" s="183">
        <v>3</v>
      </c>
      <c r="I88" s="216">
        <v>0.46</v>
      </c>
      <c r="J88" s="184"/>
      <c r="K88" s="184"/>
      <c r="L88" s="184"/>
      <c r="M88" s="184"/>
      <c r="N88" s="184"/>
      <c r="O88" s="184">
        <f t="shared" si="20"/>
        <v>23000</v>
      </c>
      <c r="P88" s="184">
        <f t="shared" ref="P88:Q88" si="63">+O88</f>
        <v>23000</v>
      </c>
      <c r="Q88" s="184">
        <f t="shared" si="63"/>
        <v>23000</v>
      </c>
      <c r="R88" s="184"/>
      <c r="S88" s="184"/>
      <c r="T88" s="184"/>
      <c r="U88" s="184"/>
      <c r="V88" s="194"/>
    </row>
    <row r="89" spans="1:22" x14ac:dyDescent="0.2">
      <c r="A89" s="153">
        <f t="shared" si="19"/>
        <v>69000</v>
      </c>
      <c r="B89" s="193" t="s">
        <v>420</v>
      </c>
      <c r="C89" s="219" t="s">
        <v>49</v>
      </c>
      <c r="D89" s="180" t="s">
        <v>549</v>
      </c>
      <c r="E89" s="181" t="s">
        <v>106</v>
      </c>
      <c r="F89" s="220" t="s">
        <v>108</v>
      </c>
      <c r="G89" s="182">
        <v>150000</v>
      </c>
      <c r="H89" s="183">
        <v>3</v>
      </c>
      <c r="I89" s="216">
        <v>0.46</v>
      </c>
      <c r="J89" s="184"/>
      <c r="K89" s="184"/>
      <c r="L89" s="184"/>
      <c r="M89" s="184"/>
      <c r="N89" s="184"/>
      <c r="O89" s="184">
        <f t="shared" si="20"/>
        <v>23000</v>
      </c>
      <c r="P89" s="184">
        <f t="shared" ref="P89:Q89" si="64">+O89</f>
        <v>23000</v>
      </c>
      <c r="Q89" s="184">
        <f t="shared" si="64"/>
        <v>23000</v>
      </c>
      <c r="R89" s="184"/>
      <c r="S89" s="184"/>
      <c r="T89" s="184"/>
      <c r="U89" s="184"/>
      <c r="V89" s="194"/>
    </row>
    <row r="90" spans="1:22" x14ac:dyDescent="0.2">
      <c r="A90" s="153">
        <f t="shared" si="19"/>
        <v>46000</v>
      </c>
      <c r="B90" s="193" t="s">
        <v>420</v>
      </c>
      <c r="C90" s="219" t="s">
        <v>49</v>
      </c>
      <c r="D90" s="180" t="s">
        <v>75</v>
      </c>
      <c r="E90" s="181" t="s">
        <v>73</v>
      </c>
      <c r="F90" s="220" t="s">
        <v>74</v>
      </c>
      <c r="G90" s="182">
        <v>100000</v>
      </c>
      <c r="H90" s="183">
        <v>2</v>
      </c>
      <c r="I90" s="216">
        <v>0.46</v>
      </c>
      <c r="J90" s="184"/>
      <c r="K90" s="184"/>
      <c r="L90" s="184"/>
      <c r="M90" s="184"/>
      <c r="N90" s="184"/>
      <c r="O90" s="184">
        <f t="shared" si="20"/>
        <v>23000</v>
      </c>
      <c r="P90" s="184">
        <f t="shared" ref="P90" si="65">+O90</f>
        <v>23000</v>
      </c>
      <c r="Q90" s="184"/>
      <c r="R90" s="184"/>
      <c r="S90" s="184"/>
      <c r="T90" s="184"/>
      <c r="U90" s="184"/>
      <c r="V90" s="194"/>
    </row>
    <row r="91" spans="1:22" x14ac:dyDescent="0.2">
      <c r="A91" s="153">
        <f t="shared" si="19"/>
        <v>55200</v>
      </c>
      <c r="B91" s="193" t="s">
        <v>420</v>
      </c>
      <c r="C91" s="219" t="s">
        <v>49</v>
      </c>
      <c r="D91" s="180" t="s">
        <v>442</v>
      </c>
      <c r="E91" s="181" t="s">
        <v>73</v>
      </c>
      <c r="F91" s="220" t="s">
        <v>76</v>
      </c>
      <c r="G91" s="182">
        <v>120000</v>
      </c>
      <c r="H91" s="183">
        <v>3</v>
      </c>
      <c r="I91" s="216">
        <v>0.46</v>
      </c>
      <c r="J91" s="184"/>
      <c r="K91" s="184"/>
      <c r="L91" s="184"/>
      <c r="M91" s="184"/>
      <c r="N91" s="184"/>
      <c r="O91" s="184">
        <f t="shared" si="20"/>
        <v>18400</v>
      </c>
      <c r="P91" s="184">
        <f t="shared" ref="P91:Q91" si="66">+O91</f>
        <v>18400</v>
      </c>
      <c r="Q91" s="184">
        <f t="shared" si="66"/>
        <v>18400</v>
      </c>
      <c r="R91" s="184"/>
      <c r="S91" s="184"/>
      <c r="T91" s="184"/>
      <c r="U91" s="184"/>
      <c r="V91" s="194"/>
    </row>
    <row r="92" spans="1:22" x14ac:dyDescent="0.2">
      <c r="A92" s="153">
        <f t="shared" si="19"/>
        <v>46000</v>
      </c>
      <c r="B92" s="193" t="s">
        <v>420</v>
      </c>
      <c r="C92" s="219" t="s">
        <v>49</v>
      </c>
      <c r="D92" s="180" t="s">
        <v>78</v>
      </c>
      <c r="E92" s="181" t="s">
        <v>73</v>
      </c>
      <c r="F92" s="220" t="s">
        <v>77</v>
      </c>
      <c r="G92" s="182">
        <v>100000</v>
      </c>
      <c r="H92" s="183">
        <v>4</v>
      </c>
      <c r="I92" s="216">
        <v>0.46</v>
      </c>
      <c r="J92" s="184"/>
      <c r="K92" s="184"/>
      <c r="L92" s="184"/>
      <c r="M92" s="184"/>
      <c r="N92" s="184"/>
      <c r="O92" s="184">
        <f t="shared" si="20"/>
        <v>11500</v>
      </c>
      <c r="P92" s="184">
        <f t="shared" ref="P92:Q92" si="67">+O92</f>
        <v>11500</v>
      </c>
      <c r="Q92" s="184">
        <f t="shared" si="67"/>
        <v>11500</v>
      </c>
      <c r="R92" s="184">
        <f t="shared" ref="R92" si="68">+Q92</f>
        <v>11500</v>
      </c>
      <c r="S92" s="184"/>
      <c r="T92" s="184"/>
      <c r="U92" s="184"/>
      <c r="V92" s="194"/>
    </row>
    <row r="93" spans="1:22" x14ac:dyDescent="0.2">
      <c r="A93" s="153">
        <f t="shared" si="19"/>
        <v>55200</v>
      </c>
      <c r="B93" s="193" t="s">
        <v>420</v>
      </c>
      <c r="C93" s="219" t="s">
        <v>49</v>
      </c>
      <c r="D93" s="180" t="s">
        <v>443</v>
      </c>
      <c r="E93" s="181" t="s">
        <v>73</v>
      </c>
      <c r="F93" s="220" t="s">
        <v>76</v>
      </c>
      <c r="G93" s="182">
        <v>120000</v>
      </c>
      <c r="H93" s="183">
        <v>3</v>
      </c>
      <c r="I93" s="216">
        <v>0.46</v>
      </c>
      <c r="J93" s="184"/>
      <c r="K93" s="184"/>
      <c r="L93" s="184"/>
      <c r="M93" s="184"/>
      <c r="N93" s="184"/>
      <c r="O93" s="184">
        <f t="shared" si="20"/>
        <v>18400</v>
      </c>
      <c r="P93" s="184">
        <f t="shared" ref="P93:Q93" si="69">+O93</f>
        <v>18400</v>
      </c>
      <c r="Q93" s="184">
        <f t="shared" si="69"/>
        <v>18400</v>
      </c>
      <c r="R93" s="184"/>
      <c r="S93" s="184"/>
      <c r="T93" s="184"/>
      <c r="U93" s="184"/>
      <c r="V93" s="194"/>
    </row>
    <row r="94" spans="1:22" x14ac:dyDescent="0.2">
      <c r="A94" s="153">
        <f t="shared" si="19"/>
        <v>69000</v>
      </c>
      <c r="B94" s="193" t="s">
        <v>420</v>
      </c>
      <c r="C94" s="219" t="s">
        <v>49</v>
      </c>
      <c r="D94" s="180" t="s">
        <v>80</v>
      </c>
      <c r="E94" s="181" t="s">
        <v>73</v>
      </c>
      <c r="F94" s="220" t="s">
        <v>79</v>
      </c>
      <c r="G94" s="182">
        <v>150000</v>
      </c>
      <c r="H94" s="183">
        <v>3</v>
      </c>
      <c r="I94" s="216">
        <v>0.46</v>
      </c>
      <c r="J94" s="184"/>
      <c r="K94" s="184"/>
      <c r="L94" s="184"/>
      <c r="M94" s="184"/>
      <c r="N94" s="184"/>
      <c r="O94" s="184">
        <f t="shared" si="20"/>
        <v>23000</v>
      </c>
      <c r="P94" s="184">
        <f t="shared" ref="P94:Q94" si="70">+O94</f>
        <v>23000</v>
      </c>
      <c r="Q94" s="184">
        <f t="shared" si="70"/>
        <v>23000</v>
      </c>
      <c r="R94" s="184"/>
      <c r="S94" s="184"/>
      <c r="T94" s="184"/>
      <c r="U94" s="184"/>
      <c r="V94" s="194"/>
    </row>
    <row r="95" spans="1:22" x14ac:dyDescent="0.2">
      <c r="A95" s="153">
        <f t="shared" si="19"/>
        <v>46000</v>
      </c>
      <c r="B95" s="193" t="s">
        <v>420</v>
      </c>
      <c r="C95" s="219" t="s">
        <v>49</v>
      </c>
      <c r="D95" s="180" t="s">
        <v>551</v>
      </c>
      <c r="E95" s="181" t="s">
        <v>73</v>
      </c>
      <c r="F95" s="220" t="s">
        <v>79</v>
      </c>
      <c r="G95" s="182">
        <v>100000</v>
      </c>
      <c r="H95" s="183">
        <v>3</v>
      </c>
      <c r="I95" s="216">
        <v>0.46</v>
      </c>
      <c r="J95" s="184"/>
      <c r="K95" s="184"/>
      <c r="L95" s="184"/>
      <c r="M95" s="184"/>
      <c r="N95" s="184"/>
      <c r="O95" s="184">
        <f t="shared" si="20"/>
        <v>15333.333333333334</v>
      </c>
      <c r="P95" s="184">
        <f t="shared" ref="P95:Q95" si="71">+O95</f>
        <v>15333.333333333334</v>
      </c>
      <c r="Q95" s="184">
        <f t="shared" si="71"/>
        <v>15333.333333333334</v>
      </c>
      <c r="R95" s="184"/>
      <c r="S95" s="184"/>
      <c r="T95" s="184"/>
      <c r="U95" s="184"/>
      <c r="V95" s="194"/>
    </row>
    <row r="96" spans="1:22" x14ac:dyDescent="0.2">
      <c r="A96" s="153">
        <f t="shared" si="19"/>
        <v>92000</v>
      </c>
      <c r="B96" s="193" t="s">
        <v>420</v>
      </c>
      <c r="C96" s="219" t="s">
        <v>49</v>
      </c>
      <c r="D96" s="180" t="s">
        <v>451</v>
      </c>
      <c r="E96" s="181" t="s">
        <v>73</v>
      </c>
      <c r="F96" s="220" t="s">
        <v>74</v>
      </c>
      <c r="G96" s="182">
        <v>200000</v>
      </c>
      <c r="H96" s="183">
        <v>3</v>
      </c>
      <c r="I96" s="216">
        <v>0.46</v>
      </c>
      <c r="J96" s="184"/>
      <c r="K96" s="184"/>
      <c r="L96" s="184"/>
      <c r="M96" s="184"/>
      <c r="N96" s="184"/>
      <c r="O96" s="184">
        <f t="shared" si="20"/>
        <v>30666.666666666668</v>
      </c>
      <c r="P96" s="184">
        <f t="shared" ref="P96:Q96" si="72">+O96</f>
        <v>30666.666666666668</v>
      </c>
      <c r="Q96" s="184">
        <f t="shared" si="72"/>
        <v>30666.666666666668</v>
      </c>
      <c r="R96" s="184"/>
      <c r="S96" s="184"/>
      <c r="T96" s="184"/>
      <c r="U96" s="184"/>
      <c r="V96" s="194"/>
    </row>
    <row r="97" spans="1:22" x14ac:dyDescent="0.2">
      <c r="A97" s="153">
        <f t="shared" si="19"/>
        <v>69000</v>
      </c>
      <c r="B97" s="193" t="s">
        <v>420</v>
      </c>
      <c r="C97" s="219" t="s">
        <v>49</v>
      </c>
      <c r="D97" s="180" t="s">
        <v>452</v>
      </c>
      <c r="E97" s="181" t="s">
        <v>73</v>
      </c>
      <c r="F97" s="220" t="s">
        <v>77</v>
      </c>
      <c r="G97" s="182">
        <v>150000</v>
      </c>
      <c r="H97" s="183">
        <v>3</v>
      </c>
      <c r="I97" s="216">
        <v>0.46</v>
      </c>
      <c r="J97" s="184"/>
      <c r="K97" s="184"/>
      <c r="L97" s="184"/>
      <c r="M97" s="184"/>
      <c r="N97" s="184"/>
      <c r="O97" s="184">
        <f t="shared" si="20"/>
        <v>23000</v>
      </c>
      <c r="P97" s="184">
        <f t="shared" ref="P97:Q97" si="73">+O97</f>
        <v>23000</v>
      </c>
      <c r="Q97" s="184">
        <f t="shared" si="73"/>
        <v>23000</v>
      </c>
      <c r="R97" s="184"/>
      <c r="S97" s="184"/>
      <c r="T97" s="184"/>
      <c r="U97" s="184"/>
      <c r="V97" s="194"/>
    </row>
    <row r="98" spans="1:22" x14ac:dyDescent="0.2">
      <c r="A98" s="153">
        <f t="shared" si="19"/>
        <v>46000</v>
      </c>
      <c r="B98" s="193" t="s">
        <v>420</v>
      </c>
      <c r="C98" s="219" t="s">
        <v>49</v>
      </c>
      <c r="D98" s="180" t="s">
        <v>78</v>
      </c>
      <c r="E98" s="181" t="s">
        <v>73</v>
      </c>
      <c r="F98" s="220" t="s">
        <v>74</v>
      </c>
      <c r="G98" s="182">
        <v>100000</v>
      </c>
      <c r="H98" s="183">
        <v>4</v>
      </c>
      <c r="I98" s="216">
        <v>0.46</v>
      </c>
      <c r="J98" s="184"/>
      <c r="K98" s="184"/>
      <c r="L98" s="184"/>
      <c r="M98" s="184"/>
      <c r="N98" s="184"/>
      <c r="O98" s="184">
        <f t="shared" si="20"/>
        <v>11500</v>
      </c>
      <c r="P98" s="184">
        <f t="shared" ref="P98:Q98" si="74">+O98</f>
        <v>11500</v>
      </c>
      <c r="Q98" s="184">
        <f t="shared" si="74"/>
        <v>11500</v>
      </c>
      <c r="R98" s="184">
        <f t="shared" ref="R98" si="75">+Q98</f>
        <v>11500</v>
      </c>
      <c r="S98" s="184"/>
      <c r="T98" s="184"/>
      <c r="U98" s="184"/>
      <c r="V98" s="194"/>
    </row>
    <row r="99" spans="1:22" ht="16" thickBot="1" x14ac:dyDescent="0.25">
      <c r="A99" s="153">
        <f t="shared" si="19"/>
        <v>92000</v>
      </c>
      <c r="B99" s="195" t="s">
        <v>420</v>
      </c>
      <c r="C99" s="221" t="s">
        <v>49</v>
      </c>
      <c r="D99" s="222" t="s">
        <v>552</v>
      </c>
      <c r="E99" s="223" t="s">
        <v>73</v>
      </c>
      <c r="F99" s="224" t="s">
        <v>456</v>
      </c>
      <c r="G99" s="225">
        <v>200000</v>
      </c>
      <c r="H99" s="226">
        <v>4</v>
      </c>
      <c r="I99" s="227">
        <v>0.46</v>
      </c>
      <c r="J99" s="228"/>
      <c r="K99" s="228"/>
      <c r="L99" s="228"/>
      <c r="M99" s="228"/>
      <c r="N99" s="228"/>
      <c r="O99" s="228">
        <f t="shared" si="20"/>
        <v>23000</v>
      </c>
      <c r="P99" s="228">
        <f t="shared" ref="P99:Q99" si="76">+O99</f>
        <v>23000</v>
      </c>
      <c r="Q99" s="228">
        <f t="shared" si="76"/>
        <v>23000</v>
      </c>
      <c r="R99" s="228">
        <f t="shared" ref="R99" si="77">+Q99</f>
        <v>23000</v>
      </c>
      <c r="S99" s="228"/>
      <c r="T99" s="228"/>
      <c r="U99" s="228"/>
      <c r="V99" s="200"/>
    </row>
    <row r="100" spans="1:22" x14ac:dyDescent="0.2">
      <c r="F100" s="173" t="s">
        <v>34</v>
      </c>
      <c r="G100" s="174">
        <f>+SUMPRODUCT(G49:G99,I49:I99)</f>
        <v>2929400</v>
      </c>
      <c r="H100" s="175"/>
      <c r="I100" s="175"/>
      <c r="J100" s="174">
        <f t="shared" ref="J100:V100" si="78">+SUM(J49:J99)</f>
        <v>0</v>
      </c>
      <c r="K100" s="174">
        <f t="shared" si="78"/>
        <v>0</v>
      </c>
      <c r="L100" s="174">
        <f t="shared" si="78"/>
        <v>0</v>
      </c>
      <c r="M100" s="174">
        <f t="shared" si="78"/>
        <v>0</v>
      </c>
      <c r="N100" s="174">
        <f t="shared" si="78"/>
        <v>0</v>
      </c>
      <c r="O100" s="174">
        <f t="shared" si="78"/>
        <v>926800.00000000023</v>
      </c>
      <c r="P100" s="174">
        <f t="shared" si="78"/>
        <v>926800.00000000023</v>
      </c>
      <c r="Q100" s="174">
        <f t="shared" si="78"/>
        <v>903800.00000000023</v>
      </c>
      <c r="R100" s="174">
        <f t="shared" si="78"/>
        <v>116666.66666666667</v>
      </c>
      <c r="S100" s="174">
        <f t="shared" si="78"/>
        <v>27666.666666666668</v>
      </c>
      <c r="T100" s="174">
        <f t="shared" si="78"/>
        <v>27666.666666666668</v>
      </c>
      <c r="U100" s="174">
        <f t="shared" si="78"/>
        <v>0</v>
      </c>
      <c r="V100" s="174">
        <f t="shared" si="78"/>
        <v>0</v>
      </c>
    </row>
    <row r="104" spans="1:22" x14ac:dyDescent="0.2">
      <c r="G104">
        <f>+G100/3</f>
        <v>976466.66666666663</v>
      </c>
      <c r="Q104">
        <v>845000</v>
      </c>
      <c r="R104">
        <v>845000</v>
      </c>
      <c r="S104">
        <v>845000</v>
      </c>
      <c r="T104">
        <v>845000</v>
      </c>
      <c r="U104">
        <v>845000</v>
      </c>
      <c r="V104">
        <v>845000</v>
      </c>
    </row>
  </sheetData>
  <mergeCells count="5">
    <mergeCell ref="C13:G13"/>
    <mergeCell ref="B24:G24"/>
    <mergeCell ref="B47:G47"/>
    <mergeCell ref="C2:G2"/>
    <mergeCell ref="R2:V2"/>
  </mergeCells>
  <phoneticPr fontId="14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6970D8-3B8C-4F57-A2F1-C58C5AA12D90}">
          <x14:formula1>
            <xm:f>Categorias!$C$2:$C$5</xm:f>
          </x14:formula1>
          <xm:sqref>C15:C20 C26:C42 X49:X51 C49:C99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34" customWidth="1"/>
    <col min="2" max="2" width="9.1640625" style="14" customWidth="1"/>
    <col min="3" max="3" width="11.83203125" style="14" bestFit="1" customWidth="1"/>
    <col min="4" max="4" width="3" style="14" customWidth="1"/>
    <col min="5" max="5" width="31.5" style="14" customWidth="1"/>
    <col min="6" max="6" width="11.6640625" style="14" bestFit="1" customWidth="1"/>
    <col min="7" max="7" width="11.33203125" style="14" customWidth="1"/>
    <col min="8" max="8" width="13.5" style="14" bestFit="1" customWidth="1"/>
    <col min="9" max="9" width="12.33203125" bestFit="1" customWidth="1"/>
    <col min="10" max="10" width="16.1640625" style="1" bestFit="1" customWidth="1"/>
    <col min="11" max="11" width="22.6640625" style="1" bestFit="1" customWidth="1"/>
    <col min="13" max="13" width="15.33203125" bestFit="1" customWidth="1"/>
  </cols>
  <sheetData>
    <row r="1" spans="1:18" x14ac:dyDescent="0.2">
      <c r="A1" s="352" t="s">
        <v>0</v>
      </c>
      <c r="B1" s="352"/>
      <c r="C1" s="352"/>
      <c r="D1" s="352"/>
      <c r="E1" s="352"/>
      <c r="F1" s="352"/>
      <c r="G1" s="352"/>
      <c r="H1" s="352"/>
      <c r="I1" s="352"/>
    </row>
    <row r="2" spans="1:18" x14ac:dyDescent="0.2">
      <c r="A2" s="2" t="s">
        <v>1</v>
      </c>
      <c r="B2" s="3" t="s">
        <v>2</v>
      </c>
      <c r="C2" s="3" t="s">
        <v>3</v>
      </c>
      <c r="D2" s="4"/>
      <c r="E2" s="4"/>
      <c r="F2" s="4"/>
      <c r="G2" s="4"/>
      <c r="H2" s="4"/>
      <c r="I2" s="5"/>
    </row>
    <row r="3" spans="1:18" x14ac:dyDescent="0.2">
      <c r="A3" s="6" t="s">
        <v>4</v>
      </c>
      <c r="B3" s="7">
        <v>11.5</v>
      </c>
      <c r="C3" s="8" t="s">
        <v>5</v>
      </c>
      <c r="D3" s="9"/>
      <c r="E3" s="10" t="s">
        <v>6</v>
      </c>
      <c r="F3" s="10">
        <v>15</v>
      </c>
      <c r="G3" s="9"/>
      <c r="H3" s="9"/>
      <c r="I3" s="9"/>
      <c r="J3" s="9"/>
    </row>
    <row r="4" spans="1:18" x14ac:dyDescent="0.2">
      <c r="A4" s="6" t="s">
        <v>7</v>
      </c>
      <c r="B4" s="11">
        <v>0.15</v>
      </c>
      <c r="C4" s="8" t="s">
        <v>5</v>
      </c>
      <c r="D4" s="9"/>
      <c r="E4" s="10" t="s">
        <v>8</v>
      </c>
      <c r="F4" s="10">
        <v>10</v>
      </c>
      <c r="G4" s="9"/>
      <c r="H4" s="9"/>
      <c r="I4" s="9"/>
      <c r="J4" s="9"/>
      <c r="K4" s="9"/>
      <c r="L4" s="9"/>
    </row>
    <row r="5" spans="1:18" x14ac:dyDescent="0.2">
      <c r="A5" s="6" t="s">
        <v>9</v>
      </c>
      <c r="B5" s="12">
        <v>0.2</v>
      </c>
      <c r="C5" s="8" t="s">
        <v>10</v>
      </c>
      <c r="D5" s="9"/>
      <c r="E5" s="10" t="s">
        <v>11</v>
      </c>
      <c r="F5" s="10">
        <f>12*20</f>
        <v>240</v>
      </c>
      <c r="G5" s="9"/>
      <c r="H5" s="9"/>
      <c r="I5" s="9"/>
      <c r="J5" s="9"/>
      <c r="K5" s="9"/>
      <c r="L5" s="9"/>
    </row>
    <row r="6" spans="1:18" x14ac:dyDescent="0.2">
      <c r="A6" s="6" t="s">
        <v>12</v>
      </c>
      <c r="B6" s="12">
        <v>0.15</v>
      </c>
      <c r="C6" s="8" t="s">
        <v>10</v>
      </c>
      <c r="D6" s="9"/>
      <c r="E6" s="10" t="s">
        <v>13</v>
      </c>
      <c r="F6" s="10">
        <f>+F5-SUM(F3:F4)</f>
        <v>215</v>
      </c>
      <c r="G6" s="9"/>
      <c r="H6" s="9"/>
      <c r="I6" s="9"/>
      <c r="J6" s="9"/>
      <c r="K6" s="9"/>
      <c r="L6" s="9"/>
    </row>
    <row r="7" spans="1:18" x14ac:dyDescent="0.2">
      <c r="A7" s="6" t="s">
        <v>14</v>
      </c>
      <c r="B7" s="13">
        <f>1-SUM(B5:B6)</f>
        <v>0.65</v>
      </c>
      <c r="C7" s="8" t="s">
        <v>10</v>
      </c>
      <c r="D7" s="9"/>
      <c r="E7" s="9"/>
      <c r="F7" s="9"/>
      <c r="G7" s="9"/>
      <c r="H7" s="9"/>
      <c r="I7" s="9"/>
      <c r="J7" s="9"/>
      <c r="K7" s="9"/>
      <c r="L7" s="9"/>
    </row>
    <row r="8" spans="1:18" x14ac:dyDescent="0.2">
      <c r="A8" s="6" t="s">
        <v>15</v>
      </c>
      <c r="B8" s="11">
        <v>2</v>
      </c>
      <c r="C8" s="8" t="s">
        <v>16</v>
      </c>
      <c r="D8" s="9"/>
      <c r="E8" s="9"/>
      <c r="F8" s="9"/>
      <c r="G8" s="9"/>
      <c r="H8" s="9"/>
      <c r="I8" s="9"/>
      <c r="J8" s="9"/>
      <c r="K8" s="9"/>
      <c r="L8" s="9"/>
      <c r="M8" s="14"/>
      <c r="N8" s="14"/>
      <c r="O8" s="14"/>
      <c r="P8" s="14"/>
      <c r="Q8" s="14"/>
      <c r="R8" s="14"/>
    </row>
    <row r="9" spans="1:18" x14ac:dyDescent="0.2">
      <c r="A9" s="6" t="s">
        <v>17</v>
      </c>
      <c r="B9" s="11">
        <v>1.5</v>
      </c>
      <c r="C9" s="8" t="s">
        <v>16</v>
      </c>
      <c r="D9" s="9"/>
      <c r="E9" s="9"/>
      <c r="F9" s="9"/>
      <c r="G9" s="9"/>
      <c r="H9" s="9"/>
      <c r="I9" s="9"/>
      <c r="J9" s="9"/>
      <c r="K9" s="9"/>
      <c r="L9" s="9"/>
      <c r="M9" s="14"/>
      <c r="N9" s="14"/>
      <c r="O9" s="14"/>
      <c r="P9" s="14"/>
      <c r="Q9" s="14"/>
      <c r="R9" s="14"/>
    </row>
    <row r="10" spans="1:18" x14ac:dyDescent="0.2">
      <c r="A10" s="6" t="s">
        <v>18</v>
      </c>
      <c r="B10" s="11">
        <v>3</v>
      </c>
      <c r="C10" s="8" t="s">
        <v>16</v>
      </c>
      <c r="D10" s="9"/>
      <c r="E10" s="9"/>
      <c r="F10" s="9"/>
      <c r="G10" s="9"/>
      <c r="H10" s="9"/>
      <c r="I10" s="9"/>
      <c r="J10" s="9"/>
      <c r="K10" s="9"/>
      <c r="L10" s="9"/>
      <c r="M10" s="14"/>
      <c r="N10" s="14"/>
      <c r="O10" s="14"/>
      <c r="P10" s="14"/>
      <c r="Q10" s="14"/>
      <c r="R10" s="14"/>
    </row>
    <row r="11" spans="1:18" x14ac:dyDescent="0.2">
      <c r="A11" s="9"/>
      <c r="B11" s="9"/>
      <c r="D11" s="9"/>
      <c r="E11" s="9"/>
      <c r="F11" s="9"/>
      <c r="G11" s="9"/>
      <c r="H11" s="9"/>
      <c r="I11" s="9"/>
      <c r="J11" s="9"/>
      <c r="K11" s="9"/>
      <c r="L11" s="9"/>
      <c r="M11" s="14"/>
      <c r="N11" s="14"/>
      <c r="O11" s="14"/>
      <c r="P11" s="14"/>
      <c r="Q11" s="14"/>
      <c r="R11" s="14"/>
    </row>
    <row r="12" spans="1:18" x14ac:dyDescent="0.2">
      <c r="A12" s="353" t="s">
        <v>19</v>
      </c>
      <c r="B12" s="353"/>
      <c r="C12" s="353"/>
      <c r="D12" s="9"/>
      <c r="E12" s="353" t="s">
        <v>20</v>
      </c>
      <c r="F12" s="353"/>
      <c r="G12" s="353"/>
      <c r="H12" s="353"/>
      <c r="I12" s="353"/>
      <c r="J12" s="9"/>
      <c r="K12" s="9"/>
      <c r="L12" s="9"/>
      <c r="M12" s="14"/>
      <c r="N12" s="14"/>
      <c r="O12" s="14"/>
      <c r="P12" s="14"/>
      <c r="Q12" s="14"/>
      <c r="R12" s="14"/>
    </row>
    <row r="13" spans="1:18" x14ac:dyDescent="0.2">
      <c r="A13" s="15" t="s">
        <v>14</v>
      </c>
      <c r="B13" s="16">
        <f>+B3-(B3*(SUM(B5:B6)))</f>
        <v>7.4750000000000005</v>
      </c>
      <c r="C13" s="16" t="s">
        <v>5</v>
      </c>
      <c r="D13" s="9"/>
      <c r="E13" s="15" t="s">
        <v>14</v>
      </c>
      <c r="F13" s="16" t="s">
        <v>21</v>
      </c>
      <c r="G13" s="16" t="s">
        <v>22</v>
      </c>
      <c r="H13" s="16" t="s">
        <v>23</v>
      </c>
      <c r="I13" s="16" t="s">
        <v>24</v>
      </c>
      <c r="J13" s="9"/>
      <c r="K13" s="9"/>
      <c r="L13" s="9"/>
      <c r="M13" s="14"/>
      <c r="N13" s="14"/>
      <c r="O13" s="14"/>
      <c r="P13" s="14"/>
      <c r="Q13" s="14"/>
      <c r="R13" s="14"/>
    </row>
    <row r="14" spans="1:18" x14ac:dyDescent="0.2">
      <c r="A14" s="6" t="s">
        <v>25</v>
      </c>
      <c r="B14" s="12">
        <v>0.4</v>
      </c>
      <c r="C14" s="8" t="s">
        <v>10</v>
      </c>
      <c r="D14" s="9"/>
      <c r="E14" s="6" t="s">
        <v>26</v>
      </c>
      <c r="F14" s="17">
        <f>+B16*SUM(G14:I14)</f>
        <v>872.08333333333337</v>
      </c>
      <c r="G14" s="11">
        <v>1</v>
      </c>
      <c r="H14" s="11"/>
      <c r="I14" s="18">
        <v>6</v>
      </c>
      <c r="J14" s="9"/>
      <c r="K14" s="9"/>
      <c r="L14" s="9"/>
      <c r="M14" s="14"/>
      <c r="N14" s="14"/>
      <c r="O14" s="14"/>
      <c r="P14" s="14"/>
      <c r="Q14" s="14"/>
      <c r="R14" s="14"/>
    </row>
    <row r="15" spans="1:18" x14ac:dyDescent="0.2">
      <c r="A15" s="6" t="s">
        <v>26</v>
      </c>
      <c r="B15" s="8">
        <f>+B13/B14</f>
        <v>18.6875</v>
      </c>
      <c r="C15" s="8" t="s">
        <v>5</v>
      </c>
      <c r="D15" s="9"/>
      <c r="E15" s="6" t="s">
        <v>15</v>
      </c>
      <c r="F15" s="17">
        <f>+B17*SUM(G15:I15)</f>
        <v>498.33333333333337</v>
      </c>
      <c r="G15" s="11">
        <v>1</v>
      </c>
      <c r="H15" s="11"/>
      <c r="I15" s="18">
        <v>1</v>
      </c>
      <c r="J15" s="9"/>
      <c r="K15" s="9"/>
      <c r="L15" s="9"/>
      <c r="M15" s="14"/>
      <c r="N15" s="14"/>
      <c r="O15" s="14"/>
      <c r="P15" s="14"/>
      <c r="Q15" s="14"/>
      <c r="R15" s="14"/>
    </row>
    <row r="16" spans="1:18" x14ac:dyDescent="0.2">
      <c r="A16" s="6" t="s">
        <v>26</v>
      </c>
      <c r="B16" s="19">
        <f>+B15/B4</f>
        <v>124.58333333333334</v>
      </c>
      <c r="C16" s="8" t="s">
        <v>16</v>
      </c>
      <c r="D16" s="9"/>
      <c r="E16" s="6" t="s">
        <v>17</v>
      </c>
      <c r="F16" s="17">
        <f>+B18*SUM(G16:I16)</f>
        <v>1681.875</v>
      </c>
      <c r="G16" s="11">
        <v>1</v>
      </c>
      <c r="H16" s="11">
        <v>0.5</v>
      </c>
      <c r="I16" s="18">
        <v>3</v>
      </c>
      <c r="J16" s="9"/>
      <c r="K16" s="9"/>
      <c r="L16" s="9"/>
      <c r="M16" s="14"/>
      <c r="N16" s="14"/>
      <c r="O16" s="14"/>
      <c r="P16" s="14"/>
      <c r="Q16" s="14"/>
      <c r="R16" s="14"/>
    </row>
    <row r="17" spans="1:18" x14ac:dyDescent="0.2">
      <c r="A17" s="6" t="s">
        <v>15</v>
      </c>
      <c r="B17" s="19">
        <f>+B16*B8</f>
        <v>249.16666666666669</v>
      </c>
      <c r="C17" s="8" t="s">
        <v>16</v>
      </c>
      <c r="D17" s="9"/>
      <c r="E17" s="6" t="s">
        <v>27</v>
      </c>
      <c r="F17" s="17">
        <f>+B19*SUM(G17:I17)</f>
        <v>2803.125</v>
      </c>
      <c r="G17" s="11">
        <v>2.5</v>
      </c>
      <c r="H17" s="11">
        <v>0</v>
      </c>
      <c r="I17" s="18">
        <v>0</v>
      </c>
      <c r="J17" s="9"/>
      <c r="K17" s="9"/>
      <c r="L17" s="9"/>
      <c r="M17" s="14"/>
      <c r="N17" s="14"/>
      <c r="O17" s="14"/>
      <c r="P17" s="14"/>
      <c r="Q17" s="14"/>
      <c r="R17" s="14"/>
    </row>
    <row r="18" spans="1:18" x14ac:dyDescent="0.2">
      <c r="A18" s="6" t="s">
        <v>17</v>
      </c>
      <c r="B18" s="8">
        <f>+B17*B9</f>
        <v>373.75</v>
      </c>
      <c r="C18" s="8" t="s">
        <v>16</v>
      </c>
      <c r="D18" s="9"/>
      <c r="E18" s="9"/>
      <c r="F18" s="20">
        <f>+SUM(F14:F17)</f>
        <v>5855.416666666667</v>
      </c>
      <c r="G18" s="21">
        <f>+SUMPRODUCT(G14:G17,$B$16:$B$19)</f>
        <v>3550.625</v>
      </c>
      <c r="H18" s="21">
        <f>+SUMPRODUCT(H14:H17,$B$16:$B$19)</f>
        <v>186.875</v>
      </c>
      <c r="I18" s="21">
        <f>+SUMPRODUCT(I14:I17,$B$16:$B$19)</f>
        <v>2117.916666666667</v>
      </c>
      <c r="J18" s="9"/>
      <c r="K18" s="9"/>
      <c r="L18" s="9"/>
      <c r="M18" s="14"/>
      <c r="N18" s="14"/>
      <c r="O18" s="14"/>
      <c r="P18" s="14"/>
      <c r="Q18" s="14"/>
      <c r="R18" s="14"/>
    </row>
    <row r="19" spans="1:18" x14ac:dyDescent="0.2">
      <c r="A19" s="6" t="s">
        <v>27</v>
      </c>
      <c r="B19" s="8">
        <f>+B18*B10</f>
        <v>1121.25</v>
      </c>
      <c r="C19" s="8" t="s">
        <v>16</v>
      </c>
      <c r="D19" s="9"/>
      <c r="E19" s="9"/>
      <c r="F19" s="9"/>
      <c r="G19" s="9"/>
      <c r="H19" s="9"/>
      <c r="I19" s="9"/>
      <c r="J19" s="9"/>
      <c r="K19" s="9"/>
      <c r="L19" s="9"/>
      <c r="M19" s="14"/>
      <c r="N19" s="14"/>
      <c r="O19" s="14"/>
      <c r="P19" s="14"/>
      <c r="Q19" s="14"/>
      <c r="R19" s="14"/>
    </row>
    <row r="20" spans="1:18" x14ac:dyDescent="0.2">
      <c r="A20" s="15" t="s">
        <v>9</v>
      </c>
      <c r="B20" s="16">
        <f>+B3*B5</f>
        <v>2.3000000000000003</v>
      </c>
      <c r="C20" s="16" t="s">
        <v>5</v>
      </c>
      <c r="D20" s="9"/>
      <c r="E20" s="15" t="s">
        <v>9</v>
      </c>
      <c r="F20" s="16" t="s">
        <v>21</v>
      </c>
      <c r="G20" s="16" t="s">
        <v>22</v>
      </c>
      <c r="H20" s="16" t="s">
        <v>23</v>
      </c>
      <c r="I20" s="16" t="s">
        <v>24</v>
      </c>
      <c r="J20" s="9"/>
      <c r="K20" s="9"/>
      <c r="L20" s="9"/>
      <c r="M20" s="14"/>
      <c r="N20" s="14"/>
      <c r="O20" s="14"/>
      <c r="P20" s="14"/>
      <c r="Q20" s="14"/>
      <c r="R20" s="14"/>
    </row>
    <row r="21" spans="1:18" x14ac:dyDescent="0.2">
      <c r="A21" s="6" t="s">
        <v>25</v>
      </c>
      <c r="B21" s="12">
        <v>0.4</v>
      </c>
      <c r="C21" s="8" t="s">
        <v>10</v>
      </c>
      <c r="D21" s="9"/>
      <c r="E21" s="6" t="s">
        <v>28</v>
      </c>
      <c r="F21" s="17">
        <f>+B23*SUM(G21:I21)</f>
        <v>575</v>
      </c>
      <c r="G21" s="11">
        <v>1</v>
      </c>
      <c r="H21" s="11">
        <v>2</v>
      </c>
      <c r="I21" s="11">
        <v>12</v>
      </c>
      <c r="J21" s="9"/>
      <c r="K21" s="9"/>
      <c r="L21" s="14"/>
      <c r="M21" s="14"/>
      <c r="N21" s="14"/>
      <c r="O21" s="14"/>
      <c r="P21" s="14"/>
      <c r="Q21" s="14"/>
      <c r="R21" s="14"/>
    </row>
    <row r="22" spans="1:18" x14ac:dyDescent="0.2">
      <c r="A22" s="6" t="s">
        <v>26</v>
      </c>
      <c r="B22" s="8">
        <f>+B20/B21</f>
        <v>5.75</v>
      </c>
      <c r="C22" s="8" t="s">
        <v>5</v>
      </c>
      <c r="D22" s="9"/>
      <c r="E22" s="6" t="s">
        <v>29</v>
      </c>
      <c r="F22" s="17">
        <f>+B24*SUM(G22:I22)</f>
        <v>249.16666666666669</v>
      </c>
      <c r="G22" s="11">
        <v>2</v>
      </c>
      <c r="H22" s="11">
        <v>1.5</v>
      </c>
      <c r="I22" s="11">
        <v>3</v>
      </c>
      <c r="J22" s="9"/>
      <c r="K22" s="9"/>
      <c r="L22" s="14"/>
      <c r="M22" s="14"/>
      <c r="N22" s="14"/>
      <c r="O22" s="14"/>
      <c r="P22" s="14"/>
      <c r="Q22" s="14"/>
      <c r="R22" s="14"/>
    </row>
    <row r="23" spans="1:18" x14ac:dyDescent="0.2">
      <c r="A23" s="6" t="s">
        <v>26</v>
      </c>
      <c r="B23" s="19">
        <f>+B22/B4</f>
        <v>38.333333333333336</v>
      </c>
      <c r="C23" s="8" t="s">
        <v>16</v>
      </c>
      <c r="D23" s="9"/>
      <c r="E23" s="9"/>
      <c r="F23" s="20">
        <f>+SUM(F21:F22)</f>
        <v>824.16666666666674</v>
      </c>
      <c r="G23" s="21">
        <f>+SUMPRODUCT(G21:G22,$B$23:$B$24)</f>
        <v>115</v>
      </c>
      <c r="H23" s="21">
        <f t="shared" ref="H23" si="0">+SUMPRODUCT(H21:H22,$B$23:$B$24)</f>
        <v>134.16666666666669</v>
      </c>
      <c r="I23" s="21">
        <f>+SUMPRODUCT(I21:I22,$B$23:$B$24)</f>
        <v>575</v>
      </c>
      <c r="J23" s="9"/>
      <c r="K23" s="9"/>
      <c r="L23" s="14"/>
      <c r="M23" s="14"/>
      <c r="N23" s="14"/>
      <c r="O23" s="14"/>
      <c r="P23" s="14"/>
      <c r="Q23" s="14"/>
      <c r="R23" s="14"/>
    </row>
    <row r="24" spans="1:18" x14ac:dyDescent="0.2">
      <c r="A24" s="6" t="s">
        <v>29</v>
      </c>
      <c r="B24" s="19">
        <f>+B23</f>
        <v>38.333333333333336</v>
      </c>
      <c r="C24" s="8" t="s">
        <v>16</v>
      </c>
      <c r="D24" s="9"/>
      <c r="E24" s="9"/>
      <c r="F24" s="9"/>
      <c r="G24" s="9"/>
      <c r="H24" s="9"/>
      <c r="I24" s="9"/>
      <c r="J24" s="9"/>
      <c r="K24" s="9"/>
      <c r="L24" s="14"/>
      <c r="M24" s="14"/>
      <c r="N24" s="14"/>
      <c r="O24" s="14"/>
      <c r="P24" s="14"/>
      <c r="Q24" s="14"/>
      <c r="R24" s="14"/>
    </row>
    <row r="25" spans="1:18" x14ac:dyDescent="0.2">
      <c r="A25" s="15" t="s">
        <v>12</v>
      </c>
      <c r="B25" s="16">
        <f>+B6*B3</f>
        <v>1.7249999999999999</v>
      </c>
      <c r="C25" s="16" t="s">
        <v>5</v>
      </c>
      <c r="D25" s="9"/>
      <c r="E25" s="15" t="s">
        <v>12</v>
      </c>
      <c r="F25" s="16" t="s">
        <v>21</v>
      </c>
      <c r="G25" s="16" t="s">
        <v>22</v>
      </c>
      <c r="H25" s="16" t="s">
        <v>23</v>
      </c>
      <c r="I25" s="16" t="s">
        <v>24</v>
      </c>
      <c r="J25" s="9"/>
      <c r="K25" s="9"/>
      <c r="L25" s="14"/>
      <c r="M25" s="14"/>
      <c r="N25" s="14"/>
      <c r="O25" s="14"/>
      <c r="P25" s="14"/>
      <c r="Q25" s="14"/>
      <c r="R25" s="14"/>
    </row>
    <row r="26" spans="1:18" x14ac:dyDescent="0.2">
      <c r="A26" s="6" t="s">
        <v>25</v>
      </c>
      <c r="B26" s="12">
        <v>0.8</v>
      </c>
      <c r="C26" s="8" t="s">
        <v>10</v>
      </c>
      <c r="D26" s="9"/>
      <c r="E26" s="6" t="s">
        <v>30</v>
      </c>
      <c r="F26" s="17">
        <f>+B28*SUM(G26:I26)</f>
        <v>186.87499999999997</v>
      </c>
      <c r="G26" s="11">
        <v>1</v>
      </c>
      <c r="H26" s="11">
        <v>4</v>
      </c>
      <c r="I26" s="18">
        <v>8</v>
      </c>
      <c r="J26" s="9"/>
      <c r="K26" s="9"/>
      <c r="L26" s="14"/>
      <c r="M26" s="14"/>
      <c r="N26" s="14"/>
      <c r="O26" s="14"/>
      <c r="P26" s="14"/>
      <c r="Q26" s="14"/>
      <c r="R26" s="14"/>
    </row>
    <row r="27" spans="1:18" x14ac:dyDescent="0.2">
      <c r="A27" s="6" t="s">
        <v>26</v>
      </c>
      <c r="B27" s="22">
        <f>+B25/B26</f>
        <v>2.1562499999999996</v>
      </c>
      <c r="C27" s="8" t="s">
        <v>5</v>
      </c>
      <c r="D27" s="9"/>
      <c r="E27" s="6" t="s">
        <v>31</v>
      </c>
      <c r="F27" s="17">
        <f>+B29*SUM(G27:I27)</f>
        <v>86.249999999999986</v>
      </c>
      <c r="G27" s="11">
        <v>2</v>
      </c>
      <c r="H27" s="11">
        <v>2</v>
      </c>
      <c r="I27" s="18">
        <v>2</v>
      </c>
      <c r="J27" s="9"/>
      <c r="K27" s="9"/>
      <c r="L27" s="14"/>
      <c r="M27" s="14"/>
      <c r="N27" s="14"/>
      <c r="O27" s="14"/>
      <c r="P27" s="14"/>
      <c r="Q27" s="14"/>
      <c r="R27" s="14"/>
    </row>
    <row r="28" spans="1:18" x14ac:dyDescent="0.2">
      <c r="A28" s="6" t="s">
        <v>26</v>
      </c>
      <c r="B28" s="19">
        <f>+B27/B4</f>
        <v>14.374999999999998</v>
      </c>
      <c r="C28" s="8" t="s">
        <v>16</v>
      </c>
      <c r="D28" s="9"/>
      <c r="E28" s="6" t="s">
        <v>32</v>
      </c>
      <c r="F28" s="17">
        <f>+B30*SUM(G28:I28)</f>
        <v>64.687499999999986</v>
      </c>
      <c r="G28" s="11">
        <v>0.5</v>
      </c>
      <c r="H28" s="11">
        <v>2</v>
      </c>
      <c r="I28" s="18">
        <v>2</v>
      </c>
      <c r="J28" s="9"/>
      <c r="K28" s="9"/>
      <c r="L28" s="14"/>
      <c r="M28" s="14"/>
      <c r="N28" s="14"/>
      <c r="O28" s="14"/>
      <c r="P28" s="14"/>
      <c r="Q28" s="14"/>
      <c r="R28" s="14"/>
    </row>
    <row r="29" spans="1:18" x14ac:dyDescent="0.2">
      <c r="A29" s="6" t="s">
        <v>31</v>
      </c>
      <c r="B29" s="19">
        <f>+B28</f>
        <v>14.374999999999998</v>
      </c>
      <c r="C29" s="8" t="s">
        <v>16</v>
      </c>
      <c r="D29" s="9"/>
      <c r="E29" s="9"/>
      <c r="F29" s="20">
        <f>+SUM(F26:F28)</f>
        <v>337.81249999999994</v>
      </c>
      <c r="G29" s="21">
        <f>+SUMPRODUCT(G26:G28,$B$28:$B$30)</f>
        <v>50.312499999999993</v>
      </c>
      <c r="H29" s="21">
        <f t="shared" ref="H29" si="1">+SUMPRODUCT(H26:H28,$B$28:$B$30)</f>
        <v>114.99999999999999</v>
      </c>
      <c r="I29" s="21">
        <f>+SUMPRODUCT(I26:I28,$B$28:$B$30)</f>
        <v>172.49999999999997</v>
      </c>
      <c r="J29" s="9"/>
      <c r="K29" s="9"/>
      <c r="L29" s="14"/>
      <c r="M29" s="14"/>
      <c r="N29" s="14"/>
      <c r="O29" s="14"/>
      <c r="P29" s="14"/>
      <c r="Q29" s="14"/>
      <c r="R29" s="14"/>
    </row>
    <row r="30" spans="1:18" x14ac:dyDescent="0.2">
      <c r="A30" s="6" t="s">
        <v>32</v>
      </c>
      <c r="B30" s="19">
        <f>+B29</f>
        <v>14.374999999999998</v>
      </c>
      <c r="C30" s="8" t="s">
        <v>16</v>
      </c>
      <c r="D30" s="9"/>
      <c r="E30" s="9"/>
      <c r="F30" s="9"/>
      <c r="G30" s="9"/>
      <c r="H30" s="9"/>
      <c r="I30" s="9"/>
      <c r="J30" s="9"/>
      <c r="K30" s="9"/>
      <c r="L30" s="14"/>
      <c r="M30" s="14"/>
      <c r="N30" s="14"/>
      <c r="O30" s="14"/>
      <c r="P30" s="14"/>
      <c r="Q30" s="14"/>
      <c r="R30" s="14"/>
    </row>
    <row r="31" spans="1:18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14"/>
      <c r="M31" s="14"/>
      <c r="N31" s="14"/>
      <c r="O31" s="14"/>
      <c r="P31" s="14"/>
      <c r="Q31" s="14"/>
      <c r="R31" s="14"/>
    </row>
    <row r="32" spans="1:18" x14ac:dyDescent="0.2">
      <c r="A32" s="9"/>
      <c r="B32" s="9"/>
      <c r="C32" s="9"/>
      <c r="D32" s="9"/>
      <c r="E32" s="9"/>
      <c r="F32" s="16" t="s">
        <v>33</v>
      </c>
      <c r="G32" s="16" t="s">
        <v>425</v>
      </c>
      <c r="H32" s="16" t="s">
        <v>23</v>
      </c>
      <c r="I32" s="16" t="s">
        <v>24</v>
      </c>
      <c r="J32" s="9"/>
      <c r="K32" s="9"/>
      <c r="L32" s="14"/>
      <c r="M32" s="14"/>
      <c r="N32" s="14"/>
      <c r="O32" s="14"/>
      <c r="P32" s="14"/>
      <c r="Q32" s="14"/>
      <c r="R32" s="14"/>
    </row>
    <row r="33" spans="1:18" x14ac:dyDescent="0.2">
      <c r="A33" s="15" t="s">
        <v>34</v>
      </c>
      <c r="B33" s="8" t="s">
        <v>16</v>
      </c>
      <c r="C33" s="9"/>
      <c r="D33" s="9"/>
      <c r="E33" s="9"/>
      <c r="F33" s="8" t="s">
        <v>35</v>
      </c>
      <c r="G33" s="17">
        <f>+G29+G23+G18</f>
        <v>3715.9375</v>
      </c>
      <c r="H33" s="17">
        <f t="shared" ref="H33" si="2">+H29+H23+H18</f>
        <v>436.04166666666669</v>
      </c>
      <c r="I33" s="17">
        <f>+I29+I23+I18</f>
        <v>2865.416666666667</v>
      </c>
      <c r="J33" s="9"/>
      <c r="K33" s="9"/>
      <c r="L33" s="14"/>
      <c r="M33" s="14"/>
      <c r="N33" s="14"/>
      <c r="O33" s="14"/>
      <c r="P33" s="14"/>
      <c r="Q33" s="14"/>
      <c r="R33" s="14"/>
    </row>
    <row r="34" spans="1:18" x14ac:dyDescent="0.2">
      <c r="A34" s="6" t="s">
        <v>26</v>
      </c>
      <c r="B34" s="19">
        <f>+B28+B23+B16</f>
        <v>177.29166666666669</v>
      </c>
      <c r="C34" s="9"/>
      <c r="D34" s="9"/>
      <c r="E34" s="9"/>
      <c r="F34" s="8" t="s">
        <v>36</v>
      </c>
      <c r="G34" s="19">
        <f>+G33/9</f>
        <v>412.88194444444446</v>
      </c>
      <c r="H34" s="19">
        <f t="shared" ref="H34" si="3">+H33/9</f>
        <v>48.449074074074076</v>
      </c>
      <c r="I34" s="19">
        <f>+I33/9</f>
        <v>318.37962962962968</v>
      </c>
    </row>
    <row r="35" spans="1:18" x14ac:dyDescent="0.2">
      <c r="A35" s="9"/>
      <c r="B35" s="9"/>
      <c r="C35" s="9"/>
      <c r="D35" s="9"/>
      <c r="E35" s="9"/>
      <c r="F35" s="8" t="s">
        <v>37</v>
      </c>
      <c r="G35" s="23">
        <f>+G34/$F$6</f>
        <v>1.9203811369509045</v>
      </c>
      <c r="H35" s="23">
        <f t="shared" ref="H35" si="4">+H34/$F$6</f>
        <v>0.22534453057708873</v>
      </c>
      <c r="I35" s="23">
        <f>+I34/$F$6</f>
        <v>1.4808354866494404</v>
      </c>
    </row>
    <row r="36" spans="1:18" x14ac:dyDescent="0.2">
      <c r="A36" s="9"/>
      <c r="B36" s="9"/>
      <c r="C36" s="9"/>
      <c r="D36" s="9"/>
      <c r="E36" s="9"/>
      <c r="F36" s="9"/>
      <c r="G36" s="9"/>
      <c r="H36" s="9"/>
      <c r="I36" s="9"/>
    </row>
    <row r="37" spans="1:18" s="14" customFormat="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1"/>
    </row>
    <row r="38" spans="1:18" x14ac:dyDescent="0.2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8" x14ac:dyDescent="0.2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8" x14ac:dyDescent="0.2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8" x14ac:dyDescent="0.2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8" x14ac:dyDescent="0.2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8" x14ac:dyDescent="0.2">
      <c r="E43" s="9"/>
      <c r="F43" s="9"/>
      <c r="G43" s="9"/>
      <c r="H43" s="9"/>
      <c r="I43" s="9"/>
      <c r="J43" s="9"/>
    </row>
  </sheetData>
  <mergeCells count="3">
    <mergeCell ref="A1:I1"/>
    <mergeCell ref="A12:C12"/>
    <mergeCell ref="E12:I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3E3E-BBF1-40D1-A57A-1CAEE021D150}">
  <dimension ref="A1:F23"/>
  <sheetViews>
    <sheetView workbookViewId="0">
      <selection activeCell="H21" sqref="H21"/>
    </sheetView>
  </sheetViews>
  <sheetFormatPr baseColWidth="10" defaultColWidth="11.5" defaultRowHeight="15" x14ac:dyDescent="0.2"/>
  <cols>
    <col min="1" max="1" width="20.1640625" bestFit="1" customWidth="1"/>
    <col min="5" max="5" width="15.1640625" bestFit="1" customWidth="1"/>
    <col min="6" max="6" width="11.5" style="14"/>
  </cols>
  <sheetData>
    <row r="1" spans="1:6" ht="16" thickBot="1" x14ac:dyDescent="0.25">
      <c r="A1" s="127" t="s">
        <v>433</v>
      </c>
      <c r="B1" s="127" t="s">
        <v>435</v>
      </c>
      <c r="C1" s="127" t="s">
        <v>434</v>
      </c>
      <c r="D1" s="127" t="s">
        <v>436</v>
      </c>
      <c r="E1" s="127" t="s">
        <v>64</v>
      </c>
      <c r="F1" s="127" t="s">
        <v>65</v>
      </c>
    </row>
    <row r="2" spans="1:6" x14ac:dyDescent="0.2">
      <c r="A2" s="134" t="s">
        <v>438</v>
      </c>
      <c r="B2" s="6"/>
      <c r="C2" s="6"/>
      <c r="D2" s="6"/>
      <c r="E2" s="8" t="s">
        <v>73</v>
      </c>
      <c r="F2" s="8"/>
    </row>
    <row r="3" spans="1:6" x14ac:dyDescent="0.2">
      <c r="A3" s="36" t="s">
        <v>440</v>
      </c>
      <c r="B3" s="6"/>
      <c r="C3" s="6"/>
      <c r="D3" s="6"/>
      <c r="E3" s="8" t="s">
        <v>73</v>
      </c>
      <c r="F3" s="8"/>
    </row>
    <row r="4" spans="1:6" x14ac:dyDescent="0.2">
      <c r="A4" s="36" t="s">
        <v>439</v>
      </c>
      <c r="B4" s="6"/>
      <c r="C4" s="6"/>
      <c r="D4" s="6"/>
      <c r="E4" s="8" t="s">
        <v>73</v>
      </c>
      <c r="F4" s="8"/>
    </row>
    <row r="5" spans="1:6" x14ac:dyDescent="0.2">
      <c r="A5" s="36" t="s">
        <v>448</v>
      </c>
      <c r="B5" s="6"/>
      <c r="C5" s="6"/>
      <c r="D5" s="6"/>
      <c r="E5" s="8" t="s">
        <v>73</v>
      </c>
      <c r="F5" s="8"/>
    </row>
    <row r="6" spans="1:6" x14ac:dyDescent="0.2">
      <c r="A6" s="36" t="s">
        <v>445</v>
      </c>
      <c r="B6" s="6"/>
      <c r="C6" s="6"/>
      <c r="D6" s="6"/>
      <c r="E6" s="8" t="s">
        <v>73</v>
      </c>
      <c r="F6" s="8"/>
    </row>
    <row r="7" spans="1:6" x14ac:dyDescent="0.2">
      <c r="A7" s="100" t="s">
        <v>450</v>
      </c>
      <c r="B7" s="6"/>
      <c r="C7" s="6"/>
      <c r="D7" s="6"/>
      <c r="E7" s="8" t="s">
        <v>73</v>
      </c>
      <c r="F7" s="8"/>
    </row>
    <row r="8" spans="1:6" x14ac:dyDescent="0.2">
      <c r="A8" s="100" t="s">
        <v>453</v>
      </c>
      <c r="B8" s="6"/>
      <c r="C8" s="6"/>
      <c r="D8" s="6"/>
      <c r="E8" s="8" t="s">
        <v>73</v>
      </c>
      <c r="F8" s="8"/>
    </row>
    <row r="9" spans="1:6" x14ac:dyDescent="0.2">
      <c r="A9" s="133" t="s">
        <v>455</v>
      </c>
      <c r="E9" s="8" t="s">
        <v>73</v>
      </c>
    </row>
    <row r="10" spans="1:6" ht="16" thickBot="1" x14ac:dyDescent="0.25">
      <c r="A10" s="136" t="s">
        <v>458</v>
      </c>
      <c r="B10" s="6"/>
      <c r="C10" s="6"/>
      <c r="D10" s="6"/>
      <c r="E10" s="8" t="s">
        <v>73</v>
      </c>
      <c r="F10" s="8"/>
    </row>
    <row r="11" spans="1:6" x14ac:dyDescent="0.2">
      <c r="A11" s="6" t="s">
        <v>516</v>
      </c>
      <c r="B11" s="6" t="s">
        <v>517</v>
      </c>
      <c r="C11" s="6"/>
      <c r="D11" s="6"/>
      <c r="E11" s="8" t="s">
        <v>518</v>
      </c>
      <c r="F11" s="8" t="s">
        <v>519</v>
      </c>
    </row>
    <row r="12" spans="1:6" x14ac:dyDescent="0.2">
      <c r="A12" s="6"/>
      <c r="B12" s="6"/>
      <c r="C12" s="6"/>
      <c r="D12" s="6"/>
      <c r="E12" s="8"/>
      <c r="F12" s="8"/>
    </row>
    <row r="13" spans="1:6" x14ac:dyDescent="0.2">
      <c r="A13" s="6"/>
      <c r="B13" s="6"/>
      <c r="C13" s="6"/>
      <c r="D13" s="6"/>
      <c r="E13" s="8"/>
      <c r="F13" s="8"/>
    </row>
    <row r="14" spans="1:6" x14ac:dyDescent="0.2">
      <c r="A14" s="6"/>
      <c r="B14" s="6"/>
      <c r="C14" s="6"/>
      <c r="D14" s="6"/>
      <c r="E14" s="8"/>
      <c r="F14" s="8"/>
    </row>
    <row r="15" spans="1:6" x14ac:dyDescent="0.2">
      <c r="A15" s="100" t="s">
        <v>460</v>
      </c>
      <c r="B15" s="6"/>
      <c r="C15" s="6"/>
      <c r="D15" s="6"/>
      <c r="E15" s="8" t="s">
        <v>68</v>
      </c>
      <c r="F15" s="8" t="s">
        <v>69</v>
      </c>
    </row>
    <row r="16" spans="1:6" x14ac:dyDescent="0.2">
      <c r="A16" s="100" t="s">
        <v>461</v>
      </c>
      <c r="B16" s="6"/>
      <c r="C16" s="6"/>
      <c r="D16" s="6"/>
      <c r="E16" s="8" t="s">
        <v>68</v>
      </c>
      <c r="F16" s="8" t="s">
        <v>69</v>
      </c>
    </row>
    <row r="17" spans="1:6" x14ac:dyDescent="0.2">
      <c r="A17" s="6"/>
      <c r="B17" s="6"/>
      <c r="C17" s="6"/>
      <c r="D17" s="6"/>
      <c r="E17" s="8"/>
      <c r="F17" s="8"/>
    </row>
    <row r="18" spans="1:6" x14ac:dyDescent="0.2">
      <c r="A18" s="6"/>
      <c r="B18" s="6"/>
      <c r="C18" s="6"/>
      <c r="D18" s="6"/>
      <c r="E18" s="8"/>
      <c r="F18" s="8"/>
    </row>
    <row r="19" spans="1:6" x14ac:dyDescent="0.2">
      <c r="A19" s="6"/>
      <c r="B19" s="6"/>
      <c r="C19" s="6"/>
      <c r="D19" s="6"/>
      <c r="E19" s="8"/>
      <c r="F19" s="8"/>
    </row>
    <row r="20" spans="1:6" x14ac:dyDescent="0.2">
      <c r="A20" s="6"/>
      <c r="B20" s="6"/>
      <c r="C20" s="6"/>
      <c r="D20" s="6"/>
      <c r="E20" s="8"/>
      <c r="F20" s="8"/>
    </row>
    <row r="21" spans="1:6" x14ac:dyDescent="0.2">
      <c r="A21" s="6"/>
      <c r="B21" s="6"/>
      <c r="C21" s="6"/>
      <c r="D21" s="6"/>
      <c r="E21" s="8"/>
      <c r="F21" s="8"/>
    </row>
    <row r="22" spans="1:6" x14ac:dyDescent="0.2">
      <c r="A22" s="6"/>
      <c r="B22" s="6"/>
      <c r="C22" s="6"/>
      <c r="D22" s="6"/>
      <c r="E22" s="8"/>
      <c r="F22" s="8"/>
    </row>
    <row r="23" spans="1:6" x14ac:dyDescent="0.2">
      <c r="A23" s="6"/>
      <c r="B23" s="6"/>
      <c r="C23" s="6"/>
      <c r="D23" s="6"/>
      <c r="E23" s="8"/>
      <c r="F23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1E8B-4A75-4EC1-A8DB-43B95ED98A32}">
  <dimension ref="B2:N32"/>
  <sheetViews>
    <sheetView zoomScale="71" workbookViewId="0">
      <selection activeCell="F43" sqref="F43"/>
    </sheetView>
  </sheetViews>
  <sheetFormatPr baseColWidth="10" defaultColWidth="11.5" defaultRowHeight="15" x14ac:dyDescent="0.2"/>
  <cols>
    <col min="4" max="4" width="11.5" style="14"/>
    <col min="5" max="5" width="16" customWidth="1"/>
    <col min="9" max="9" width="20.1640625" customWidth="1"/>
    <col min="10" max="14" width="13.5" customWidth="1"/>
  </cols>
  <sheetData>
    <row r="2" spans="2:14" x14ac:dyDescent="0.2">
      <c r="B2" s="355" t="s">
        <v>38</v>
      </c>
      <c r="C2" s="355"/>
      <c r="D2" s="355"/>
      <c r="E2" s="355"/>
      <c r="F2" s="355"/>
    </row>
    <row r="3" spans="2:14" ht="48" x14ac:dyDescent="0.2">
      <c r="B3" s="24" t="s">
        <v>39</v>
      </c>
      <c r="C3" s="24" t="s">
        <v>40</v>
      </c>
      <c r="D3" s="24" t="s">
        <v>41</v>
      </c>
      <c r="E3" s="25" t="s">
        <v>42</v>
      </c>
      <c r="F3" s="25" t="s">
        <v>43</v>
      </c>
      <c r="I3" s="24" t="s">
        <v>39</v>
      </c>
      <c r="J3" s="25" t="s">
        <v>44</v>
      </c>
      <c r="K3" s="25" t="s">
        <v>45</v>
      </c>
      <c r="L3" s="25" t="s">
        <v>46</v>
      </c>
      <c r="M3" s="25" t="s">
        <v>47</v>
      </c>
      <c r="N3" s="25" t="s">
        <v>48</v>
      </c>
    </row>
    <row r="4" spans="2:14" ht="16" x14ac:dyDescent="0.2">
      <c r="B4" s="356" t="s">
        <v>49</v>
      </c>
      <c r="C4" s="8" t="s">
        <v>50</v>
      </c>
      <c r="D4" s="17">
        <f>+SUMIFS(Chile!F:F,Chile!B:B,Resumen!C4)</f>
        <v>2300</v>
      </c>
      <c r="E4" s="23">
        <v>0.9</v>
      </c>
      <c r="F4" s="17">
        <f>+E4*D4</f>
        <v>2070</v>
      </c>
      <c r="G4" s="107">
        <f>+D4/$D$8</f>
        <v>0.40421792618629176</v>
      </c>
      <c r="I4" s="26" t="s">
        <v>51</v>
      </c>
      <c r="J4" s="27">
        <v>1121263</v>
      </c>
      <c r="K4" s="116">
        <v>1024085</v>
      </c>
      <c r="L4" s="27">
        <v>280316</v>
      </c>
      <c r="M4" s="116">
        <v>128011</v>
      </c>
      <c r="N4" s="117">
        <v>0.91</v>
      </c>
    </row>
    <row r="5" spans="2:14" ht="16" x14ac:dyDescent="0.2">
      <c r="B5" s="356"/>
      <c r="C5" s="8" t="s">
        <v>52</v>
      </c>
      <c r="D5" s="17">
        <f>+SUMIFS(Chile!F:F,Chile!B:B,Resumen!C5)</f>
        <v>90</v>
      </c>
      <c r="E5" s="23">
        <v>0.5</v>
      </c>
      <c r="F5" s="17">
        <f>+E5*D5</f>
        <v>45</v>
      </c>
      <c r="G5" s="107">
        <f t="shared" ref="G5:G7" si="0">+D5/$D$8</f>
        <v>1.5817223198594025E-2</v>
      </c>
      <c r="I5" s="26" t="s">
        <v>49</v>
      </c>
      <c r="J5" s="27">
        <v>3902850</v>
      </c>
      <c r="K5" s="116">
        <v>4088416</v>
      </c>
      <c r="L5" s="27">
        <v>121964</v>
      </c>
      <c r="M5" s="116">
        <v>151423</v>
      </c>
      <c r="N5" s="117">
        <v>0.54</v>
      </c>
    </row>
    <row r="6" spans="2:14" ht="16" x14ac:dyDescent="0.2">
      <c r="B6" s="356"/>
      <c r="C6" s="8" t="s">
        <v>53</v>
      </c>
      <c r="D6" s="17">
        <f>+SUMIFS(Chile!F:F,Chile!B:B,Resumen!C6)</f>
        <v>3000</v>
      </c>
      <c r="E6" s="23">
        <v>0.4</v>
      </c>
      <c r="F6" s="17">
        <f>+E6*D6</f>
        <v>1200</v>
      </c>
      <c r="G6" s="107">
        <f t="shared" si="0"/>
        <v>0.52724077328646746</v>
      </c>
      <c r="I6" s="26" t="s">
        <v>54</v>
      </c>
      <c r="J6" s="27">
        <v>536410</v>
      </c>
      <c r="K6" s="116">
        <v>1401000</v>
      </c>
      <c r="L6" s="27">
        <v>536410</v>
      </c>
      <c r="M6" s="116">
        <v>275167</v>
      </c>
      <c r="N6" s="117">
        <v>0.26</v>
      </c>
    </row>
    <row r="7" spans="2:14" ht="16" x14ac:dyDescent="0.2">
      <c r="B7" s="356"/>
      <c r="C7" s="8" t="s">
        <v>55</v>
      </c>
      <c r="D7" s="17">
        <f>+SUMIFS(Chile!F:F,Chile!B:B,Resumen!C7)</f>
        <v>300</v>
      </c>
      <c r="E7" s="23">
        <v>0.4</v>
      </c>
      <c r="F7" s="17">
        <f>+E7*D7</f>
        <v>120</v>
      </c>
      <c r="G7" s="107">
        <f t="shared" si="0"/>
        <v>5.272407732864675E-2</v>
      </c>
      <c r="I7" s="26" t="s">
        <v>56</v>
      </c>
      <c r="J7" s="27">
        <v>2098958</v>
      </c>
      <c r="K7" s="116">
        <v>1365600</v>
      </c>
      <c r="L7" s="27">
        <v>123468</v>
      </c>
      <c r="M7" s="116">
        <v>105046</v>
      </c>
      <c r="N7" s="117">
        <v>0.36</v>
      </c>
    </row>
    <row r="8" spans="2:14" ht="17" customHeight="1" x14ac:dyDescent="0.2">
      <c r="B8" s="356"/>
      <c r="C8" s="28" t="s">
        <v>34</v>
      </c>
      <c r="D8" s="29">
        <f>+SUM(D4:D7)</f>
        <v>5690</v>
      </c>
      <c r="E8" s="23" t="s">
        <v>57</v>
      </c>
      <c r="F8" s="29">
        <f>+SUM(F4:F7)</f>
        <v>3435</v>
      </c>
      <c r="I8" s="30" t="s">
        <v>58</v>
      </c>
      <c r="J8" s="31">
        <v>7659480</v>
      </c>
      <c r="K8" s="31">
        <v>8034101</v>
      </c>
      <c r="L8" s="31">
        <v>141842</v>
      </c>
      <c r="M8" s="31">
        <v>150539</v>
      </c>
      <c r="N8" s="32">
        <v>0.43</v>
      </c>
    </row>
    <row r="9" spans="2:14" x14ac:dyDescent="0.2">
      <c r="B9" s="357" t="s">
        <v>56</v>
      </c>
      <c r="C9" s="8" t="s">
        <v>50</v>
      </c>
      <c r="D9" s="17">
        <f>+SUMIFS(Perú!F:F,Perú!B:B,Resumen!C9)</f>
        <v>940</v>
      </c>
      <c r="E9" s="23">
        <v>0.9</v>
      </c>
      <c r="F9" s="17">
        <f t="shared" ref="F9:F12" si="1">+E9*D9</f>
        <v>846</v>
      </c>
      <c r="G9" s="107">
        <f>+D9/$D$13</f>
        <v>0.24671916010498687</v>
      </c>
    </row>
    <row r="10" spans="2:14" x14ac:dyDescent="0.2">
      <c r="B10" s="357"/>
      <c r="C10" s="8" t="s">
        <v>52</v>
      </c>
      <c r="D10" s="17">
        <f>+SUMIFS(Perú!F:F,Perú!B:B,Resumen!C10)</f>
        <v>300</v>
      </c>
      <c r="E10" s="23">
        <v>0.5</v>
      </c>
      <c r="F10" s="17">
        <f t="shared" si="1"/>
        <v>150</v>
      </c>
      <c r="G10" s="107">
        <f t="shared" ref="G10:G12" si="2">+D10/$D$13</f>
        <v>7.874015748031496E-2</v>
      </c>
    </row>
    <row r="11" spans="2:14" x14ac:dyDescent="0.2">
      <c r="B11" s="357"/>
      <c r="C11" s="8" t="s">
        <v>53</v>
      </c>
      <c r="D11" s="17">
        <f>+SUMIFS(Perú!F:F,Perú!B:B,Resumen!C11)</f>
        <v>2570</v>
      </c>
      <c r="E11" s="23">
        <v>0.4</v>
      </c>
      <c r="F11" s="17">
        <f t="shared" si="1"/>
        <v>1028</v>
      </c>
      <c r="G11" s="107">
        <f t="shared" si="2"/>
        <v>0.67454068241469811</v>
      </c>
    </row>
    <row r="12" spans="2:14" x14ac:dyDescent="0.2">
      <c r="B12" s="357"/>
      <c r="C12" s="8" t="s">
        <v>55</v>
      </c>
      <c r="D12" s="17">
        <f>+SUMIFS(Perú!F:F,Perú!B:B,Resumen!C12)</f>
        <v>0</v>
      </c>
      <c r="E12" s="23">
        <v>0.4</v>
      </c>
      <c r="F12" s="17">
        <f t="shared" si="1"/>
        <v>0</v>
      </c>
      <c r="G12" s="107">
        <f t="shared" si="2"/>
        <v>0</v>
      </c>
    </row>
    <row r="13" spans="2:14" x14ac:dyDescent="0.2">
      <c r="B13" s="357"/>
      <c r="C13" s="28" t="s">
        <v>34</v>
      </c>
      <c r="D13" s="29">
        <f>+SUM(D9:D12)</f>
        <v>3810</v>
      </c>
      <c r="E13" s="23" t="s">
        <v>57</v>
      </c>
      <c r="F13" s="29">
        <f>+SUM(F9:F12)</f>
        <v>2024</v>
      </c>
    </row>
    <row r="14" spans="2:14" x14ac:dyDescent="0.2">
      <c r="B14" s="356" t="s">
        <v>51</v>
      </c>
      <c r="C14" s="8" t="s">
        <v>50</v>
      </c>
      <c r="D14" s="17">
        <f>+SUMIFS(Brasil!F:F,Brasil!B:B,Resumen!C14)</f>
        <v>1350</v>
      </c>
      <c r="E14" s="23">
        <v>0.95</v>
      </c>
      <c r="F14" s="17">
        <f t="shared" ref="F14:F17" si="3">+E14*D14</f>
        <v>1282.5</v>
      </c>
      <c r="G14" s="107">
        <f>+D14/$D$18</f>
        <v>0.44262295081967212</v>
      </c>
    </row>
    <row r="15" spans="2:14" x14ac:dyDescent="0.2">
      <c r="B15" s="356"/>
      <c r="C15" s="8" t="s">
        <v>52</v>
      </c>
      <c r="D15" s="17">
        <f>+SUMIFS(Brasil!F:F,Brasil!B:B,Resumen!C15)</f>
        <v>150</v>
      </c>
      <c r="E15" s="23">
        <v>0.5</v>
      </c>
      <c r="F15" s="17">
        <f t="shared" si="3"/>
        <v>75</v>
      </c>
      <c r="G15" s="107">
        <f t="shared" ref="G15:G17" si="4">+D15/$D$18</f>
        <v>4.9180327868852458E-2</v>
      </c>
    </row>
    <row r="16" spans="2:14" x14ac:dyDescent="0.2">
      <c r="B16" s="356"/>
      <c r="C16" s="8" t="s">
        <v>53</v>
      </c>
      <c r="D16" s="17">
        <f>+SUMIFS(Brasil!F:F,Brasil!B:B,Resumen!C16)</f>
        <v>1550</v>
      </c>
      <c r="E16" s="23">
        <v>0.5</v>
      </c>
      <c r="F16" s="17">
        <f t="shared" si="3"/>
        <v>775</v>
      </c>
      <c r="G16" s="107">
        <f t="shared" si="4"/>
        <v>0.50819672131147542</v>
      </c>
    </row>
    <row r="17" spans="2:8" x14ac:dyDescent="0.2">
      <c r="B17" s="356"/>
      <c r="C17" s="8" t="s">
        <v>55</v>
      </c>
      <c r="D17" s="17">
        <f>+SUMIFS(Brasil!F:F,Brasil!B:B,Resumen!C17)</f>
        <v>0</v>
      </c>
      <c r="E17" s="23">
        <v>0.4</v>
      </c>
      <c r="F17" s="17">
        <f t="shared" si="3"/>
        <v>0</v>
      </c>
      <c r="G17" s="107">
        <f t="shared" si="4"/>
        <v>0</v>
      </c>
    </row>
    <row r="18" spans="2:8" x14ac:dyDescent="0.2">
      <c r="B18" s="356"/>
      <c r="C18" s="28" t="s">
        <v>34</v>
      </c>
      <c r="D18" s="29">
        <f>+SUM(D14:D17)</f>
        <v>3050</v>
      </c>
      <c r="E18" s="23" t="s">
        <v>57</v>
      </c>
      <c r="F18" s="29">
        <f>+SUM(F14:F17)</f>
        <v>2132.5</v>
      </c>
    </row>
    <row r="19" spans="2:8" x14ac:dyDescent="0.2">
      <c r="B19" s="356" t="s">
        <v>54</v>
      </c>
      <c r="C19" s="8" t="s">
        <v>50</v>
      </c>
      <c r="D19" s="17">
        <f>+SUMIFS(EEUU!F:F,EEUU!B:B,Resumen!C19)</f>
        <v>1100</v>
      </c>
      <c r="E19" s="23">
        <v>0.8</v>
      </c>
      <c r="F19" s="17">
        <f>+E19*D19</f>
        <v>880</v>
      </c>
      <c r="G19" s="107">
        <f>+D19/$D$23</f>
        <v>0.25287356321839083</v>
      </c>
    </row>
    <row r="20" spans="2:8" x14ac:dyDescent="0.2">
      <c r="B20" s="356"/>
      <c r="C20" s="8" t="s">
        <v>52</v>
      </c>
      <c r="D20" s="17">
        <f>+SUMIFS(EEUU!F:F,EEUU!B:B,Resumen!C20)</f>
        <v>300</v>
      </c>
      <c r="E20" s="23">
        <v>0.4</v>
      </c>
      <c r="F20" s="17">
        <f t="shared" ref="F20:F22" si="5">+E20*D20</f>
        <v>120</v>
      </c>
      <c r="G20" s="107">
        <f t="shared" ref="G20:G22" si="6">+D20/$D$23</f>
        <v>6.8965517241379309E-2</v>
      </c>
    </row>
    <row r="21" spans="2:8" x14ac:dyDescent="0.2">
      <c r="B21" s="356"/>
      <c r="C21" s="8" t="s">
        <v>53</v>
      </c>
      <c r="D21" s="17">
        <f>+SUMIFS(EEUU!F:F,EEUU!B:B,Resumen!C21)</f>
        <v>2300</v>
      </c>
      <c r="E21" s="23">
        <v>0.5</v>
      </c>
      <c r="F21" s="17">
        <f t="shared" si="5"/>
        <v>1150</v>
      </c>
      <c r="G21" s="107">
        <f t="shared" si="6"/>
        <v>0.52873563218390807</v>
      </c>
    </row>
    <row r="22" spans="2:8" x14ac:dyDescent="0.2">
      <c r="B22" s="356"/>
      <c r="C22" s="8" t="s">
        <v>55</v>
      </c>
      <c r="D22" s="17">
        <f>+SUMIFS(EEUU!F:F,EEUU!B:B,Resumen!C22)</f>
        <v>650</v>
      </c>
      <c r="E22" s="23">
        <v>0.5</v>
      </c>
      <c r="F22" s="17">
        <f t="shared" si="5"/>
        <v>325</v>
      </c>
      <c r="G22" s="107">
        <f t="shared" si="6"/>
        <v>0.14942528735632185</v>
      </c>
    </row>
    <row r="23" spans="2:8" x14ac:dyDescent="0.2">
      <c r="B23" s="356"/>
      <c r="C23" s="28" t="s">
        <v>34</v>
      </c>
      <c r="D23" s="29">
        <f>+SUM(D19:D22)</f>
        <v>4350</v>
      </c>
      <c r="E23" s="23" t="s">
        <v>57</v>
      </c>
      <c r="F23" s="29">
        <f>+SUM(F19:F22)</f>
        <v>2475</v>
      </c>
    </row>
    <row r="24" spans="2:8" x14ac:dyDescent="0.2">
      <c r="B24" s="354" t="s">
        <v>34</v>
      </c>
      <c r="C24" s="354"/>
      <c r="D24" s="33">
        <f>+D23+D18+D13+D8</f>
        <v>16900</v>
      </c>
      <c r="E24" s="34"/>
      <c r="F24" s="33">
        <f>+F23+F18+F13+F8</f>
        <v>10066.5</v>
      </c>
    </row>
    <row r="27" spans="2:8" x14ac:dyDescent="0.2">
      <c r="G27" t="s">
        <v>426</v>
      </c>
      <c r="H27" t="s">
        <v>427</v>
      </c>
    </row>
    <row r="28" spans="2:8" x14ac:dyDescent="0.2">
      <c r="F28" t="s">
        <v>49</v>
      </c>
      <c r="G28" s="108">
        <f>+D8/$G$32</f>
        <v>0.3366863905325444</v>
      </c>
      <c r="H28" s="108">
        <f>+F8/$H$32</f>
        <v>0.34123081507971986</v>
      </c>
    </row>
    <row r="29" spans="2:8" x14ac:dyDescent="0.2">
      <c r="F29" t="s">
        <v>56</v>
      </c>
      <c r="G29" s="108">
        <f>+D13/$G$32</f>
        <v>0.22544378698224851</v>
      </c>
      <c r="H29" s="108">
        <f>+F13/$H$32</f>
        <v>0.20106293150548851</v>
      </c>
    </row>
    <row r="30" spans="2:8" x14ac:dyDescent="0.2">
      <c r="F30" t="s">
        <v>51</v>
      </c>
      <c r="G30" s="108">
        <f>+D18/$G$32</f>
        <v>0.18047337278106509</v>
      </c>
      <c r="H30" s="108">
        <f>+F18/$H$32</f>
        <v>0.21184125564992798</v>
      </c>
    </row>
    <row r="31" spans="2:8" x14ac:dyDescent="0.2">
      <c r="F31" t="s">
        <v>54</v>
      </c>
      <c r="G31" s="108">
        <f>+D23/$G$32</f>
        <v>0.25739644970414199</v>
      </c>
      <c r="H31" s="108">
        <f>+F23/$H$32</f>
        <v>0.24586499776486365</v>
      </c>
    </row>
    <row r="32" spans="2:8" x14ac:dyDescent="0.2">
      <c r="F32" t="s">
        <v>34</v>
      </c>
      <c r="G32" s="109">
        <f>+D24</f>
        <v>16900</v>
      </c>
      <c r="H32" s="109">
        <f>+F24</f>
        <v>10066.5</v>
      </c>
    </row>
  </sheetData>
  <mergeCells count="6">
    <mergeCell ref="B24:C24"/>
    <mergeCell ref="B2:F2"/>
    <mergeCell ref="B4:B8"/>
    <mergeCell ref="B9:B13"/>
    <mergeCell ref="B14:B18"/>
    <mergeCell ref="B19:B2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B852-0169-40A4-8447-7F908FB90DFD}">
  <dimension ref="A1:D64"/>
  <sheetViews>
    <sheetView topLeftCell="A51" zoomScale="140" workbookViewId="0">
      <selection activeCell="H17" sqref="H17"/>
    </sheetView>
  </sheetViews>
  <sheetFormatPr baseColWidth="10" defaultColWidth="11.5" defaultRowHeight="15" x14ac:dyDescent="0.2"/>
  <cols>
    <col min="1" max="1" width="3.33203125" style="1" customWidth="1"/>
    <col min="2" max="2" width="6.6640625" customWidth="1"/>
    <col min="3" max="3" width="27" bestFit="1" customWidth="1"/>
    <col min="4" max="4" width="86.5" customWidth="1"/>
    <col min="6" max="6" width="5.1640625" customWidth="1"/>
    <col min="7" max="7" width="30.5" customWidth="1"/>
  </cols>
  <sheetData>
    <row r="1" spans="2:4" x14ac:dyDescent="0.2">
      <c r="B1" s="35" t="s">
        <v>59</v>
      </c>
      <c r="C1" s="35" t="s">
        <v>39</v>
      </c>
    </row>
    <row r="2" spans="2:4" x14ac:dyDescent="0.2">
      <c r="B2" s="8">
        <v>1</v>
      </c>
      <c r="C2" s="142" t="s">
        <v>49</v>
      </c>
    </row>
    <row r="3" spans="2:4" x14ac:dyDescent="0.2">
      <c r="B3" s="8">
        <v>2</v>
      </c>
      <c r="C3" s="142" t="s">
        <v>56</v>
      </c>
    </row>
    <row r="4" spans="2:4" x14ac:dyDescent="0.2">
      <c r="B4" s="8">
        <v>3</v>
      </c>
      <c r="C4" s="142" t="s">
        <v>51</v>
      </c>
    </row>
    <row r="5" spans="2:4" x14ac:dyDescent="0.2">
      <c r="B5" s="8">
        <v>4</v>
      </c>
      <c r="C5" s="142" t="s">
        <v>54</v>
      </c>
    </row>
    <row r="7" spans="2:4" x14ac:dyDescent="0.2">
      <c r="B7" s="35" t="s">
        <v>59</v>
      </c>
      <c r="C7" s="35" t="s">
        <v>477</v>
      </c>
    </row>
    <row r="8" spans="2:4" x14ac:dyDescent="0.2">
      <c r="B8" s="42">
        <v>1</v>
      </c>
      <c r="C8" s="6" t="s">
        <v>486</v>
      </c>
    </row>
    <row r="9" spans="2:4" x14ac:dyDescent="0.2">
      <c r="B9" s="42">
        <v>2</v>
      </c>
      <c r="C9" s="6" t="s">
        <v>390</v>
      </c>
    </row>
    <row r="10" spans="2:4" x14ac:dyDescent="0.2">
      <c r="B10" s="42">
        <v>3</v>
      </c>
      <c r="C10" s="6" t="s">
        <v>391</v>
      </c>
    </row>
    <row r="11" spans="2:4" x14ac:dyDescent="0.2">
      <c r="B11" s="42">
        <v>4</v>
      </c>
      <c r="C11" s="6" t="s">
        <v>392</v>
      </c>
    </row>
    <row r="12" spans="2:4" x14ac:dyDescent="0.2">
      <c r="B12" s="42">
        <v>5</v>
      </c>
      <c r="C12" s="6" t="s">
        <v>393</v>
      </c>
    </row>
    <row r="14" spans="2:4" x14ac:dyDescent="0.2">
      <c r="B14" s="35" t="s">
        <v>59</v>
      </c>
      <c r="C14" s="35" t="s">
        <v>388</v>
      </c>
      <c r="D14" s="35" t="s">
        <v>487</v>
      </c>
    </row>
    <row r="15" spans="2:4" x14ac:dyDescent="0.2">
      <c r="B15" s="42">
        <v>1</v>
      </c>
      <c r="C15" s="42" t="s">
        <v>496</v>
      </c>
      <c r="D15" s="8" t="s">
        <v>464</v>
      </c>
    </row>
    <row r="16" spans="2:4" x14ac:dyDescent="0.2">
      <c r="B16" s="42">
        <v>2</v>
      </c>
      <c r="C16" s="42" t="s">
        <v>353</v>
      </c>
      <c r="D16" s="8" t="s">
        <v>488</v>
      </c>
    </row>
    <row r="17" spans="2:4" x14ac:dyDescent="0.2">
      <c r="B17" s="42">
        <v>3</v>
      </c>
      <c r="C17" s="42" t="s">
        <v>497</v>
      </c>
      <c r="D17" s="8" t="s">
        <v>465</v>
      </c>
    </row>
    <row r="18" spans="2:4" x14ac:dyDescent="0.2">
      <c r="B18" s="42">
        <v>4</v>
      </c>
      <c r="C18" s="42" t="s">
        <v>351</v>
      </c>
      <c r="D18" s="8" t="s">
        <v>489</v>
      </c>
    </row>
    <row r="19" spans="2:4" x14ac:dyDescent="0.2">
      <c r="B19" s="42">
        <v>5</v>
      </c>
      <c r="C19" s="42" t="s">
        <v>468</v>
      </c>
      <c r="D19" s="8" t="s">
        <v>490</v>
      </c>
    </row>
    <row r="20" spans="2:4" x14ac:dyDescent="0.2">
      <c r="B20" s="42">
        <v>6</v>
      </c>
      <c r="C20" s="42" t="s">
        <v>349</v>
      </c>
      <c r="D20" s="8" t="s">
        <v>491</v>
      </c>
    </row>
    <row r="21" spans="2:4" x14ac:dyDescent="0.2">
      <c r="B21" s="42">
        <v>7</v>
      </c>
      <c r="C21" s="42" t="s">
        <v>351</v>
      </c>
      <c r="D21" s="8" t="s">
        <v>463</v>
      </c>
    </row>
    <row r="22" spans="2:4" x14ac:dyDescent="0.2">
      <c r="B22" s="42">
        <v>8</v>
      </c>
      <c r="C22" s="42" t="s">
        <v>348</v>
      </c>
      <c r="D22" s="8" t="s">
        <v>492</v>
      </c>
    </row>
    <row r="23" spans="2:4" x14ac:dyDescent="0.2">
      <c r="B23" s="42">
        <v>9</v>
      </c>
      <c r="C23" s="42" t="s">
        <v>449</v>
      </c>
      <c r="D23" s="8" t="s">
        <v>493</v>
      </c>
    </row>
    <row r="24" spans="2:4" x14ac:dyDescent="0.2">
      <c r="B24" s="42">
        <v>10</v>
      </c>
      <c r="C24" s="42" t="s">
        <v>341</v>
      </c>
      <c r="D24" s="8" t="s">
        <v>466</v>
      </c>
    </row>
    <row r="25" spans="2:4" x14ac:dyDescent="0.2">
      <c r="B25" s="42">
        <v>11</v>
      </c>
      <c r="C25" s="42" t="s">
        <v>467</v>
      </c>
      <c r="D25" s="8" t="s">
        <v>494</v>
      </c>
    </row>
    <row r="26" spans="2:4" x14ac:dyDescent="0.2">
      <c r="B26" s="42">
        <v>12</v>
      </c>
      <c r="C26" s="42" t="s">
        <v>394</v>
      </c>
      <c r="D26" s="8" t="s">
        <v>495</v>
      </c>
    </row>
    <row r="27" spans="2:4" ht="15.5" customHeight="1" x14ac:dyDescent="0.2">
      <c r="B27" s="42">
        <v>13</v>
      </c>
      <c r="C27" s="42" t="s">
        <v>355</v>
      </c>
      <c r="D27" s="8" t="s">
        <v>498</v>
      </c>
    </row>
    <row r="28" spans="2:4" ht="15.5" customHeight="1" x14ac:dyDescent="0.2">
      <c r="B28" s="42">
        <v>14</v>
      </c>
      <c r="C28" s="42" t="s">
        <v>344</v>
      </c>
      <c r="D28" s="8" t="s">
        <v>499</v>
      </c>
    </row>
    <row r="29" spans="2:4" ht="15.5" customHeight="1" x14ac:dyDescent="0.2">
      <c r="B29" s="8">
        <v>15</v>
      </c>
      <c r="C29" s="8" t="s">
        <v>346</v>
      </c>
      <c r="D29" s="8" t="s">
        <v>507</v>
      </c>
    </row>
    <row r="31" spans="2:4" x14ac:dyDescent="0.2">
      <c r="B31" s="35" t="s">
        <v>59</v>
      </c>
      <c r="C31" s="35" t="s">
        <v>60</v>
      </c>
      <c r="D31" s="35" t="s">
        <v>1</v>
      </c>
    </row>
    <row r="32" spans="2:4" x14ac:dyDescent="0.2">
      <c r="B32" s="8">
        <v>1</v>
      </c>
      <c r="C32" s="8" t="s">
        <v>50</v>
      </c>
      <c r="D32" s="36" t="s">
        <v>429</v>
      </c>
    </row>
    <row r="33" spans="2:4" x14ac:dyDescent="0.2">
      <c r="B33" s="8">
        <v>2</v>
      </c>
      <c r="C33" s="8" t="s">
        <v>52</v>
      </c>
      <c r="D33" s="36" t="s">
        <v>428</v>
      </c>
    </row>
    <row r="34" spans="2:4" x14ac:dyDescent="0.2">
      <c r="B34" s="8">
        <v>3</v>
      </c>
      <c r="C34" s="8" t="s">
        <v>53</v>
      </c>
      <c r="D34" s="36" t="s">
        <v>62</v>
      </c>
    </row>
    <row r="35" spans="2:4" x14ac:dyDescent="0.2">
      <c r="B35" s="8">
        <v>4</v>
      </c>
      <c r="C35" s="8" t="s">
        <v>55</v>
      </c>
      <c r="D35" s="36" t="s">
        <v>430</v>
      </c>
    </row>
    <row r="37" spans="2:4" x14ac:dyDescent="0.2">
      <c r="B37" s="35" t="s">
        <v>59</v>
      </c>
      <c r="C37" s="35" t="s">
        <v>500</v>
      </c>
    </row>
    <row r="38" spans="2:4" x14ac:dyDescent="0.2">
      <c r="B38" s="8">
        <v>1</v>
      </c>
      <c r="C38" s="8" t="s">
        <v>345</v>
      </c>
    </row>
    <row r="39" spans="2:4" x14ac:dyDescent="0.2">
      <c r="B39" s="8">
        <v>2</v>
      </c>
      <c r="C39" s="8" t="s">
        <v>342</v>
      </c>
    </row>
    <row r="40" spans="2:4" x14ac:dyDescent="0.2">
      <c r="B40" s="8">
        <v>3</v>
      </c>
      <c r="C40" s="8" t="s">
        <v>347</v>
      </c>
    </row>
    <row r="42" spans="2:4" x14ac:dyDescent="0.2">
      <c r="B42" s="35" t="s">
        <v>59</v>
      </c>
      <c r="C42" s="35" t="s">
        <v>484</v>
      </c>
    </row>
    <row r="43" spans="2:4" x14ac:dyDescent="0.2">
      <c r="B43" s="8">
        <v>1</v>
      </c>
      <c r="C43" s="141" t="s">
        <v>354</v>
      </c>
    </row>
    <row r="44" spans="2:4" x14ac:dyDescent="0.2">
      <c r="B44" s="8">
        <v>2</v>
      </c>
      <c r="C44" s="141" t="s">
        <v>343</v>
      </c>
    </row>
    <row r="45" spans="2:4" x14ac:dyDescent="0.2">
      <c r="B45" s="8">
        <v>3</v>
      </c>
      <c r="C45" s="141" t="s">
        <v>476</v>
      </c>
    </row>
    <row r="46" spans="2:4" x14ac:dyDescent="0.2">
      <c r="B46" s="8">
        <v>4</v>
      </c>
      <c r="C46" s="141" t="s">
        <v>12</v>
      </c>
    </row>
    <row r="47" spans="2:4" x14ac:dyDescent="0.2">
      <c r="B47" s="14"/>
      <c r="C47" s="143"/>
    </row>
    <row r="49" spans="2:3" x14ac:dyDescent="0.2">
      <c r="B49" s="35" t="s">
        <v>59</v>
      </c>
      <c r="C49" s="35" t="s">
        <v>478</v>
      </c>
    </row>
    <row r="50" spans="2:3" x14ac:dyDescent="0.2">
      <c r="B50" s="8">
        <v>1</v>
      </c>
      <c r="C50" s="140" t="s">
        <v>483</v>
      </c>
    </row>
    <row r="51" spans="2:3" x14ac:dyDescent="0.2">
      <c r="B51" s="8">
        <v>2</v>
      </c>
      <c r="C51" s="140" t="s">
        <v>479</v>
      </c>
    </row>
    <row r="52" spans="2:3" x14ac:dyDescent="0.2">
      <c r="B52" s="8">
        <v>3</v>
      </c>
      <c r="C52" s="140" t="s">
        <v>480</v>
      </c>
    </row>
    <row r="53" spans="2:3" x14ac:dyDescent="0.2">
      <c r="B53" s="8">
        <v>4</v>
      </c>
      <c r="C53" s="140" t="s">
        <v>475</v>
      </c>
    </row>
    <row r="54" spans="2:3" x14ac:dyDescent="0.2">
      <c r="B54" s="8">
        <v>5</v>
      </c>
      <c r="C54" s="140" t="s">
        <v>406</v>
      </c>
    </row>
    <row r="55" spans="2:3" x14ac:dyDescent="0.2">
      <c r="B55" s="8">
        <v>6</v>
      </c>
      <c r="C55" s="140" t="s">
        <v>481</v>
      </c>
    </row>
    <row r="56" spans="2:3" x14ac:dyDescent="0.2">
      <c r="B56" s="8">
        <v>7</v>
      </c>
      <c r="C56" s="140" t="s">
        <v>356</v>
      </c>
    </row>
    <row r="57" spans="2:3" x14ac:dyDescent="0.2">
      <c r="B57" s="8">
        <v>8</v>
      </c>
      <c r="C57" s="140" t="s">
        <v>470</v>
      </c>
    </row>
    <row r="59" spans="2:3" x14ac:dyDescent="0.2">
      <c r="B59" s="35" t="s">
        <v>59</v>
      </c>
      <c r="C59" s="35" t="s">
        <v>485</v>
      </c>
    </row>
    <row r="60" spans="2:3" x14ac:dyDescent="0.2">
      <c r="B60" s="8">
        <v>1</v>
      </c>
      <c r="C60" s="65" t="s">
        <v>358</v>
      </c>
    </row>
    <row r="61" spans="2:3" x14ac:dyDescent="0.2">
      <c r="B61" s="8">
        <v>2</v>
      </c>
      <c r="C61" s="65" t="s">
        <v>360</v>
      </c>
    </row>
    <row r="62" spans="2:3" x14ac:dyDescent="0.2">
      <c r="B62" s="8">
        <v>3</v>
      </c>
      <c r="C62" s="65" t="s">
        <v>359</v>
      </c>
    </row>
    <row r="63" spans="2:3" x14ac:dyDescent="0.2">
      <c r="B63" s="8">
        <v>4</v>
      </c>
      <c r="C63" s="65" t="s">
        <v>361</v>
      </c>
    </row>
    <row r="64" spans="2:3" x14ac:dyDescent="0.2">
      <c r="B64" s="8">
        <v>5</v>
      </c>
      <c r="C64" s="100" t="s">
        <v>420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9cd31b-92d1-4fef-8c4d-4e29da429c23">
      <Terms xmlns="http://schemas.microsoft.com/office/infopath/2007/PartnerControls"/>
    </lcf76f155ced4ddcb4097134ff3c332f>
    <TaxCatchAll xmlns="3ddd9f47-aa60-42b5-ab54-71541710dd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924C4C38D87A4B9FA245AC70A7D366" ma:contentTypeVersion="16" ma:contentTypeDescription="Create a new document." ma:contentTypeScope="" ma:versionID="2f1f36b25ef374f935898f657ec7fd40">
  <xsd:schema xmlns:xsd="http://www.w3.org/2001/XMLSchema" xmlns:xs="http://www.w3.org/2001/XMLSchema" xmlns:p="http://schemas.microsoft.com/office/2006/metadata/properties" xmlns:ns2="4e9cd31b-92d1-4fef-8c4d-4e29da429c23" xmlns:ns3="3ddd9f47-aa60-42b5-ab54-71541710dd1e" targetNamespace="http://schemas.microsoft.com/office/2006/metadata/properties" ma:root="true" ma:fieldsID="fb8ae88d7cefb7bce58e3b098e4c6082" ns2:_="" ns3:_="">
    <xsd:import namespace="4e9cd31b-92d1-4fef-8c4d-4e29da429c23"/>
    <xsd:import namespace="3ddd9f47-aa60-42b5-ab54-71541710dd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d31b-92d1-4fef-8c4d-4e29da429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0e85e79-d9a7-4c0e-b556-3753633e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d9f47-aa60-42b5-ab54-71541710dd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3c919d-2a34-4a4f-970a-f3a8d04e0e24}" ma:internalName="TaxCatchAll" ma:showField="CatchAllData" ma:web="3ddd9f47-aa60-42b5-ab54-71541710dd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87304-A308-46A0-A638-C552F3E3BE1B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3ddd9f47-aa60-42b5-ab54-71541710dd1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4e9cd31b-92d1-4fef-8c4d-4e29da429c2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056BE31-4AA5-4869-A205-F5191025BA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D9700E-88F7-4B2F-8155-74E1E58D35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cd31b-92d1-4fef-8c4d-4e29da429c23"/>
    <ds:schemaRef ds:uri="3ddd9f47-aa60-42b5-ab54-71541710d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CRM</vt:lpstr>
      <vt:lpstr>Hoja1</vt:lpstr>
      <vt:lpstr>Ventas</vt:lpstr>
      <vt:lpstr>Do vs At</vt:lpstr>
      <vt:lpstr>Perú</vt:lpstr>
      <vt:lpstr>Chile</vt:lpstr>
      <vt:lpstr>Brasil</vt:lpstr>
      <vt:lpstr>EEUU</vt:lpstr>
      <vt:lpstr>CRM (v1)</vt:lpstr>
      <vt:lpstr>Resumen cantidades</vt:lpstr>
      <vt:lpstr>Gestión</vt:lpstr>
      <vt:lpstr>Posbiles</vt:lpstr>
      <vt:lpstr>Tabla Budget</vt:lpstr>
      <vt:lpstr>Modelo Recursos</vt:lpstr>
      <vt:lpstr>Contactos</vt:lpstr>
      <vt:lpstr>Resumen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Aguiluz</dc:creator>
  <cp:lastModifiedBy>Daniel Cuero</cp:lastModifiedBy>
  <dcterms:created xsi:type="dcterms:W3CDTF">2015-06-05T18:19:34Z</dcterms:created>
  <dcterms:modified xsi:type="dcterms:W3CDTF">2026-07-07T02:09:27Z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0x01010021924C4C38D87A4B9FA245AC70A7D366</vt:lpwstr>
  </property>
  <property fmtid="{D5CDD505-2E9C-101B-9397-08002B2CF9AE}" pid="3" name="MediaServiceImageTags">
    <vt:lpwstr/>
  </property>
</Properties>
</file>